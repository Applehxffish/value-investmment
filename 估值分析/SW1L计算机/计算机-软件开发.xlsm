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4Investment\value-investment\估值分析\SW1L计算机\"/>
    </mc:Choice>
  </mc:AlternateContent>
  <bookViews>
    <workbookView xWindow="0" yWindow="0" windowWidth="3800" windowHeight="2950"/>
  </bookViews>
  <sheets>
    <sheet name="计算机应用" sheetId="18" r:id="rId1"/>
    <sheet name="估值-增速与年化收益" sheetId="14" r:id="rId2"/>
  </sheets>
  <functionGroups builtInGroupCount="18"/>
  <definedNames>
    <definedName name="_xlnm._FilterDatabase" localSheetId="0" hidden="1">计算机应用!$BU$1:$BU$138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06" i="18"/>
  <c r="C105" i="18"/>
  <c r="C67" i="18"/>
  <c r="C90" i="18"/>
  <c r="C86" i="18"/>
  <c r="C131" i="18"/>
  <c r="C129" i="18"/>
  <c r="C75" i="18"/>
  <c r="C99" i="18"/>
  <c r="C78" i="18"/>
  <c r="C124" i="18"/>
  <c r="C95" i="18"/>
  <c r="C119" i="18"/>
  <c r="C127" i="18"/>
  <c r="C108" i="18"/>
  <c r="C102" i="18"/>
  <c r="C71" i="18"/>
  <c r="C98" i="18"/>
  <c r="C120" i="18"/>
  <c r="C121" i="18"/>
  <c r="C81" i="18"/>
  <c r="C126" i="18"/>
  <c r="C97" i="18"/>
  <c r="C93" i="18"/>
  <c r="C84" i="18"/>
  <c r="C77" i="18"/>
  <c r="C125" i="18"/>
  <c r="C130" i="18"/>
  <c r="C118" i="18"/>
  <c r="C112" i="18"/>
  <c r="C110" i="18"/>
  <c r="C94" i="18"/>
  <c r="C72" i="18"/>
  <c r="C73" i="18"/>
  <c r="C111" i="18"/>
  <c r="C103" i="18"/>
  <c r="C70" i="18"/>
  <c r="C104" i="18"/>
  <c r="C85" i="18"/>
  <c r="C96" i="18"/>
  <c r="C109" i="18"/>
  <c r="C79" i="18"/>
  <c r="C100" i="18"/>
  <c r="C128" i="18"/>
  <c r="C116" i="18"/>
  <c r="C107" i="18"/>
  <c r="C68" i="18"/>
  <c r="C66" i="18"/>
  <c r="C122" i="18"/>
  <c r="C101" i="18"/>
  <c r="C89" i="18"/>
  <c r="C114" i="18"/>
  <c r="C123" i="18"/>
  <c r="C91" i="18"/>
  <c r="C80" i="18"/>
  <c r="C76" i="18"/>
  <c r="C113" i="18"/>
  <c r="C115" i="18"/>
  <c r="C117" i="18"/>
  <c r="C74" i="18"/>
  <c r="C83" i="18"/>
  <c r="C92" i="18"/>
  <c r="C69" i="18"/>
  <c r="C87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</calcChain>
</file>

<file path=xl/sharedStrings.xml><?xml version="1.0" encoding="utf-8"?>
<sst xmlns="http://schemas.openxmlformats.org/spreadsheetml/2006/main" count="7328" uniqueCount="4355">
  <si>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</si>
  <si>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</si>
  <si>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</si>
  <si>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</si>
  <si>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</si>
  <si>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银之杰</t>
  </si>
  <si>
    <t>科创信息</t>
  </si>
  <si>
    <t>思特奇</t>
  </si>
  <si>
    <t>用友网络</t>
  </si>
  <si>
    <t>网达软件</t>
  </si>
  <si>
    <t>信息发展</t>
  </si>
  <si>
    <t>科大讯飞</t>
  </si>
  <si>
    <t>麦迪科技</t>
  </si>
  <si>
    <t>格尔软件</t>
  </si>
  <si>
    <t>长亮科技</t>
  </si>
  <si>
    <t>东方通</t>
  </si>
  <si>
    <t>新晨科技</t>
  </si>
  <si>
    <t>科大国创</t>
  </si>
  <si>
    <t>北信源</t>
  </si>
  <si>
    <t>诚迈科技</t>
  </si>
  <si>
    <t>安硕信息</t>
  </si>
  <si>
    <t>和仁科技</t>
  </si>
  <si>
    <t>汇金科技</t>
  </si>
  <si>
    <t>四维图新</t>
  </si>
  <si>
    <t>恒生电子</t>
  </si>
  <si>
    <t>高伟达</t>
  </si>
  <si>
    <t>汉王科技</t>
  </si>
  <si>
    <t>同花顺</t>
  </si>
  <si>
    <t>川大智胜</t>
  </si>
  <si>
    <t>石基信息</t>
  </si>
  <si>
    <t>数字认证</t>
  </si>
  <si>
    <t>拓尔思</t>
  </si>
  <si>
    <t>卫宁健康</t>
  </si>
  <si>
    <t>顶点软件</t>
  </si>
  <si>
    <t>广联达</t>
  </si>
  <si>
    <t>创业慧康</t>
  </si>
  <si>
    <t>万兴科技</t>
  </si>
  <si>
    <t>深信服</t>
  </si>
  <si>
    <t>恒华科技</t>
  </si>
  <si>
    <t>赢时胜</t>
  </si>
  <si>
    <t>方直科技</t>
  </si>
  <si>
    <t>佳发教育</t>
  </si>
  <si>
    <t>天源迪科</t>
  </si>
  <si>
    <t>超图软件</t>
  </si>
  <si>
    <t>三六零</t>
  </si>
  <si>
    <t>恒锋信息</t>
  </si>
  <si>
    <t>博思软件</t>
  </si>
  <si>
    <t>鼎捷软件</t>
  </si>
  <si>
    <t>启明星辰</t>
  </si>
  <si>
    <t>数字政通</t>
  </si>
  <si>
    <t>南天信息</t>
  </si>
  <si>
    <t>丝路视觉</t>
  </si>
  <si>
    <t>四方精创</t>
  </si>
  <si>
    <t>远光软件</t>
  </si>
  <si>
    <t>创意信息</t>
  </si>
  <si>
    <t>云赛智联</t>
  </si>
  <si>
    <t>任子行</t>
  </si>
  <si>
    <t>华宇软件</t>
  </si>
  <si>
    <t>久其软件</t>
  </si>
  <si>
    <t>科蓝软件</t>
  </si>
  <si>
    <t>绿盟科技</t>
  </si>
  <si>
    <t>华平股份</t>
  </si>
  <si>
    <t>大智慧</t>
  </si>
  <si>
    <t>--</t>
  </si>
  <si>
    <t>3.96亿</t>
  </si>
  <si>
    <t>2.93亿</t>
  </si>
  <si>
    <t>1.92亿</t>
  </si>
  <si>
    <t>3.48亿</t>
  </si>
  <si>
    <t>总市值</t>
  </si>
  <si>
    <t>TTM市盈率</t>
  </si>
  <si>
    <t>所属行业</t>
  </si>
  <si>
    <t>SZ300598</t>
  </si>
  <si>
    <t>SZ300085</t>
  </si>
  <si>
    <t>SH601519</t>
  </si>
  <si>
    <t>SZ300348</t>
  </si>
  <si>
    <t>SH688111</t>
  </si>
  <si>
    <t>金山办公</t>
  </si>
  <si>
    <t>SZ002362</t>
  </si>
  <si>
    <t>SZ300663</t>
  </si>
  <si>
    <t>SH603189</t>
  </si>
  <si>
    <t>SZ300561</t>
  </si>
  <si>
    <t>SH688023</t>
  </si>
  <si>
    <t>SZ002410</t>
  </si>
  <si>
    <t>SZ300803</t>
  </si>
  <si>
    <t>指南针</t>
  </si>
  <si>
    <t>SZ002405</t>
  </si>
  <si>
    <t>SZ002230</t>
  </si>
  <si>
    <t>SZ000948</t>
  </si>
  <si>
    <t>SZ300074</t>
  </si>
  <si>
    <t>SZ300468</t>
  </si>
  <si>
    <t>SZ300379</t>
  </si>
  <si>
    <t>SZ300542</t>
  </si>
  <si>
    <t>SZ300352</t>
  </si>
  <si>
    <t>SZ300525</t>
  </si>
  <si>
    <t>SH603232</t>
  </si>
  <si>
    <t>SZ300380</t>
  </si>
  <si>
    <t>SZ300579</t>
  </si>
  <si>
    <t>SZ002153</t>
  </si>
  <si>
    <t>SZ300469</t>
  </si>
  <si>
    <t>SZ300311</t>
  </si>
  <si>
    <t>SZ300229</t>
  </si>
  <si>
    <t>SH600588</t>
  </si>
  <si>
    <t>SH603990</t>
  </si>
  <si>
    <t>SZ300235</t>
  </si>
  <si>
    <t>SH688058</t>
  </si>
  <si>
    <t>宝兰德</t>
  </si>
  <si>
    <t>SZ300454</t>
  </si>
  <si>
    <t>SH603039</t>
  </si>
  <si>
    <t>SZ300033</t>
  </si>
  <si>
    <t>SZ300730</t>
  </si>
  <si>
    <t>SH603383</t>
  </si>
  <si>
    <t>SH688168</t>
  </si>
  <si>
    <t>SH688118</t>
  </si>
  <si>
    <t>普元信息</t>
  </si>
  <si>
    <t>SZ300369</t>
  </si>
  <si>
    <t>SZ300556</t>
  </si>
  <si>
    <t>SZ300550</t>
  </si>
  <si>
    <t>SH688078</t>
  </si>
  <si>
    <t>SZ002253</t>
  </si>
  <si>
    <t>SH603927</t>
  </si>
  <si>
    <t>中科软</t>
  </si>
  <si>
    <t>SZ300188</t>
  </si>
  <si>
    <t>SZ002212</t>
  </si>
  <si>
    <t>SZ300768</t>
  </si>
  <si>
    <t>迪普科技</t>
  </si>
  <si>
    <t>SZ300253</t>
  </si>
  <si>
    <t>SZ300036</t>
  </si>
  <si>
    <t>SZ002439</t>
  </si>
  <si>
    <t>SZ300624</t>
  </si>
  <si>
    <t>SH600570</t>
  </si>
  <si>
    <t>SZ300520</t>
  </si>
  <si>
    <t>SH688030</t>
  </si>
  <si>
    <t>SZ002063</t>
  </si>
  <si>
    <t>SH688369</t>
  </si>
  <si>
    <t>SZ300378</t>
  </si>
  <si>
    <t>SZ300377</t>
  </si>
  <si>
    <t>SZ300451</t>
  </si>
  <si>
    <t>SZ300559</t>
  </si>
  <si>
    <t>SH600602</t>
  </si>
  <si>
    <t>SZ300465</t>
  </si>
  <si>
    <t>SZ300075</t>
  </si>
  <si>
    <t>SZ300271</t>
  </si>
  <si>
    <t>SZ300605</t>
  </si>
  <si>
    <t>SZ300608</t>
  </si>
  <si>
    <t>SZ300365</t>
  </si>
  <si>
    <t>SH601360</t>
  </si>
  <si>
    <t>SZ300047</t>
  </si>
  <si>
    <t>SZ002322</t>
  </si>
  <si>
    <t>SZ002279</t>
  </si>
  <si>
    <t>SZ300344</t>
  </si>
  <si>
    <t>SZ300366</t>
  </si>
  <si>
    <t>SH688588</t>
  </si>
  <si>
    <t>凌志软件</t>
  </si>
  <si>
    <t>SZ300830</t>
  </si>
  <si>
    <t>金现代</t>
  </si>
  <si>
    <t>SH688318</t>
  </si>
  <si>
    <t>财富趋势</t>
  </si>
  <si>
    <t>SZ002987</t>
  </si>
  <si>
    <t>京北方</t>
  </si>
  <si>
    <t>SH603528</t>
  </si>
  <si>
    <t>多伦科技</t>
  </si>
  <si>
    <t>SZ000004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</si>
  <si>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</si>
  <si>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</si>
  <si>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</si>
  <si>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</si>
  <si>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</si>
  <si>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</si>
  <si>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</si>
  <si>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</si>
  <si>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</si>
  <si>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</si>
  <si>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</si>
  <si>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1.08亿</t>
  </si>
  <si>
    <t>309.94万</t>
  </si>
  <si>
    <t>0亿</t>
  </si>
  <si>
    <t>7.22亿</t>
  </si>
  <si>
    <t>1.00亿</t>
  </si>
  <si>
    <t>3.05亿</t>
  </si>
  <si>
    <t>2.18亿</t>
  </si>
  <si>
    <t>1.59亿</t>
  </si>
  <si>
    <t>1.01亿</t>
  </si>
  <si>
    <t>1.22亿</t>
  </si>
  <si>
    <t>1.51亿</t>
  </si>
  <si>
    <t>1.29亿</t>
  </si>
  <si>
    <t>-1.95亿</t>
  </si>
  <si>
    <t>1.68亿</t>
  </si>
  <si>
    <t>3.76亿</t>
  </si>
  <si>
    <t>36.47亿</t>
  </si>
  <si>
    <t>1.66亿</t>
  </si>
  <si>
    <t>2.78亿</t>
  </si>
  <si>
    <t>1.53亿</t>
  </si>
  <si>
    <t>7.82亿</t>
  </si>
  <si>
    <t>11.18亿</t>
  </si>
  <si>
    <t>6.55亿</t>
  </si>
  <si>
    <t>1.60亿</t>
  </si>
  <si>
    <t>5.65亿</t>
  </si>
  <si>
    <t>33.03亿</t>
  </si>
  <si>
    <t>5917.82万</t>
  </si>
  <si>
    <t>1.15亿</t>
  </si>
  <si>
    <t>2.17亿</t>
  </si>
  <si>
    <t>2.76亿</t>
  </si>
  <si>
    <t>1.81亿</t>
  </si>
  <si>
    <t>15.65亿</t>
  </si>
  <si>
    <t>2.27亿</t>
  </si>
  <si>
    <t>5.69亿</t>
  </si>
  <si>
    <t>2.20亿</t>
  </si>
  <si>
    <t>1.62亿</t>
  </si>
  <si>
    <t>2.36亿</t>
  </si>
  <si>
    <t>1.70亿</t>
  </si>
  <si>
    <t>1.19亿</t>
  </si>
  <si>
    <t>1.27亿</t>
  </si>
  <si>
    <t>1.84亿</t>
  </si>
  <si>
    <t>2.74亿</t>
  </si>
  <si>
    <t>2.35亿</t>
  </si>
  <si>
    <t>2.02亿</t>
  </si>
  <si>
    <t>2.48亿</t>
  </si>
  <si>
    <t>36.63亿</t>
  </si>
  <si>
    <t>3.68亿</t>
  </si>
  <si>
    <t>1.39亿</t>
  </si>
  <si>
    <t>3.04亿</t>
  </si>
  <si>
    <t>3.20亿</t>
  </si>
  <si>
    <t>2.00亿</t>
  </si>
  <si>
    <t>5.90亿</t>
  </si>
  <si>
    <t>24.41亿</t>
  </si>
  <si>
    <t>7.59亿</t>
  </si>
  <si>
    <t>5.47亿</t>
  </si>
  <si>
    <t>3.02亿</t>
  </si>
  <si>
    <t>1.07亿</t>
  </si>
  <si>
    <t>1.73亿</t>
  </si>
  <si>
    <t>1.34亿</t>
  </si>
  <si>
    <t>3.18亿</t>
  </si>
  <si>
    <t>70.91亿</t>
  </si>
  <si>
    <t>4.01亿</t>
  </si>
  <si>
    <t>2.55亿</t>
  </si>
  <si>
    <t>1.50亿</t>
  </si>
  <si>
    <t>6.96亿</t>
  </si>
  <si>
    <t>4.06亿</t>
  </si>
  <si>
    <t>4.44亿</t>
  </si>
  <si>
    <t>100.79亿</t>
  </si>
  <si>
    <t>8.19亿</t>
  </si>
  <si>
    <t>8.16亿</t>
  </si>
  <si>
    <t>3.24亿</t>
  </si>
  <si>
    <t>1.95亿</t>
  </si>
  <si>
    <t>1.55亿</t>
  </si>
  <si>
    <t>1.09亿</t>
  </si>
  <si>
    <t>6.60亿</t>
  </si>
  <si>
    <t>2.56亿</t>
  </si>
  <si>
    <t>4.95亿</t>
  </si>
  <si>
    <t>2.92亿</t>
  </si>
  <si>
    <t>3.43亿</t>
  </si>
  <si>
    <t>5176.74万</t>
  </si>
  <si>
    <t>1.40亿</t>
  </si>
  <si>
    <t>5.83亿</t>
  </si>
  <si>
    <t>3.45亿</t>
  </si>
  <si>
    <t>1.49亿</t>
  </si>
  <si>
    <t>1.75亿</t>
  </si>
  <si>
    <t>31.02亿</t>
  </si>
  <si>
    <t>5226.49万</t>
  </si>
  <si>
    <t>1.30亿</t>
  </si>
  <si>
    <t>6.09亿</t>
  </si>
  <si>
    <t>2.09亿</t>
  </si>
  <si>
    <t>1.80亿</t>
  </si>
  <si>
    <t>2.42亿</t>
  </si>
  <si>
    <t>1.10亿</t>
  </si>
  <si>
    <t>6.45亿</t>
  </si>
  <si>
    <t>2.85亿</t>
  </si>
  <si>
    <t>7.63亿</t>
  </si>
  <si>
    <t>1.26亿</t>
  </si>
  <si>
    <t>1.48亿</t>
  </si>
  <si>
    <t>1.86亿</t>
  </si>
  <si>
    <t>14.39亿</t>
  </si>
  <si>
    <t>4.78亿</t>
  </si>
  <si>
    <t>3.12亿</t>
  </si>
  <si>
    <t>3.52亿</t>
  </si>
  <si>
    <t>2.64亿</t>
  </si>
  <si>
    <t>1.03亿</t>
  </si>
  <si>
    <t>2.71亿</t>
  </si>
  <si>
    <t>1.69亿</t>
  </si>
  <si>
    <t>5.80亿</t>
  </si>
  <si>
    <t>4.63亿</t>
  </si>
  <si>
    <t>4.65亿</t>
  </si>
  <si>
    <t>2.07亿</t>
  </si>
  <si>
    <t>15.80亿</t>
  </si>
  <si>
    <t>1.54亿</t>
  </si>
  <si>
    <t>1.14亿</t>
  </si>
  <si>
    <t>2.50亿</t>
  </si>
  <si>
    <t>3.03亿</t>
  </si>
  <si>
    <t>10.26亿</t>
  </si>
  <si>
    <t>2.43亿</t>
  </si>
  <si>
    <t>1.12亿</t>
  </si>
  <si>
    <t>11.05亿</t>
  </si>
  <si>
    <t>3743.29万</t>
  </si>
  <si>
    <t>2.75亿</t>
  </si>
  <si>
    <t>1.83亿</t>
  </si>
  <si>
    <t>1.64亿</t>
  </si>
  <si>
    <t>3.35亿</t>
  </si>
  <si>
    <t>4.89亿</t>
  </si>
  <si>
    <t>1.79亿</t>
  </si>
  <si>
    <t>2.89亿</t>
  </si>
  <si>
    <t>3.79亿</t>
  </si>
  <si>
    <t>1.46亿</t>
  </si>
  <si>
    <t>3.98亿</t>
  </si>
  <si>
    <t>19.48亿</t>
  </si>
  <si>
    <t>1.82亿</t>
  </si>
  <si>
    <t>1.13亿</t>
  </si>
  <si>
    <t>1.17亿</t>
  </si>
  <si>
    <t>10.74亿</t>
  </si>
  <si>
    <t>5.07亿</t>
  </si>
  <si>
    <t>4.56亿</t>
  </si>
  <si>
    <t>3.01亿</t>
  </si>
  <si>
    <t>23.10亿</t>
  </si>
  <si>
    <t>3.39亿</t>
  </si>
  <si>
    <t>5.39亿</t>
  </si>
  <si>
    <t>2.10亿</t>
  </si>
  <si>
    <t>4.77亿</t>
  </si>
  <si>
    <t>1.02亿</t>
  </si>
  <si>
    <t>5.50亿</t>
  </si>
  <si>
    <t>1.25亿</t>
  </si>
  <si>
    <t>1.44亿</t>
  </si>
  <si>
    <t>100.00万</t>
  </si>
  <si>
    <t>-3.43亿</t>
  </si>
  <si>
    <t>1.37亿</t>
  </si>
  <si>
    <t>7.40亿</t>
  </si>
  <si>
    <t>4.66亿</t>
  </si>
  <si>
    <t>4.97亿</t>
  </si>
  <si>
    <t>2.68亿</t>
  </si>
  <si>
    <t>30.89亿</t>
  </si>
  <si>
    <t>6.88亿</t>
  </si>
  <si>
    <t>2.82亿</t>
  </si>
  <si>
    <t>10.84亿</t>
  </si>
  <si>
    <t>2.04亿</t>
  </si>
  <si>
    <t>2.91亿</t>
  </si>
  <si>
    <t>1.93亿</t>
  </si>
  <si>
    <t>2.52亿</t>
  </si>
  <si>
    <t>4.15亿</t>
  </si>
  <si>
    <t>3.31亿</t>
  </si>
  <si>
    <t>2.58亿</t>
  </si>
  <si>
    <t>7.94亿</t>
  </si>
  <si>
    <t>3.91亿</t>
  </si>
  <si>
    <t>6.39亿</t>
  </si>
  <si>
    <t>6.07亿</t>
  </si>
  <si>
    <t>1.78亿</t>
  </si>
  <si>
    <t>3.93亿</t>
  </si>
  <si>
    <t>4.98亿</t>
  </si>
  <si>
    <t>3.06亿</t>
  </si>
  <si>
    <t>11.64亿</t>
  </si>
  <si>
    <t>3.87亿</t>
  </si>
  <si>
    <t>1.06亿</t>
  </si>
  <si>
    <t>1.43亿</t>
  </si>
  <si>
    <t>2.77亿</t>
  </si>
  <si>
    <t>4.76亿</t>
  </si>
  <si>
    <t>2.16亿</t>
  </si>
  <si>
    <t>5.78亿</t>
  </si>
  <si>
    <t>15.55亿</t>
  </si>
  <si>
    <t>2.46亿</t>
  </si>
  <si>
    <t>15.76亿</t>
  </si>
  <si>
    <t>3.25亿</t>
  </si>
  <si>
    <t>3.86亿</t>
  </si>
  <si>
    <t>2.06亿</t>
  </si>
  <si>
    <t>16.72亿</t>
  </si>
  <si>
    <t>1.96亿</t>
  </si>
  <si>
    <t>3.28亿</t>
  </si>
  <si>
    <t>9.39亿</t>
  </si>
  <si>
    <t>4.91亿</t>
  </si>
  <si>
    <t>1.31亿</t>
  </si>
  <si>
    <t>6.90亿</t>
  </si>
  <si>
    <t>1.61亿</t>
  </si>
  <si>
    <t>2.51亿</t>
  </si>
  <si>
    <t>4.25亿</t>
  </si>
  <si>
    <t>3.70亿</t>
  </si>
  <si>
    <t>5.08亿</t>
  </si>
  <si>
    <t>2.22亿</t>
  </si>
  <si>
    <t>2.08亿</t>
  </si>
  <si>
    <t>2.59亿</t>
  </si>
  <si>
    <t>16.87亿</t>
  </si>
  <si>
    <t>8.73亿</t>
  </si>
  <si>
    <t>8.07亿</t>
  </si>
  <si>
    <t>2.13亿</t>
  </si>
  <si>
    <t>3.19亿</t>
  </si>
  <si>
    <t>2.30亿</t>
  </si>
  <si>
    <t>1.18亿</t>
  </si>
  <si>
    <t>3.81亿</t>
  </si>
  <si>
    <t>2.33亿</t>
  </si>
  <si>
    <t>17.42亿</t>
  </si>
  <si>
    <t>8.98亿</t>
  </si>
  <si>
    <t>1.28亿</t>
  </si>
  <si>
    <t>2.63亿</t>
  </si>
  <si>
    <t>4.30亿</t>
  </si>
  <si>
    <t>4.26亿</t>
  </si>
  <si>
    <t>17.35亿</t>
  </si>
  <si>
    <t>2.19亿</t>
  </si>
  <si>
    <t>2.32亿</t>
  </si>
  <si>
    <t>4.35亿</t>
  </si>
  <si>
    <t>3.90亿</t>
  </si>
  <si>
    <t>3.64亿</t>
  </si>
  <si>
    <t>6.00亿</t>
  </si>
  <si>
    <t>44.71亿</t>
  </si>
  <si>
    <t>3.85亿</t>
  </si>
  <si>
    <t>2.96亿</t>
  </si>
  <si>
    <t>2.01亿</t>
  </si>
  <si>
    <t>1.47亿</t>
  </si>
  <si>
    <t>12.58亿</t>
  </si>
  <si>
    <t>4.19亿</t>
  </si>
  <si>
    <t>6.68亿</t>
  </si>
  <si>
    <t>5.54亿</t>
  </si>
  <si>
    <t>4.10亿</t>
  </si>
  <si>
    <t>3.40亿</t>
  </si>
  <si>
    <t>1.41亿</t>
  </si>
  <si>
    <t>11.81亿</t>
  </si>
  <si>
    <t>491.79万</t>
  </si>
  <si>
    <t>6.12亿</t>
  </si>
  <si>
    <t>2.67亿</t>
  </si>
  <si>
    <t>3.17亿</t>
  </si>
  <si>
    <t>8.94亿</t>
  </si>
  <si>
    <t>1.05亿</t>
  </si>
  <si>
    <t>1.23亿</t>
  </si>
  <si>
    <t>2.60亿</t>
  </si>
  <si>
    <t>5.03亿</t>
  </si>
  <si>
    <t>5.51亿</t>
  </si>
  <si>
    <t>4.08亿</t>
  </si>
  <si>
    <t>1.20亿</t>
  </si>
  <si>
    <t>5.67亿</t>
  </si>
  <si>
    <t>5.25亿</t>
  </si>
  <si>
    <t>1.45亿</t>
  </si>
  <si>
    <t>1.85亿</t>
  </si>
  <si>
    <t>21.25亿</t>
  </si>
  <si>
    <t>20.67亿</t>
  </si>
  <si>
    <t>2.90亿</t>
  </si>
  <si>
    <t>6.40亿</t>
  </si>
  <si>
    <t>1.56亿</t>
  </si>
  <si>
    <t>5.72亿</t>
  </si>
  <si>
    <t>9.67亿</t>
  </si>
  <si>
    <t>1.57亿</t>
  </si>
  <si>
    <t>3.14亿</t>
  </si>
  <si>
    <t>2.53亿</t>
  </si>
  <si>
    <t>1.72亿</t>
  </si>
  <si>
    <t>1.35亿</t>
  </si>
  <si>
    <t>8.09亿</t>
  </si>
  <si>
    <t>7.04亿</t>
  </si>
  <si>
    <t>3218.75万</t>
  </si>
  <si>
    <t>2.49亿</t>
  </si>
  <si>
    <t>4.22亿</t>
  </si>
  <si>
    <t>3.83亿</t>
  </si>
  <si>
    <t>1.58亿</t>
  </si>
  <si>
    <t>3.09亿</t>
  </si>
  <si>
    <t>1.04亿</t>
  </si>
  <si>
    <t>1.36亿</t>
  </si>
  <si>
    <t>11.79亿</t>
  </si>
  <si>
    <t>6.01亿</t>
  </si>
  <si>
    <t>4.60亿</t>
  </si>
  <si>
    <t>1.87亿</t>
  </si>
  <si>
    <t>3.23亿</t>
  </si>
  <si>
    <t>1.67亿</t>
  </si>
  <si>
    <t>2.81亿</t>
  </si>
  <si>
    <t>1.52亿</t>
  </si>
  <si>
    <t>19.08亿</t>
  </si>
  <si>
    <t>2.23亿</t>
  </si>
  <si>
    <t>4.50亿</t>
  </si>
  <si>
    <t>3.32亿</t>
  </si>
  <si>
    <t>2.39亿</t>
  </si>
  <si>
    <t>35.10亿</t>
  </si>
  <si>
    <t>8.99亿</t>
  </si>
  <si>
    <t>1.24亿</t>
  </si>
  <si>
    <t>4.04亿</t>
  </si>
  <si>
    <t>2.38亿</t>
  </si>
  <si>
    <t>4.96亿</t>
  </si>
  <si>
    <t>4.36亿</t>
  </si>
  <si>
    <t>1.71亿</t>
  </si>
  <si>
    <t>1.11亿</t>
  </si>
  <si>
    <t>1.94亿</t>
  </si>
  <si>
    <t>5.42亿</t>
  </si>
  <si>
    <t>2.79亿</t>
  </si>
  <si>
    <t>19.19亿</t>
  </si>
  <si>
    <t>4.52亿</t>
  </si>
  <si>
    <t>4.41亿</t>
  </si>
  <si>
    <t>9.96亿</t>
  </si>
  <si>
    <t>-1.01亿</t>
  </si>
  <si>
    <t>3.33亿</t>
  </si>
  <si>
    <t>1.76亿</t>
  </si>
  <si>
    <t>2.41亿</t>
  </si>
  <si>
    <t>4.20亿</t>
  </si>
  <si>
    <t>2.61亿</t>
  </si>
  <si>
    <t>1.32亿</t>
  </si>
  <si>
    <t>5.15亿</t>
  </si>
  <si>
    <t>3.71亿</t>
  </si>
  <si>
    <t>1583.05万</t>
  </si>
  <si>
    <t>13.11亿</t>
  </si>
  <si>
    <t>1.38亿</t>
  </si>
  <si>
    <t>1.90亿</t>
  </si>
  <si>
    <t>2238.42万</t>
  </si>
  <si>
    <t>2.57亿</t>
  </si>
  <si>
    <t>1.21亿</t>
  </si>
  <si>
    <t>11.23亿</t>
  </si>
  <si>
    <t>2.95亿</t>
  </si>
  <si>
    <t>2.11亿</t>
  </si>
  <si>
    <t>19.71亿</t>
  </si>
  <si>
    <t>4.00亿</t>
  </si>
  <si>
    <t>3.69亿</t>
  </si>
  <si>
    <t>3.54亿</t>
  </si>
  <si>
    <t>5.10亿</t>
  </si>
  <si>
    <t>16.71亿</t>
  </si>
  <si>
    <t>6.14亿</t>
  </si>
  <si>
    <t>8.04亿</t>
  </si>
  <si>
    <t>6.56亿</t>
  </si>
  <si>
    <t>1.16亿</t>
  </si>
  <si>
    <t>2.40亿</t>
  </si>
  <si>
    <t>14.67亿</t>
  </si>
  <si>
    <t>6.23亿</t>
  </si>
  <si>
    <t>5.00亿</t>
  </si>
  <si>
    <t>2.31亿</t>
  </si>
  <si>
    <t>6.47亿</t>
  </si>
  <si>
    <t>3108.66万</t>
  </si>
  <si>
    <t>1.98亿</t>
  </si>
  <si>
    <t>4.75亿</t>
  </si>
  <si>
    <t>2.34亿</t>
  </si>
  <si>
    <t>6.21亿</t>
  </si>
  <si>
    <t>2.14亿</t>
  </si>
  <si>
    <t>4.55亿</t>
  </si>
  <si>
    <t>13.45亿</t>
  </si>
  <si>
    <t>2.29亿</t>
  </si>
  <si>
    <t>2.25亿</t>
  </si>
  <si>
    <t>14.80亿</t>
  </si>
  <si>
    <t>3.47亿</t>
  </si>
  <si>
    <t>2.21亿</t>
  </si>
  <si>
    <t>45.90亿</t>
  </si>
  <si>
    <t>7.77亿</t>
  </si>
  <si>
    <t>6.38亿</t>
  </si>
  <si>
    <t>17.58亿</t>
  </si>
  <si>
    <t>3.44亿</t>
  </si>
  <si>
    <t>5.26亿</t>
  </si>
  <si>
    <t>9623.86万</t>
  </si>
  <si>
    <t>2.26亿</t>
  </si>
  <si>
    <t>-1.51亿</t>
  </si>
  <si>
    <t>3.00亿</t>
  </si>
  <si>
    <t>2.44亿</t>
  </si>
  <si>
    <t>6.30亿</t>
  </si>
  <si>
    <t>1.91亿</t>
  </si>
  <si>
    <t>15.70亿</t>
  </si>
  <si>
    <t>6.73亿</t>
  </si>
  <si>
    <t>4.09亿</t>
  </si>
  <si>
    <t>2.80亿</t>
  </si>
  <si>
    <t>5.04亿</t>
  </si>
  <si>
    <t>3.13亿</t>
  </si>
  <si>
    <t>4.13亿</t>
  </si>
  <si>
    <t>5528.69万</t>
  </si>
  <si>
    <t>4123.48万</t>
  </si>
  <si>
    <t>-1.06亿</t>
  </si>
  <si>
    <t>5.11亿</t>
  </si>
  <si>
    <t>3.38亿</t>
  </si>
  <si>
    <t>9.16亿</t>
  </si>
  <si>
    <t>2784.46万</t>
  </si>
  <si>
    <t>3.61亿</t>
  </si>
  <si>
    <t>3.21亿</t>
  </si>
  <si>
    <t>2.05亿</t>
  </si>
  <si>
    <t>1.97亿</t>
  </si>
  <si>
    <t>2011.83万</t>
  </si>
  <si>
    <t>9852.60万</t>
  </si>
  <si>
    <t>3.80亿</t>
  </si>
  <si>
    <t>3.72亿</t>
  </si>
  <si>
    <t>2.94亿</t>
  </si>
  <si>
    <t>1.63亿</t>
  </si>
  <si>
    <t>6073.79万</t>
  </si>
  <si>
    <t>8.60亿</t>
  </si>
  <si>
    <t>9102.05万</t>
  </si>
  <si>
    <t>1.77亿</t>
  </si>
  <si>
    <t>7.03亿</t>
  </si>
  <si>
    <t>8626.07万</t>
  </si>
  <si>
    <t>3.75亿</t>
  </si>
  <si>
    <t>7.32亿</t>
  </si>
  <si>
    <t>2.72亿</t>
  </si>
  <si>
    <t>3.58亿</t>
  </si>
  <si>
    <t>7.26亿</t>
  </si>
  <si>
    <t>5.46亿</t>
  </si>
  <si>
    <t>6.03亿</t>
  </si>
  <si>
    <t>9.34亿</t>
  </si>
  <si>
    <t>4950.93万</t>
  </si>
  <si>
    <t>4.49亿</t>
  </si>
  <si>
    <t>4.17亿</t>
  </si>
  <si>
    <t>3590.76万</t>
  </si>
  <si>
    <t>4.12亿</t>
  </si>
  <si>
    <t>4.28亿</t>
  </si>
  <si>
    <t>2.98亿</t>
  </si>
  <si>
    <t>4.61亿</t>
  </si>
  <si>
    <t>8974.44万</t>
  </si>
  <si>
    <t>7.39亿</t>
  </si>
  <si>
    <t>3.63亿</t>
  </si>
  <si>
    <t>4.87亿</t>
  </si>
  <si>
    <t>1.65亿</t>
  </si>
  <si>
    <t>2.87亿</t>
  </si>
  <si>
    <t>3.37亿</t>
  </si>
  <si>
    <t>2.47亿</t>
  </si>
  <si>
    <t>38.72亿</t>
  </si>
  <si>
    <t>14.16亿</t>
  </si>
  <si>
    <t>4.79亿</t>
  </si>
  <si>
    <t>3.56亿</t>
  </si>
  <si>
    <t>12.00亿</t>
  </si>
  <si>
    <t>85.10亿</t>
  </si>
  <si>
    <t>11.83亿</t>
  </si>
  <si>
    <t>6.27亿</t>
  </si>
  <si>
    <t>48.89亿</t>
  </si>
  <si>
    <t>-1.42亿</t>
  </si>
  <si>
    <t>6.04亿</t>
  </si>
  <si>
    <t>6.80亿</t>
  </si>
  <si>
    <t>5.45亿</t>
  </si>
  <si>
    <t>6.61亿</t>
  </si>
  <si>
    <t>3.08亿</t>
  </si>
  <si>
    <t>128.41亿</t>
  </si>
  <si>
    <t>59.80亿</t>
  </si>
  <si>
    <t>6.83亿</t>
  </si>
  <si>
    <t>596.42万</t>
  </si>
  <si>
    <t>-1.49亿</t>
  </si>
  <si>
    <t>12.86亿</t>
  </si>
  <si>
    <t>3.60亿</t>
  </si>
  <si>
    <t>6.08亿</t>
  </si>
  <si>
    <t>3439.68万</t>
  </si>
  <si>
    <t>7007.52万</t>
  </si>
  <si>
    <t>3.67亿</t>
  </si>
  <si>
    <t>2.83亿</t>
  </si>
  <si>
    <t>4.72亿</t>
  </si>
  <si>
    <t>6.98亿</t>
  </si>
  <si>
    <t>6.70亿</t>
  </si>
  <si>
    <t>3.66亿</t>
  </si>
  <si>
    <t>9.38亿</t>
  </si>
  <si>
    <t>4.31亿</t>
  </si>
  <si>
    <t>3.57亿</t>
  </si>
  <si>
    <t>2.45亿</t>
  </si>
  <si>
    <t>2.15亿</t>
  </si>
  <si>
    <t>15.51亿</t>
  </si>
  <si>
    <t>54.99亿</t>
  </si>
  <si>
    <t>3.26亿</t>
  </si>
  <si>
    <t>2.69亿</t>
  </si>
  <si>
    <t>4688.71万</t>
  </si>
  <si>
    <t>9.44亿</t>
  </si>
  <si>
    <t>9222.04万</t>
  </si>
  <si>
    <t>山石网科</t>
  </si>
  <si>
    <t>6.75亿</t>
  </si>
  <si>
    <t>9104.61万</t>
  </si>
  <si>
    <t>3.51亿</t>
  </si>
  <si>
    <t>6124.31万</t>
  </si>
  <si>
    <t>4708.17万</t>
  </si>
  <si>
    <t>SH688095</t>
  </si>
  <si>
    <t>福昕软件</t>
  </si>
  <si>
    <t>7413.57万</t>
  </si>
  <si>
    <t>1.74亿</t>
  </si>
  <si>
    <t>2.66亿</t>
  </si>
  <si>
    <t>5027.46万</t>
  </si>
  <si>
    <t>安博通</t>
  </si>
  <si>
    <t>7377.20万</t>
  </si>
  <si>
    <t>3.34亿</t>
  </si>
  <si>
    <t>7.00亿</t>
  </si>
  <si>
    <t>9746.67万</t>
  </si>
  <si>
    <t>-1.05亿</t>
  </si>
  <si>
    <t>5.20亿</t>
  </si>
  <si>
    <t>SH688561</t>
  </si>
  <si>
    <t>奇安信-U</t>
  </si>
  <si>
    <t>31.54亿</t>
  </si>
  <si>
    <t>-4.95亿</t>
  </si>
  <si>
    <t>SH688579</t>
  </si>
  <si>
    <t>7817.66万</t>
  </si>
  <si>
    <t>5.97亿</t>
  </si>
  <si>
    <t>2.12亿</t>
  </si>
  <si>
    <t>4.67亿</t>
  </si>
  <si>
    <t>5.40亿</t>
  </si>
  <si>
    <t>SZ003007</t>
  </si>
  <si>
    <t>直真科技</t>
  </si>
  <si>
    <t>8503.83万</t>
  </si>
  <si>
    <t>4.16亿</t>
  </si>
  <si>
    <t>流动资产</t>
  </si>
  <si>
    <t>营业收入[20191231]</t>
  </si>
  <si>
    <t>营业收入[20181231]</t>
  </si>
  <si>
    <t>净利润[20191231]</t>
  </si>
  <si>
    <t>净利润[20181231]</t>
  </si>
  <si>
    <t>净利润[20171231]</t>
  </si>
  <si>
    <t>6462.31万</t>
  </si>
  <si>
    <t>2.88亿</t>
  </si>
  <si>
    <t>-2027.08万</t>
  </si>
  <si>
    <t>4.88亿</t>
  </si>
  <si>
    <t>13.64亿</t>
  </si>
  <si>
    <t>7.23亿</t>
  </si>
  <si>
    <t>12.99亿</t>
  </si>
  <si>
    <t>2.54亿</t>
  </si>
  <si>
    <t>3.16亿</t>
  </si>
  <si>
    <t>15.06亿</t>
  </si>
  <si>
    <t>3.50亿</t>
  </si>
  <si>
    <t>21.63亿</t>
  </si>
  <si>
    <t>3.65亿</t>
  </si>
  <si>
    <t>-2.25亿</t>
  </si>
  <si>
    <t>3114.73万</t>
  </si>
  <si>
    <t>5.16亿</t>
  </si>
  <si>
    <t>-1.59亿</t>
  </si>
  <si>
    <t>1.89亿</t>
  </si>
  <si>
    <t>42.39亿</t>
  </si>
  <si>
    <t>9499.65万</t>
  </si>
  <si>
    <t>27.80亿</t>
  </si>
  <si>
    <t>7477.14万</t>
  </si>
  <si>
    <t>16.92亿</t>
  </si>
  <si>
    <t>5.27亿</t>
  </si>
  <si>
    <t>5.34亿</t>
  </si>
  <si>
    <t>12.78亿</t>
  </si>
  <si>
    <t>6.64亿</t>
  </si>
  <si>
    <t>33.17亿</t>
  </si>
  <si>
    <t>-6758.00万</t>
  </si>
  <si>
    <t>30.98亿</t>
  </si>
  <si>
    <t>12.26亿</t>
  </si>
  <si>
    <t>32.00亿</t>
  </si>
  <si>
    <t>天融信</t>
  </si>
  <si>
    <t>57.04亿</t>
  </si>
  <si>
    <t>63.00亿</t>
  </si>
  <si>
    <t>4.85亿</t>
  </si>
  <si>
    <t>7.43亿</t>
  </si>
  <si>
    <t>-1.57亿</t>
  </si>
  <si>
    <t>130.25亿</t>
  </si>
  <si>
    <t>79.17亿</t>
  </si>
  <si>
    <t>4.84亿</t>
  </si>
  <si>
    <t>15.52亿</t>
  </si>
  <si>
    <t>6738.77万</t>
  </si>
  <si>
    <t>5494.07万</t>
  </si>
  <si>
    <t>14.89亿</t>
  </si>
  <si>
    <t>3.73亿</t>
  </si>
  <si>
    <t>-1.72亿</t>
  </si>
  <si>
    <t>28.21亿</t>
  </si>
  <si>
    <t>7162.66万</t>
  </si>
  <si>
    <t>27.20亿</t>
  </si>
  <si>
    <t>7.17亿</t>
  </si>
  <si>
    <t>-8.41亿</t>
  </si>
  <si>
    <t>3.07亿</t>
  </si>
  <si>
    <t>3.30亿</t>
  </si>
  <si>
    <t>5.74亿</t>
  </si>
  <si>
    <t>10.34亿</t>
  </si>
  <si>
    <t>10.03亿</t>
  </si>
  <si>
    <t>9.94亿</t>
  </si>
  <si>
    <t>6.34亿</t>
  </si>
  <si>
    <t>3.27亿</t>
  </si>
  <si>
    <t>7.47亿</t>
  </si>
  <si>
    <t>1586.46万</t>
  </si>
  <si>
    <t>7.25亿</t>
  </si>
  <si>
    <t>8.40亿</t>
  </si>
  <si>
    <t>3.36亿</t>
  </si>
  <si>
    <t>21.48亿</t>
  </si>
  <si>
    <t>-3.09亿</t>
  </si>
  <si>
    <t>5.57亿</t>
  </si>
  <si>
    <t>2.03亿</t>
  </si>
  <si>
    <t>21.34亿</t>
  </si>
  <si>
    <t>34.64亿</t>
  </si>
  <si>
    <t>28.62亿</t>
  </si>
  <si>
    <t>4.39亿</t>
  </si>
  <si>
    <t>5.59亿</t>
  </si>
  <si>
    <t>9.93亿</t>
  </si>
  <si>
    <t>25.22亿</t>
  </si>
  <si>
    <t>22.79亿</t>
  </si>
  <si>
    <t>7.88亿</t>
  </si>
  <si>
    <t>7.30亿</t>
  </si>
  <si>
    <t>5.91亿</t>
  </si>
  <si>
    <t>8.12亿</t>
  </si>
  <si>
    <t>8.17亿</t>
  </si>
  <si>
    <t>7.37亿</t>
  </si>
  <si>
    <t>11.49亿</t>
  </si>
  <si>
    <t>9.04亿</t>
  </si>
  <si>
    <t>4.94亿</t>
  </si>
  <si>
    <t>-3.34亿</t>
  </si>
  <si>
    <t>15.96亿</t>
  </si>
  <si>
    <t>8.91亿</t>
  </si>
  <si>
    <t>-2.83亿</t>
  </si>
  <si>
    <t>6.62亿</t>
  </si>
  <si>
    <t>5.94亿</t>
  </si>
  <si>
    <t>3.59亿</t>
  </si>
  <si>
    <t>22.93亿</t>
  </si>
  <si>
    <t>10.10亿</t>
  </si>
  <si>
    <t>7802.92万</t>
  </si>
  <si>
    <t>15.12亿</t>
  </si>
  <si>
    <t>5.79亿</t>
  </si>
  <si>
    <t>8.78亿</t>
  </si>
  <si>
    <t>6641.95万</t>
  </si>
  <si>
    <t>6919.23万</t>
  </si>
  <si>
    <t>SZ003029</t>
  </si>
  <si>
    <t>吉大正元</t>
  </si>
  <si>
    <t>6.10亿</t>
  </si>
  <si>
    <t>8895.34万</t>
  </si>
  <si>
    <t>8747.46万</t>
  </si>
  <si>
    <t>28.44亿</t>
  </si>
  <si>
    <t>17.24亿</t>
  </si>
  <si>
    <t>13.87亿</t>
  </si>
  <si>
    <t>16.10亿</t>
  </si>
  <si>
    <t>15.18亿</t>
  </si>
  <si>
    <t>52.54亿</t>
  </si>
  <si>
    <t>37.67亿</t>
  </si>
  <si>
    <t>4.45亿</t>
  </si>
  <si>
    <t>2266.49万</t>
  </si>
  <si>
    <t>1596.63万</t>
  </si>
  <si>
    <t>1483.15万</t>
  </si>
  <si>
    <t>14.14亿</t>
  </si>
  <si>
    <t>7.07亿</t>
  </si>
  <si>
    <t>12.89亿</t>
  </si>
  <si>
    <t>1.88亿</t>
  </si>
  <si>
    <t>9.87亿</t>
  </si>
  <si>
    <t>10.29亿</t>
  </si>
  <si>
    <t>6.36亿</t>
  </si>
  <si>
    <t>13.90亿</t>
  </si>
  <si>
    <t>2085.83万</t>
  </si>
  <si>
    <t>3.11亿</t>
  </si>
  <si>
    <t>3575.07万</t>
  </si>
  <si>
    <t>10.04亿</t>
  </si>
  <si>
    <t>3.62亿</t>
  </si>
  <si>
    <t>6.26亿</t>
  </si>
  <si>
    <t>18.94亿</t>
  </si>
  <si>
    <t>5.23亿</t>
  </si>
  <si>
    <t>6.11亿</t>
  </si>
  <si>
    <t>4.46亿</t>
  </si>
  <si>
    <t>-1.79亿</t>
  </si>
  <si>
    <t>5.89亿</t>
  </si>
  <si>
    <t>23.86亿</t>
  </si>
  <si>
    <t>16.01亿</t>
  </si>
  <si>
    <t>13.09亿</t>
  </si>
  <si>
    <t>8.45亿</t>
  </si>
  <si>
    <t>6092.70万</t>
  </si>
  <si>
    <t>5.43亿</t>
  </si>
  <si>
    <t>3.78亿</t>
  </si>
  <si>
    <t>3119.34万</t>
  </si>
  <si>
    <t>1231.61万</t>
  </si>
  <si>
    <t>8.38亿</t>
  </si>
  <si>
    <t>5.02亿</t>
  </si>
  <si>
    <t>9.73亿</t>
  </si>
  <si>
    <t>2.84亿</t>
  </si>
  <si>
    <t>22.67亿</t>
  </si>
  <si>
    <t>4.71亿</t>
  </si>
  <si>
    <t>7.53亿</t>
  </si>
  <si>
    <t>33.56亿</t>
  </si>
  <si>
    <t>27.08亿</t>
  </si>
  <si>
    <t>18.20亿</t>
  </si>
  <si>
    <t>9.72亿</t>
  </si>
  <si>
    <t>-1.32亿</t>
  </si>
  <si>
    <t>9.13亿</t>
  </si>
  <si>
    <t>4.37亿</t>
  </si>
  <si>
    <t>2.73亿</t>
  </si>
  <si>
    <t>10.19亿</t>
  </si>
  <si>
    <t>13.15亿</t>
  </si>
  <si>
    <t>立方数科</t>
  </si>
  <si>
    <t>-5.92亿</t>
  </si>
  <si>
    <t>5.37亿</t>
  </si>
  <si>
    <t>4.69亿</t>
  </si>
  <si>
    <t>3459.88万</t>
  </si>
  <si>
    <t>2.37亿</t>
  </si>
  <si>
    <t>10.87亿</t>
  </si>
  <si>
    <t>5645.41万</t>
  </si>
  <si>
    <t>-6.02亿</t>
  </si>
  <si>
    <t>6.69亿</t>
  </si>
  <si>
    <t>6.41亿</t>
  </si>
  <si>
    <t>2573.97万</t>
  </si>
  <si>
    <t>8594.03万</t>
  </si>
  <si>
    <t>9.65亿</t>
  </si>
  <si>
    <t>8245.25万</t>
  </si>
  <si>
    <t>11.84亿</t>
  </si>
  <si>
    <t>20.06亿</t>
  </si>
  <si>
    <t>-7.80亿</t>
  </si>
  <si>
    <t>16.05亿</t>
  </si>
  <si>
    <t>-3.86亿</t>
  </si>
  <si>
    <t>32.24亿</t>
  </si>
  <si>
    <t>20.10亿</t>
  </si>
  <si>
    <t>10.91亿</t>
  </si>
  <si>
    <t>1393.19万</t>
  </si>
  <si>
    <t>14.96亿</t>
  </si>
  <si>
    <t>13.42亿</t>
  </si>
  <si>
    <t>7923.67万</t>
  </si>
  <si>
    <t>6122.34万</t>
  </si>
  <si>
    <t>2921.69万</t>
  </si>
  <si>
    <t>7.65亿</t>
  </si>
  <si>
    <t>16.33亿</t>
  </si>
  <si>
    <t>12.90亿</t>
  </si>
  <si>
    <t>5.49亿</t>
  </si>
  <si>
    <t>54.58亿</t>
  </si>
  <si>
    <t>-6.71亿</t>
  </si>
  <si>
    <t>15.92亿</t>
  </si>
  <si>
    <t>7455.50万</t>
  </si>
  <si>
    <t>6880.44万</t>
  </si>
  <si>
    <t>-6385.87万</t>
  </si>
  <si>
    <t>7.05亿</t>
  </si>
  <si>
    <t>5.21亿</t>
  </si>
  <si>
    <t>4480.32万</t>
  </si>
  <si>
    <t>4.43亿</t>
  </si>
  <si>
    <t>4028.12万</t>
  </si>
  <si>
    <t>9.82亿</t>
  </si>
  <si>
    <t>4886.07万</t>
  </si>
  <si>
    <t>3.49亿</t>
  </si>
  <si>
    <t>10.32亿</t>
  </si>
  <si>
    <t>11.36亿</t>
  </si>
  <si>
    <t>8534.92万</t>
  </si>
  <si>
    <t>5.61亿</t>
  </si>
  <si>
    <t>5.62亿</t>
  </si>
  <si>
    <t>-5.09亿</t>
  </si>
  <si>
    <t>7.15亿</t>
  </si>
  <si>
    <t>6827.87万</t>
  </si>
  <si>
    <t>3836.85万</t>
  </si>
  <si>
    <t>4314.28万</t>
  </si>
  <si>
    <t>4044.40万</t>
  </si>
  <si>
    <t>6060.56万</t>
  </si>
  <si>
    <t>5415.58万</t>
  </si>
  <si>
    <t>1728.52万</t>
  </si>
  <si>
    <t>2603.75万</t>
  </si>
  <si>
    <t>8.58亿</t>
  </si>
  <si>
    <t>8645.54万</t>
  </si>
  <si>
    <t>7.98亿</t>
  </si>
  <si>
    <t>5885.84万</t>
  </si>
  <si>
    <t>1591.79万</t>
  </si>
  <si>
    <t>5893.64万</t>
  </si>
  <si>
    <t>5353.72万</t>
  </si>
  <si>
    <t>7068.60万</t>
  </si>
  <si>
    <t>8531.57万</t>
  </si>
  <si>
    <t>9.76亿</t>
  </si>
  <si>
    <t>8266.76万</t>
  </si>
  <si>
    <t>10.39亿</t>
  </si>
  <si>
    <t>6053.01万</t>
  </si>
  <si>
    <t>4257.60万</t>
  </si>
  <si>
    <t>33.87亿</t>
  </si>
  <si>
    <t>3244.13万</t>
  </si>
  <si>
    <t>3511.15万</t>
  </si>
  <si>
    <t>6.93亿</t>
  </si>
  <si>
    <t>8921.06万</t>
  </si>
  <si>
    <t>6772.16万</t>
  </si>
  <si>
    <t>7501.39万</t>
  </si>
  <si>
    <t>SZ300925</t>
  </si>
  <si>
    <t>法本信息</t>
  </si>
  <si>
    <t>13.07亿</t>
  </si>
  <si>
    <t>9595.44万</t>
  </si>
  <si>
    <t>6516.59万</t>
  </si>
  <si>
    <t>SZ300935</t>
  </si>
  <si>
    <t>盈建科</t>
  </si>
  <si>
    <t>5543.01万</t>
  </si>
  <si>
    <t>6588.15万</t>
  </si>
  <si>
    <t>5176.15万</t>
  </si>
  <si>
    <t>SZ300996</t>
  </si>
  <si>
    <t>普联软件</t>
  </si>
  <si>
    <t>5877.74万</t>
  </si>
  <si>
    <t>8338.99万</t>
  </si>
  <si>
    <t>8.22亿</t>
  </si>
  <si>
    <t>10.31亿</t>
  </si>
  <si>
    <t>6.53亿</t>
  </si>
  <si>
    <t>41.73亿</t>
  </si>
  <si>
    <t>13.22亿</t>
  </si>
  <si>
    <t>32.63亿</t>
  </si>
  <si>
    <t>6.42亿</t>
  </si>
  <si>
    <t>77.03亿</t>
  </si>
  <si>
    <t>44.66亿</t>
  </si>
  <si>
    <t>5.87亿</t>
  </si>
  <si>
    <t>12.13亿</t>
  </si>
  <si>
    <t>13.01亿</t>
  </si>
  <si>
    <t>12.98亿</t>
  </si>
  <si>
    <t>116.15亿</t>
  </si>
  <si>
    <t>29.13亿</t>
  </si>
  <si>
    <t>131.29亿</t>
  </si>
  <si>
    <t>35.35亿</t>
  </si>
  <si>
    <t>7.08亿</t>
  </si>
  <si>
    <t>7248.01万</t>
  </si>
  <si>
    <t>15.39亿</t>
  </si>
  <si>
    <t>14.82亿</t>
  </si>
  <si>
    <t>9.18亿</t>
  </si>
  <si>
    <t>7167.59万</t>
  </si>
  <si>
    <t>799.41万</t>
  </si>
  <si>
    <t>5707.80万</t>
  </si>
  <si>
    <t>7179.99万</t>
  </si>
  <si>
    <t>7954.44万</t>
  </si>
  <si>
    <t>13.23亿</t>
  </si>
  <si>
    <t>10.77亿</t>
  </si>
  <si>
    <t>57.82亿</t>
  </si>
  <si>
    <t>48.50亿</t>
  </si>
  <si>
    <t>3544.27万</t>
  </si>
  <si>
    <t>5547.96万</t>
  </si>
  <si>
    <t>7687.47万</t>
  </si>
  <si>
    <t>6023.52万</t>
  </si>
  <si>
    <t>6891.17万</t>
  </si>
  <si>
    <t>6105.51万</t>
  </si>
  <si>
    <t>5144.75万</t>
  </si>
  <si>
    <t>5074.53万</t>
  </si>
  <si>
    <t>SH688083</t>
  </si>
  <si>
    <t>中望软件</t>
  </si>
  <si>
    <t>8907.34万</t>
  </si>
  <si>
    <t>4448.68万</t>
  </si>
  <si>
    <t>3848.78万</t>
  </si>
  <si>
    <t>SH688109</t>
  </si>
  <si>
    <t>9764.24万</t>
  </si>
  <si>
    <t>7429.41万</t>
  </si>
  <si>
    <t>5582.45万</t>
  </si>
  <si>
    <t>22.61亿</t>
  </si>
  <si>
    <t>11.30亿</t>
  </si>
  <si>
    <t>3136.52万</t>
  </si>
  <si>
    <t>4803.14万</t>
  </si>
  <si>
    <t>4447.34万</t>
  </si>
  <si>
    <t>6154.96万</t>
  </si>
  <si>
    <t>SH688201</t>
  </si>
  <si>
    <t>信安世纪</t>
  </si>
  <si>
    <t>9034.80万</t>
  </si>
  <si>
    <t>7297.77万</t>
  </si>
  <si>
    <t>41.61亿</t>
  </si>
  <si>
    <t>18.17亿</t>
  </si>
  <si>
    <t>-8.72亿</t>
  </si>
  <si>
    <t>9120.81万</t>
  </si>
  <si>
    <t>8225.35万</t>
  </si>
  <si>
    <t>9134.33万</t>
  </si>
  <si>
    <t>SH688590</t>
  </si>
  <si>
    <t>新致软件</t>
  </si>
  <si>
    <t>8161.04万</t>
  </si>
  <si>
    <t>7957.79万</t>
  </si>
  <si>
    <t>6068.70万</t>
  </si>
  <si>
    <t>6.57亿</t>
  </si>
  <si>
    <t>-2.59亿</t>
  </si>
  <si>
    <t>3348.40万</t>
  </si>
  <si>
    <t>SH688038</t>
  </si>
  <si>
    <t>中科通达</t>
  </si>
  <si>
    <t>5539.54万</t>
  </si>
  <si>
    <t>5029.80万</t>
  </si>
  <si>
    <t>3666.25万</t>
  </si>
  <si>
    <t>龙软科技</t>
  </si>
  <si>
    <t>7809.56万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</si>
  <si>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</si>
  <si>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</si>
  <si>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</si>
  <si>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</si>
  <si>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</si>
  <si>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</si>
  <si>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</si>
  <si>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</si>
  <si>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</si>
  <si>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</si>
  <si>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</si>
  <si>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</si>
  <si>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</si>
  <si>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</si>
  <si>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</si>
  <si>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</si>
  <si>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</si>
  <si>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SZ000503</t>
  </si>
  <si>
    <t>国新健康</t>
  </si>
  <si>
    <t>-2.43亿</t>
  </si>
  <si>
    <t>9548.00万</t>
  </si>
  <si>
    <t>1742.78万</t>
  </si>
  <si>
    <t>-1.88亿</t>
  </si>
  <si>
    <t>27.94亿</t>
  </si>
  <si>
    <t>SZ002178</t>
  </si>
  <si>
    <t>延华智能</t>
  </si>
  <si>
    <t>-2.72亿</t>
  </si>
  <si>
    <t>10.99亿</t>
  </si>
  <si>
    <t>2309.42万</t>
  </si>
  <si>
    <t>-2.86亿</t>
  </si>
  <si>
    <t>-1.09亿</t>
  </si>
  <si>
    <t>8.34亿</t>
  </si>
  <si>
    <t>7.55亿</t>
  </si>
  <si>
    <t>18.45亿</t>
  </si>
  <si>
    <t>6.67亿</t>
  </si>
  <si>
    <t>SZ300098</t>
  </si>
  <si>
    <t>高新兴</t>
  </si>
  <si>
    <t>23.26亿</t>
  </si>
  <si>
    <t>-11.03亿</t>
  </si>
  <si>
    <t>26.93亿</t>
  </si>
  <si>
    <t>35.63亿</t>
  </si>
  <si>
    <t>22.37亿</t>
  </si>
  <si>
    <t>-11.57亿</t>
  </si>
  <si>
    <t>SZ300226</t>
  </si>
  <si>
    <t>上海钢联</t>
  </si>
  <si>
    <t>585.21亿</t>
  </si>
  <si>
    <t>1225.72亿</t>
  </si>
  <si>
    <t>960.55亿</t>
  </si>
  <si>
    <t>6.50亿</t>
  </si>
  <si>
    <t>8.30亿</t>
  </si>
  <si>
    <t>5.82亿</t>
  </si>
  <si>
    <t>5.24亿</t>
  </si>
  <si>
    <t>6.33亿</t>
  </si>
  <si>
    <t>6.52亿</t>
  </si>
  <si>
    <t>SH688296</t>
  </si>
  <si>
    <t>和达科技</t>
  </si>
  <si>
    <t>7568.80万</t>
  </si>
  <si>
    <t>3140.79万</t>
  </si>
  <si>
    <t>1271.54万</t>
  </si>
  <si>
    <t>17.20亿</t>
  </si>
  <si>
    <t>12.75亿</t>
  </si>
  <si>
    <t>-4.40亿</t>
  </si>
  <si>
    <t>5.73亿</t>
  </si>
  <si>
    <t>4.64亿</t>
  </si>
  <si>
    <t>10.61亿</t>
  </si>
  <si>
    <t>-1.29亿</t>
  </si>
  <si>
    <t>5.38亿</t>
  </si>
  <si>
    <t>15.27亿</t>
  </si>
  <si>
    <t>-2.27亿</t>
  </si>
  <si>
    <t>14.24亿</t>
  </si>
  <si>
    <t>10.82亿</t>
  </si>
  <si>
    <t>5.31亿</t>
  </si>
  <si>
    <t>15.56亿</t>
  </si>
  <si>
    <t>24.79亿</t>
  </si>
  <si>
    <t>7.41亿</t>
  </si>
  <si>
    <t>13.89亿</t>
  </si>
  <si>
    <t>11.09亿</t>
  </si>
  <si>
    <r>
      <t>1.报告期内,公司除了保持对传统行业的提升覆盖,公司加大了新行业的横向推广力度及持续</t>
    </r>
    <r>
      <rPr>
        <sz val="9"/>
        <color rgb="FFFF0000"/>
        <rFont val="宋体"/>
        <family val="3"/>
        <charset val="134"/>
        <scheme val="minor"/>
      </rPr>
      <t>提升对区县市场的覆盖</t>
    </r>
    <r>
      <rPr>
        <sz val="9"/>
        <color theme="1"/>
        <rFont val="宋体"/>
        <family val="2"/>
        <charset val="134"/>
        <scheme val="minor"/>
      </rPr>
      <t>,其中</t>
    </r>
    <r>
      <rPr>
        <sz val="9"/>
        <color rgb="FFFF0000"/>
        <rFont val="宋体"/>
        <family val="3"/>
        <charset val="134"/>
        <scheme val="minor"/>
      </rPr>
      <t>军工、刑侦、企事业</t>
    </r>
    <r>
      <rPr>
        <sz val="9"/>
        <color theme="1"/>
        <rFont val="宋体"/>
        <family val="2"/>
        <charset val="134"/>
        <scheme val="minor"/>
      </rPr>
      <t>等细分新行业新签订单均比去年同期实现较好增长,“星火计划”持续下沉区县市场挖掘商机和订单,目前拓展效果与计划目标相符；2.加上支撑跨部门跨区域数据汇聚共享查询带来的工作成效，以及来自打击犯罪、社会治理、社会服务的明显效果，使得软件自身的能力和价格得到了更多的客户认可；3.计划在</t>
    </r>
    <r>
      <rPr>
        <b/>
        <sz val="9"/>
        <color rgb="FFFF0000"/>
        <rFont val="宋体"/>
        <family val="3"/>
        <charset val="134"/>
        <scheme val="minor"/>
      </rPr>
      <t>2025年实现收入80亿，差不多4年4倍；</t>
    </r>
    <r>
      <rPr>
        <sz val="9"/>
        <rFont val="宋体"/>
        <family val="3"/>
        <charset val="134"/>
        <scheme val="minor"/>
      </rPr>
      <t>4.取证业务（</t>
    </r>
    <r>
      <rPr>
        <b/>
        <sz val="9"/>
        <color rgb="FFFF0000"/>
        <rFont val="宋体"/>
        <family val="3"/>
        <charset val="134"/>
        <scheme val="minor"/>
      </rPr>
      <t>税务</t>
    </r>
    <r>
      <rPr>
        <sz val="9"/>
        <rFont val="宋体"/>
        <family val="3"/>
        <charset val="134"/>
        <scheme val="minor"/>
      </rPr>
      <t>和刑侦）：订单数据验证拐点逻辑，中长期增速在30%左右;5.、大数据业务：疫情强化行业景气度，中长期毛利率大于50%</t>
    </r>
    <phoneticPr fontId="1" type="noConversion"/>
  </si>
  <si>
    <t>1.因为大部分是国家项目，因此一般是第四季度的营收利润比例最大；前三季度一般比较低；2.注意政策变化</t>
    <phoneticPr fontId="1" type="noConversion"/>
  </si>
  <si>
    <t>软件产品 7.41亿 49.98%（毛利98.38%）
技术服务 6.96亿 46.92%（毛利96.81%）
第三方产品 4454.01万 3.00%（毛利24.29%）
其他业务 144.03万 0.10%（毛利55.01%）</t>
    <phoneticPr fontId="1" type="noConversion"/>
  </si>
  <si>
    <r>
      <t>1.公司实现新签合同额17.00亿元，同比增长56%。其中，</t>
    </r>
    <r>
      <rPr>
        <sz val="9"/>
        <color rgb="FFFF0000"/>
        <rFont val="宋体"/>
        <family val="3"/>
        <charset val="134"/>
        <scheme val="minor"/>
      </rPr>
      <t>法律科技业务新签合同额比增长92%</t>
    </r>
    <r>
      <rPr>
        <sz val="9"/>
        <color theme="1"/>
        <rFont val="宋体"/>
        <family val="2"/>
        <charset val="134"/>
        <scheme val="minor"/>
      </rPr>
      <t xml:space="preserve">；教育信息化业务新签合同额同比增长51%。公司期末在手合同额46.79亿元，同比增长81%，
</t>
    </r>
    <phoneticPr fontId="1" type="noConversion"/>
  </si>
  <si>
    <r>
      <t>1.58亿市值，15亿流动市值；一周交易25亿，本周交易6亿；2.公司未来三年的发展目标与股权激励计划确定的考核目标是一致的，即以</t>
    </r>
    <r>
      <rPr>
        <sz val="9"/>
        <color rgb="FFFF0000"/>
        <rFont val="宋体"/>
        <family val="3"/>
        <charset val="134"/>
        <scheme val="minor"/>
      </rPr>
      <t>2020年营业收入为基础，2021至2023年营业收入分别增长40%、80%、120%</t>
    </r>
    <phoneticPr fontId="1" type="noConversion"/>
  </si>
  <si>
    <t xml:space="preserve">1.公司始终以密码技术为核心，开展信息安全产品的研发、生产和销售及服务，提供基于密码的可信身份认证及可信数据保障等安全解决方案，行业客户遍及政府、军队、军工、金融、能源、电信等领域。
</t>
    <phoneticPr fontId="1" type="noConversion"/>
  </si>
  <si>
    <t>1.预计年报业绩：净利润1.350亿元至1.500亿元，增长幅度为65.42%至83.80%；原因：2021年度公司归属于母公司所有者的净利润较上年同期增长，主要为公司不断加大对金融行业、企业服务行业领域软件和信息技术服务的研发投入，持续提高研发效率和市场份额带来的业绩提升。同时，报告期内完成子公司新致华桑65%股权的转让事项，上述非经常性事项收益进一步增加了公司2021年业绩。</t>
    <phoneticPr fontId="1" type="noConversion"/>
  </si>
  <si>
    <t>1.2021年年报扣非预增大概15%（其他为出让子公司股权获得的非经常性收入6KW）</t>
    <phoneticPr fontId="1" type="noConversion"/>
  </si>
  <si>
    <r>
      <t>1.公司提供的系统出发点是满足集团多层级管控要求，ERP系统是满足业财集成要求，是横向和纵向的关系。</t>
    </r>
    <r>
      <rPr>
        <sz val="9"/>
        <color rgb="FFFF0000"/>
        <rFont val="宋体"/>
        <family val="3"/>
        <charset val="134"/>
        <scheme val="minor"/>
      </rPr>
      <t>公司的系统与ERP系统实现了高度集成、高度融合，共同满足集团管理需要</t>
    </r>
    <r>
      <rPr>
        <sz val="9"/>
        <color theme="1"/>
        <rFont val="宋体"/>
        <family val="2"/>
        <charset val="134"/>
        <scheme val="minor"/>
      </rPr>
      <t>。</t>
    </r>
    <r>
      <rPr>
        <sz val="9"/>
        <color theme="1"/>
        <rFont val="宋体"/>
        <family val="3"/>
        <charset val="134"/>
        <scheme val="minor"/>
      </rPr>
      <t>2.最近2个月有5次机构调研；3.2021年年报预告60%的利润增速（1.33亿左右）；4.公司</t>
    </r>
    <r>
      <rPr>
        <sz val="9"/>
        <color rgb="FFFF0000"/>
        <rFont val="宋体"/>
        <family val="3"/>
        <charset val="134"/>
        <scheme val="minor"/>
      </rPr>
      <t>石油行业业务是公司业务的稳定器</t>
    </r>
    <r>
      <rPr>
        <sz val="9"/>
        <color theme="1"/>
        <rFont val="宋体"/>
        <family val="3"/>
        <charset val="134"/>
        <scheme val="minor"/>
      </rPr>
      <t>，持续提供稳定的收入和利润贡献；在</t>
    </r>
    <r>
      <rPr>
        <sz val="9"/>
        <color rgb="FFFF0000"/>
        <rFont val="宋体"/>
        <family val="3"/>
        <charset val="134"/>
        <scheme val="minor"/>
      </rPr>
      <t>建筑行业以及优势业务领域方面，包括全球资金管理、司库，保险行业、共享服务等，我们预期会保持一定的增长</t>
    </r>
    <r>
      <rPr>
        <sz val="9"/>
        <color theme="1"/>
        <rFont val="宋体"/>
        <family val="3"/>
        <charset val="134"/>
        <scheme val="minor"/>
      </rPr>
      <t>。5.最近公司中标了中航集团公司的资金管理系统的订单</t>
    </r>
    <phoneticPr fontId="1" type="noConversion"/>
  </si>
  <si>
    <t/>
  </si>
  <si>
    <t>代码</t>
  </si>
  <si>
    <t>流通股本</t>
  </si>
  <si>
    <t>投入资本回报率roic%[20201231]</t>
  </si>
  <si>
    <t>净资产收益率%[20201231]</t>
  </si>
  <si>
    <t>1. 期待应用软件有更多的SI（包括华为和国产生态）使用，特别国产商业软件替代；2. 定增关注，包括有否关键投资人加入；3.SuperMap GIS10i(2021)支持多种地理实体类型；在三维可视化和三维交互体验方面，可以为元宇宙、数字孪生、智慧城市等应用提供更丰富、更逼真的视觉感和体验感;4.信创订单方面，与2020年相比是明显增多的，2020年只有两个部委的信创项目，2021年实现了9个部委、30多个省市信创订单落地;5.设计院，建设院，村庄将会是地图信息系统需求大的下一个地方；</t>
    <phoneticPr fontId="1" type="noConversion"/>
  </si>
  <si>
    <t>营业收入[20171231]</t>
  </si>
  <si>
    <t>净利润[20201231]</t>
  </si>
  <si>
    <t>10.27亿</t>
  </si>
  <si>
    <t>11.35亿</t>
  </si>
  <si>
    <t>5.99亿</t>
  </si>
  <si>
    <t>-1.76亿</t>
  </si>
  <si>
    <t>3.53亿</t>
  </si>
  <si>
    <t>19.15亿</t>
  </si>
  <si>
    <t>32.15亿</t>
  </si>
  <si>
    <t>-4.78亿</t>
  </si>
  <si>
    <t>900.32万</t>
  </si>
  <si>
    <t>9.32亿</t>
  </si>
  <si>
    <t>33.52亿</t>
  </si>
  <si>
    <t>183.14亿</t>
  </si>
  <si>
    <t>8.93亿</t>
  </si>
  <si>
    <t>2520.92万</t>
  </si>
  <si>
    <t>SZ002261</t>
  </si>
  <si>
    <t>拓维信息</t>
  </si>
  <si>
    <t>22.30亿</t>
  </si>
  <si>
    <t>9.23亿</t>
  </si>
  <si>
    <t>12.40亿</t>
  </si>
  <si>
    <t>11.85亿</t>
  </si>
  <si>
    <t>27.09亿</t>
  </si>
  <si>
    <t>-1.25亿</t>
  </si>
  <si>
    <t>理工能科</t>
  </si>
  <si>
    <t>7105.02万</t>
  </si>
  <si>
    <t>16.13亿</t>
  </si>
  <si>
    <t>5409.49万</t>
  </si>
  <si>
    <t>7.58亿</t>
  </si>
  <si>
    <t>30.60亿</t>
  </si>
  <si>
    <t>31.64亿</t>
  </si>
  <si>
    <t>43.86亿</t>
  </si>
  <si>
    <t>8.62亿</t>
  </si>
  <si>
    <t>2.99亿</t>
  </si>
  <si>
    <t>13.06亿</t>
  </si>
  <si>
    <t>30.54亿</t>
  </si>
  <si>
    <t>4.07亿</t>
  </si>
  <si>
    <t>-7025.13万</t>
  </si>
  <si>
    <t>19.11亿</t>
  </si>
  <si>
    <t>8.28亿</t>
  </si>
  <si>
    <t>18.75亿</t>
  </si>
  <si>
    <t>56.14亿</t>
  </si>
  <si>
    <t>4009.60万</t>
  </si>
  <si>
    <t>909.17万</t>
  </si>
  <si>
    <t>14.81亿</t>
  </si>
  <si>
    <t>14.55亿</t>
  </si>
  <si>
    <t>11.88亿</t>
  </si>
  <si>
    <t>8.71亿</t>
  </si>
  <si>
    <t>26.73亿</t>
  </si>
  <si>
    <t>4329.27万</t>
  </si>
  <si>
    <t>25.35亿</t>
  </si>
  <si>
    <t>-1.67亿</t>
  </si>
  <si>
    <t>657.75亿</t>
  </si>
  <si>
    <t>2286.88万</t>
  </si>
  <si>
    <t>8.72亿</t>
  </si>
  <si>
    <t>27.50亿</t>
  </si>
  <si>
    <t>57.52亿</t>
  </si>
  <si>
    <t>2577.98万</t>
  </si>
  <si>
    <t>15.72亿</t>
  </si>
  <si>
    <t>9.85亿</t>
  </si>
  <si>
    <t>5.41亿</t>
  </si>
  <si>
    <t>5792.22万</t>
  </si>
  <si>
    <t>18.67亿</t>
  </si>
  <si>
    <t>-2172.74万</t>
  </si>
  <si>
    <t>26.09亿</t>
  </si>
  <si>
    <t>10.30亿</t>
  </si>
  <si>
    <t>17.88亿</t>
  </si>
  <si>
    <t>8.63亿</t>
  </si>
  <si>
    <t>1172.29万</t>
  </si>
  <si>
    <t>5.77亿</t>
  </si>
  <si>
    <t>18.99亿</t>
  </si>
  <si>
    <t>68.05亿</t>
  </si>
  <si>
    <t>7.78亿</t>
  </si>
  <si>
    <t>6675.71万</t>
  </si>
  <si>
    <t>-8051.98万</t>
  </si>
  <si>
    <t>15.64亿</t>
  </si>
  <si>
    <t>5.01亿</t>
  </si>
  <si>
    <t>6358.22万</t>
  </si>
  <si>
    <t>7183.86万</t>
  </si>
  <si>
    <t>8263.42万</t>
  </si>
  <si>
    <t>1418.31万</t>
  </si>
  <si>
    <t>4704.42万</t>
  </si>
  <si>
    <t>6190.33万</t>
  </si>
  <si>
    <t>3736.54万</t>
  </si>
  <si>
    <t>3855.20万</t>
  </si>
  <si>
    <t>SZ300766</t>
  </si>
  <si>
    <t>每日互动</t>
  </si>
  <si>
    <t>7198.04万</t>
  </si>
  <si>
    <t>7596.98万</t>
  </si>
  <si>
    <t>12.82亿</t>
  </si>
  <si>
    <t>6578.21万</t>
  </si>
  <si>
    <t>30.88亿</t>
  </si>
  <si>
    <t>6002.87万</t>
  </si>
  <si>
    <t>11.76亿</t>
  </si>
  <si>
    <t>SZ301153</t>
  </si>
  <si>
    <t>中科江南</t>
  </si>
  <si>
    <t>7.38亿</t>
  </si>
  <si>
    <t>7115.64万</t>
  </si>
  <si>
    <t>4980.05万</t>
  </si>
  <si>
    <t>SZ301159</t>
  </si>
  <si>
    <t>三维天地</t>
  </si>
  <si>
    <t>5519.10万</t>
  </si>
  <si>
    <t>5254.56万</t>
  </si>
  <si>
    <t>6834.47万</t>
  </si>
  <si>
    <t>4768.77万</t>
  </si>
  <si>
    <t>SZ301162</t>
  </si>
  <si>
    <t>5917.58万</t>
  </si>
  <si>
    <t>5421.20万</t>
  </si>
  <si>
    <t>3643.28万</t>
  </si>
  <si>
    <t>2059.22万</t>
  </si>
  <si>
    <t>SZ301185</t>
  </si>
  <si>
    <t>鸥玛软件</t>
  </si>
  <si>
    <t>8071.93万</t>
  </si>
  <si>
    <t>6047.54万</t>
  </si>
  <si>
    <t>6977.86万</t>
  </si>
  <si>
    <t>6192.12万</t>
  </si>
  <si>
    <t>54.97亿</t>
  </si>
  <si>
    <t>6.19亿</t>
  </si>
  <si>
    <t>14.64亿</t>
  </si>
  <si>
    <t>89.32亿</t>
  </si>
  <si>
    <t>85.28亿</t>
  </si>
  <si>
    <t>49.93亿</t>
  </si>
  <si>
    <t>-6.32亿</t>
  </si>
  <si>
    <t>18.19亿</t>
  </si>
  <si>
    <t>108.86亿</t>
  </si>
  <si>
    <t>9.02亿</t>
  </si>
  <si>
    <t>1604.95万</t>
  </si>
  <si>
    <t>20.03亿</t>
  </si>
  <si>
    <t>9.24亿</t>
  </si>
  <si>
    <t>6555.78万</t>
  </si>
  <si>
    <t>7970.83万</t>
  </si>
  <si>
    <t>-1.71亿</t>
  </si>
  <si>
    <t>62.81亿</t>
  </si>
  <si>
    <t>4195.34万</t>
  </si>
  <si>
    <t>1380.65万</t>
  </si>
  <si>
    <t>7552.61万</t>
  </si>
  <si>
    <t>3662.64万</t>
  </si>
  <si>
    <t>5.32亿</t>
  </si>
  <si>
    <t>2682.06万</t>
  </si>
  <si>
    <t>6307.81万</t>
  </si>
  <si>
    <t>4623.54万</t>
  </si>
  <si>
    <t>6267.95万</t>
  </si>
  <si>
    <t>32.80亿</t>
  </si>
  <si>
    <t>10.41亿</t>
  </si>
  <si>
    <t>3912.63万</t>
  </si>
  <si>
    <t>7219.37万</t>
  </si>
  <si>
    <t>SH688171</t>
  </si>
  <si>
    <t>纬德信息</t>
  </si>
  <si>
    <t>5545.20万</t>
  </si>
  <si>
    <t>8232.96万</t>
  </si>
  <si>
    <t>6366.69万</t>
  </si>
  <si>
    <t>6353.29万</t>
  </si>
  <si>
    <t>2709.71万</t>
  </si>
  <si>
    <t>SH688225</t>
  </si>
  <si>
    <t>亚信安全</t>
  </si>
  <si>
    <t>16.67亿</t>
  </si>
  <si>
    <t>SH688232</t>
  </si>
  <si>
    <t>新点软件</t>
  </si>
  <si>
    <t>21.24亿</t>
  </si>
  <si>
    <t>SH688246</t>
  </si>
  <si>
    <t>嘉和美康</t>
  </si>
  <si>
    <t>2126.54万</t>
  </si>
  <si>
    <t>342.14万</t>
  </si>
  <si>
    <t>-6522.78万</t>
  </si>
  <si>
    <t>SH688326</t>
  </si>
  <si>
    <t>经纬恒润-W</t>
  </si>
  <si>
    <t>32.62亿</t>
  </si>
  <si>
    <t>7369.38万</t>
  </si>
  <si>
    <t>-5966.75万</t>
  </si>
  <si>
    <t>2077.54万</t>
  </si>
  <si>
    <t>58.09亿</t>
  </si>
  <si>
    <t>-5.55亿</t>
  </si>
  <si>
    <t>软件开发</t>
  </si>
  <si>
    <t xml:space="preserve">    名称</t>
  </si>
  <si>
    <t>净利润?</t>
  </si>
  <si>
    <t>投入资本回报率roic%[20211231]</t>
  </si>
  <si>
    <t>净资产收益率%[20211231]</t>
  </si>
  <si>
    <t>亏损</t>
  </si>
  <si>
    <t>扭亏</t>
  </si>
  <si>
    <t>-1-0</t>
  </si>
  <si>
    <t>-1-1</t>
  </si>
  <si>
    <t>1-0</t>
  </si>
  <si>
    <t>1-1</t>
  </si>
  <si>
    <t>13.41亿</t>
  </si>
  <si>
    <t>-1.08亿</t>
  </si>
  <si>
    <t>4.42亿</t>
  </si>
  <si>
    <t>16.08亿</t>
  </si>
  <si>
    <t>4.81亿</t>
  </si>
  <si>
    <t>15.02亿</t>
  </si>
  <si>
    <t>-3.39亿</t>
  </si>
  <si>
    <t>-1.22亿</t>
  </si>
  <si>
    <t>细分行业</t>
  </si>
  <si>
    <t>2-1</t>
  </si>
  <si>
    <t>7.52亿</t>
  </si>
  <si>
    <t>-2.71亿</t>
  </si>
  <si>
    <t>1.99亿</t>
  </si>
  <si>
    <t>-1.50亿</t>
  </si>
  <si>
    <t>5.56亿</t>
  </si>
  <si>
    <t>3-1</t>
  </si>
  <si>
    <t>6.94亿</t>
  </si>
  <si>
    <t>-2.19亿</t>
  </si>
  <si>
    <t>4.99亿</t>
  </si>
  <si>
    <t>11.24亿</t>
  </si>
  <si>
    <t>-1.24亿</t>
  </si>
  <si>
    <t>8.02亿</t>
  </si>
  <si>
    <t>5.63亿</t>
  </si>
  <si>
    <t>1000.00万</t>
  </si>
  <si>
    <t>-1.39亿</t>
  </si>
  <si>
    <t>4.33亿</t>
  </si>
  <si>
    <t>7.10亿</t>
  </si>
  <si>
    <t>7.80亿</t>
  </si>
  <si>
    <t>SZ301095</t>
  </si>
  <si>
    <t>广立微</t>
  </si>
  <si>
    <t>6374.72万</t>
  </si>
  <si>
    <t>6614.35万</t>
  </si>
  <si>
    <t>3116.33万</t>
  </si>
  <si>
    <t>4987.45万</t>
  </si>
  <si>
    <t>1933.09万</t>
  </si>
  <si>
    <t>-997.02万</t>
  </si>
  <si>
    <t>国能日新</t>
  </si>
  <si>
    <t>SZ301195</t>
  </si>
  <si>
    <t>北路智控</t>
  </si>
  <si>
    <t>6171.03万</t>
  </si>
  <si>
    <t>3838.10万</t>
  </si>
  <si>
    <t>8.20亿</t>
  </si>
  <si>
    <t>SZ301269</t>
  </si>
  <si>
    <t>华大九天</t>
  </si>
  <si>
    <t>5715.77万</t>
  </si>
  <si>
    <t>4851.94万</t>
  </si>
  <si>
    <t>SZ301270</t>
  </si>
  <si>
    <t>6790.04万</t>
  </si>
  <si>
    <t>5113.30万</t>
  </si>
  <si>
    <t>5843.48万</t>
  </si>
  <si>
    <t>2672.80万</t>
  </si>
  <si>
    <t>10000.00万</t>
  </si>
  <si>
    <t>23.33亿</t>
  </si>
  <si>
    <t>7.16亿</t>
  </si>
  <si>
    <t>品茗科技</t>
  </si>
  <si>
    <t>4.38亿</t>
  </si>
  <si>
    <t>9.07亿</t>
  </si>
  <si>
    <t>汉仪股份</t>
  </si>
  <si>
    <t>SH688031</t>
  </si>
  <si>
    <t>-2.45亿</t>
  </si>
  <si>
    <t>-1.84亿</t>
  </si>
  <si>
    <t>-2.11亿</t>
  </si>
  <si>
    <t>SH688244</t>
  </si>
  <si>
    <t>永信至诚</t>
  </si>
  <si>
    <t>4707.15万</t>
  </si>
  <si>
    <t>4229.95万</t>
  </si>
  <si>
    <t>169.57万</t>
  </si>
  <si>
    <t>323.23万</t>
  </si>
  <si>
    <t>12.33亿</t>
  </si>
  <si>
    <t>7.31亿</t>
  </si>
  <si>
    <t>10.23亿</t>
  </si>
  <si>
    <t>-1.18亿</t>
  </si>
  <si>
    <t>-1.46亿</t>
  </si>
  <si>
    <t>6.13亿</t>
  </si>
  <si>
    <t>-1.66亿</t>
  </si>
  <si>
    <t>10.96亿</t>
  </si>
  <si>
    <t>19.18亿</t>
  </si>
  <si>
    <t>11.80亿</t>
  </si>
  <si>
    <t>22.22亿</t>
  </si>
  <si>
    <t>11.26亿</t>
  </si>
  <si>
    <t>16.16亿</t>
  </si>
  <si>
    <t>5.05亿</t>
  </si>
  <si>
    <t>-1.87亿</t>
  </si>
  <si>
    <t>-1.17亿</t>
  </si>
  <si>
    <t>7.79亿</t>
  </si>
  <si>
    <t>30.93亿</t>
  </si>
  <si>
    <t>-1.23亿</t>
  </si>
  <si>
    <t>-2.88亿</t>
  </si>
  <si>
    <t>7.21亿</t>
  </si>
  <si>
    <t>14.31亿</t>
  </si>
  <si>
    <t>25.95亿</t>
  </si>
  <si>
    <t>11.15亿</t>
  </si>
  <si>
    <t>星环科技-U</t>
  </si>
  <si>
    <t>SH688152</t>
  </si>
  <si>
    <t>7967.96万</t>
  </si>
  <si>
    <t>9890.63万</t>
  </si>
  <si>
    <t>2033.58万</t>
  </si>
  <si>
    <t>1099.00万</t>
  </si>
  <si>
    <t>13.73亿</t>
  </si>
  <si>
    <t>18.61亿</t>
  </si>
  <si>
    <t>SH688291</t>
  </si>
  <si>
    <t>5277.76万</t>
  </si>
  <si>
    <t>9242.31万</t>
  </si>
  <si>
    <t>6963.20万</t>
  </si>
  <si>
    <t>4020.12万</t>
  </si>
  <si>
    <t>1605.55万</t>
  </si>
  <si>
    <t>1723.60万</t>
  </si>
  <si>
    <t>麒麟信安</t>
  </si>
  <si>
    <t>SH688206</t>
  </si>
  <si>
    <t>概伦电子</t>
  </si>
  <si>
    <t>2860.46万</t>
  </si>
  <si>
    <t>6548.66万</t>
  </si>
  <si>
    <t>5194.86万</t>
  </si>
  <si>
    <t>2901.29万</t>
  </si>
  <si>
    <t>-8.77亿</t>
  </si>
  <si>
    <t>-790.32万</t>
  </si>
  <si>
    <t>金橙子</t>
  </si>
  <si>
    <t>7.97亿</t>
  </si>
  <si>
    <t>过往营收增速均值</t>
    <phoneticPr fontId="1" type="noConversion"/>
  </si>
  <si>
    <t>价格右侧初期策略</t>
    <phoneticPr fontId="1" type="noConversion"/>
  </si>
  <si>
    <t>N-4</t>
    <phoneticPr fontId="1" type="noConversion"/>
  </si>
  <si>
    <t>不分配不转增</t>
  </si>
  <si>
    <t>10派1元(含税)</t>
  </si>
  <si>
    <t>10派0.5元(含税)</t>
  </si>
  <si>
    <t>10派0.2元(含税)</t>
  </si>
  <si>
    <t>10派2元(含税)</t>
  </si>
  <si>
    <t>10派1.2元(含税)</t>
  </si>
  <si>
    <t>10派0.1元(含税)</t>
  </si>
  <si>
    <t>10派0.3元(含税)</t>
  </si>
  <si>
    <t>10派0.35元(含税)</t>
  </si>
  <si>
    <t>10派0.6元(含税)</t>
  </si>
  <si>
    <t>10派0.15元(含税)</t>
  </si>
  <si>
    <t>10派0.4元(含税)</t>
  </si>
  <si>
    <t>10派0.7元(含税)</t>
  </si>
  <si>
    <t>10派0.8元(含税)</t>
  </si>
  <si>
    <t>10派1.5元(含税)</t>
  </si>
  <si>
    <t>10派1.3元(含税)</t>
  </si>
  <si>
    <t>10转3股</t>
  </si>
  <si>
    <t>10派5元(含税)</t>
  </si>
  <si>
    <r>
      <t>1.未来随着各行各业对</t>
    </r>
    <r>
      <rPr>
        <b/>
        <sz val="9"/>
        <color rgb="FFFF0000"/>
        <rFont val="宋体"/>
        <family val="3"/>
        <charset val="134"/>
        <scheme val="minor"/>
      </rPr>
      <t>数据要素</t>
    </r>
    <r>
      <rPr>
        <sz val="9"/>
        <color theme="1"/>
        <rFont val="宋体"/>
        <family val="2"/>
        <charset val="134"/>
        <scheme val="minor"/>
      </rPr>
      <t>的重视，会呈现数据需求的增加；数交所成立，对数据的确权，也将为数据交易提供便捷，准则的实施后，用户采购的数据可以计入无形资产纳入资产化处理，减少了对当期利润的影响，能更好地反映企业的价值。</t>
    </r>
    <phoneticPr fontId="1" type="noConversion"/>
  </si>
  <si>
    <t>SH688435</t>
  </si>
  <si>
    <t>英方软件</t>
  </si>
  <si>
    <t>-5.95亿</t>
  </si>
  <si>
    <t>-2-0</t>
  </si>
  <si>
    <t>18.66亿</t>
  </si>
  <si>
    <t>-3-1</t>
  </si>
  <si>
    <t>85.67亿</t>
  </si>
  <si>
    <t>56.32亿</t>
  </si>
  <si>
    <t>8986.96万</t>
  </si>
  <si>
    <t>-7.79亿</t>
  </si>
  <si>
    <t>14.02亿</t>
  </si>
  <si>
    <t>2-0</t>
  </si>
  <si>
    <t>35.43亿</t>
  </si>
  <si>
    <t>188.20亿</t>
  </si>
  <si>
    <t>22.80亿</t>
  </si>
  <si>
    <t>-5793.78万</t>
  </si>
  <si>
    <t>28.98亿</t>
  </si>
  <si>
    <t>-1.62亿</t>
  </si>
  <si>
    <t>-1.03亿</t>
  </si>
  <si>
    <t>14.01亿</t>
  </si>
  <si>
    <t>-1.36亿</t>
  </si>
  <si>
    <t>12.65亿</t>
  </si>
  <si>
    <t>13.49亿</t>
  </si>
  <si>
    <t>3-0</t>
  </si>
  <si>
    <t>33.47亿</t>
  </si>
  <si>
    <t>-3.36亿</t>
  </si>
  <si>
    <t>55.62亿</t>
  </si>
  <si>
    <t>39.47亿</t>
  </si>
  <si>
    <t>23.31亿</t>
  </si>
  <si>
    <t>6.25亿</t>
  </si>
  <si>
    <t>44.37亿</t>
  </si>
  <si>
    <t>10.00亿</t>
  </si>
  <si>
    <t>7.36亿</t>
  </si>
  <si>
    <t>-2-1</t>
  </si>
  <si>
    <t>36.73亿</t>
  </si>
  <si>
    <t>35.59亿</t>
  </si>
  <si>
    <t>16.91亿</t>
  </si>
  <si>
    <t>4-0</t>
  </si>
  <si>
    <t>15.26亿</t>
  </si>
  <si>
    <t>56.92亿</t>
  </si>
  <si>
    <t>3258.76万</t>
  </si>
  <si>
    <t>4.57亿</t>
  </si>
  <si>
    <t>-3-0</t>
  </si>
  <si>
    <t>11.16亿</t>
  </si>
  <si>
    <t>15.23亿</t>
  </si>
  <si>
    <t>4.54亿</t>
  </si>
  <si>
    <t>-3.24亿</t>
  </si>
  <si>
    <t>16.04亿</t>
  </si>
  <si>
    <t>765.67亿</t>
  </si>
  <si>
    <t>2333.16万</t>
  </si>
  <si>
    <t>10.70亿</t>
  </si>
  <si>
    <t>-9.84亿</t>
  </si>
  <si>
    <t>-7365.14万</t>
  </si>
  <si>
    <t>-1.40亿</t>
  </si>
  <si>
    <t>18.87亿</t>
  </si>
  <si>
    <t>26.29亿</t>
  </si>
  <si>
    <t>6149.97万</t>
  </si>
  <si>
    <t>19.95亿</t>
  </si>
  <si>
    <t>-2.23亿</t>
  </si>
  <si>
    <t>-7251.65万</t>
  </si>
  <si>
    <t>13.57亿</t>
  </si>
  <si>
    <t>10.73亿</t>
  </si>
  <si>
    <t>74.13亿</t>
  </si>
  <si>
    <t>14.41亿</t>
  </si>
  <si>
    <t>-7500.80万</t>
  </si>
  <si>
    <t>4120.90万</t>
  </si>
  <si>
    <t>852.37万</t>
  </si>
  <si>
    <t>24.00亿</t>
  </si>
  <si>
    <t>-1.21亿</t>
  </si>
  <si>
    <t>10.43亿</t>
  </si>
  <si>
    <t>-8330.65万</t>
  </si>
  <si>
    <t>3448.18万</t>
  </si>
  <si>
    <t>12.91亿</t>
  </si>
  <si>
    <t>6895.07万</t>
  </si>
  <si>
    <t>-1.68亿</t>
  </si>
  <si>
    <t>2986.27万</t>
  </si>
  <si>
    <t>15.01亿</t>
  </si>
  <si>
    <t>8.46亿</t>
  </si>
  <si>
    <t>6-0</t>
  </si>
  <si>
    <t>2478.15万</t>
  </si>
  <si>
    <t>2628.69万</t>
  </si>
  <si>
    <t>9.15亿</t>
  </si>
  <si>
    <t>6.48亿</t>
  </si>
  <si>
    <t>6.28亿</t>
  </si>
  <si>
    <t>35.86亿</t>
  </si>
  <si>
    <t>-2794.19万</t>
  </si>
  <si>
    <t>10派4元(含税)</t>
  </si>
  <si>
    <t>6708.21万</t>
  </si>
  <si>
    <t>7.56亿</t>
  </si>
  <si>
    <t>5535.14万</t>
  </si>
  <si>
    <t>SZ301337</t>
  </si>
  <si>
    <t>亚华电子</t>
  </si>
  <si>
    <t>7272.52万</t>
  </si>
  <si>
    <t>5523.35万</t>
  </si>
  <si>
    <t>4012.84万</t>
  </si>
  <si>
    <t>1513.46万</t>
  </si>
  <si>
    <t>SZ301378</t>
  </si>
  <si>
    <t>通达海</t>
  </si>
  <si>
    <t>9694.22万</t>
  </si>
  <si>
    <t>7679.04万</t>
  </si>
  <si>
    <t>4275.19万</t>
  </si>
  <si>
    <t>3502.53万</t>
  </si>
  <si>
    <t>-1.12亿</t>
  </si>
  <si>
    <t>11.20亿</t>
  </si>
  <si>
    <t>2000.00万</t>
  </si>
  <si>
    <t>65.02亿</t>
  </si>
  <si>
    <t>6.58亿</t>
  </si>
  <si>
    <t>92.62亿</t>
  </si>
  <si>
    <t>45.34亿</t>
  </si>
  <si>
    <t>95.21亿</t>
  </si>
  <si>
    <t>-22.04亿</t>
  </si>
  <si>
    <t>泛微网络</t>
  </si>
  <si>
    <t>3663.48万</t>
  </si>
  <si>
    <t>-871.25万</t>
  </si>
  <si>
    <t>5096.97万</t>
  </si>
  <si>
    <t>67.05亿</t>
  </si>
  <si>
    <t>3356.05万</t>
  </si>
  <si>
    <t>19.80亿</t>
  </si>
  <si>
    <t>-844.39万</t>
  </si>
  <si>
    <t>-3465.60万</t>
  </si>
  <si>
    <t>10转4股派5元(含税)</t>
  </si>
  <si>
    <t>-174.39万</t>
  </si>
  <si>
    <t>-5601.08万</t>
  </si>
  <si>
    <t>38.85亿</t>
  </si>
  <si>
    <t>121.79万</t>
  </si>
  <si>
    <t>-846.20万</t>
  </si>
  <si>
    <t>3857.63万</t>
  </si>
  <si>
    <t>4488.61万</t>
  </si>
  <si>
    <t>17.21亿</t>
  </si>
  <si>
    <t>28.24亿</t>
  </si>
  <si>
    <t>6802.44万</t>
  </si>
  <si>
    <t>4960.66万</t>
  </si>
  <si>
    <t>3907.93万</t>
  </si>
  <si>
    <t>-2.44亿</t>
  </si>
  <si>
    <t>40.22亿</t>
  </si>
  <si>
    <t>9408.06万</t>
  </si>
  <si>
    <t>2143.34万</t>
  </si>
  <si>
    <t>6351.55万</t>
  </si>
  <si>
    <t>3392.22万</t>
  </si>
  <si>
    <t>4057.98万</t>
  </si>
  <si>
    <t>1822.18万</t>
  </si>
  <si>
    <t>-943.14万</t>
  </si>
  <si>
    <t>SH688479</t>
  </si>
  <si>
    <t>友车科技</t>
  </si>
  <si>
    <t>8482.81万</t>
  </si>
  <si>
    <t>9265.62万</t>
  </si>
  <si>
    <t>8484.49万</t>
  </si>
  <si>
    <t>SH688507</t>
  </si>
  <si>
    <t>索辰科技</t>
  </si>
  <si>
    <t>5377.12万</t>
  </si>
  <si>
    <t>5035.64万</t>
  </si>
  <si>
    <t>3264.87万</t>
  </si>
  <si>
    <t>-1259.12万</t>
  </si>
  <si>
    <t>62.23亿</t>
  </si>
  <si>
    <t>6191.25万</t>
  </si>
  <si>
    <t>-5193.92万</t>
  </si>
  <si>
    <t>SZ301315</t>
  </si>
  <si>
    <t>威士顿</t>
  </si>
  <si>
    <t>6252.60万</t>
  </si>
  <si>
    <t>7.99亿</t>
  </si>
  <si>
    <t>SH688631</t>
  </si>
  <si>
    <t>莱斯信息</t>
  </si>
  <si>
    <t>8949.50万</t>
  </si>
  <si>
    <t>9688.24万</t>
  </si>
  <si>
    <t>SH688651</t>
  </si>
  <si>
    <t>盛邦安全</t>
  </si>
  <si>
    <t>涨幅%</t>
  </si>
  <si>
    <t>成交量[20230505]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</si>
  <si>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</si>
  <si>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</si>
  <si>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</si>
  <si>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</si>
  <si>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</si>
  <si>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</si>
  <si>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</si>
  <si>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</si>
  <si>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</si>
  <si>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</si>
  <si>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</si>
  <si>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</si>
  <si>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</si>
  <si>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</si>
  <si>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</si>
  <si>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</si>
  <si>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</si>
  <si>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</si>
  <si>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</si>
  <si>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</si>
  <si>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</si>
  <si>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</si>
  <si>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</si>
  <si>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</si>
  <si>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</si>
  <si>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</si>
  <si>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</si>
  <si>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</si>
  <si>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</si>
  <si>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</si>
  <si>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</si>
  <si>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</si>
  <si>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</si>
  <si>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</si>
  <si>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</si>
  <si>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投入资本回报率roic%[20230331]</t>
  </si>
  <si>
    <t>净资产收益率%[20230331]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</si>
  <si>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</si>
  <si>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</si>
  <si>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</si>
  <si>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</si>
  <si>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</si>
  <si>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区间涨跌幅:前复权%[20230426-20230505]</t>
  </si>
  <si>
    <t>区间涨跌幅:前复权%[20230321-20230505]</t>
  </si>
  <si>
    <t>区间成交量[20230426-20230505]</t>
  </si>
  <si>
    <t>区间成交量[20230321-20230505]</t>
  </si>
  <si>
    <t>5年营收增速PEG</t>
    <phoneticPr fontId="1" type="noConversion"/>
  </si>
  <si>
    <t>过往利润增速均值</t>
    <phoneticPr fontId="1" type="noConversion"/>
  </si>
  <si>
    <t>折现率</t>
    <phoneticPr fontId="1" type="noConversion"/>
  </si>
  <si>
    <t>1增速</t>
    <phoneticPr fontId="1" type="noConversion"/>
  </si>
  <si>
    <t>3年自由现金流折现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</si>
  <si>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</si>
  <si>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</si>
  <si>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原始顺序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</si>
  <si>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</si>
  <si>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</si>
  <si>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</si>
  <si>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5日成交换手率</t>
    <phoneticPr fontId="1" type="noConversion"/>
  </si>
  <si>
    <t>昨日价格累计指数</t>
    <phoneticPr fontId="1" type="noConversion"/>
  </si>
  <si>
    <t>6年PE</t>
    <phoneticPr fontId="1" type="noConversion"/>
  </si>
  <si>
    <t>股利率</t>
    <phoneticPr fontId="1" type="noConversion"/>
  </si>
  <si>
    <t>1年自由现金流折现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</si>
  <si>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</si>
  <si>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</si>
  <si>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</si>
  <si>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</si>
  <si>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</si>
  <si>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</si>
  <si>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</si>
  <si>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</si>
  <si>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</si>
  <si>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</si>
  <si>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</si>
  <si>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</si>
  <si>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</si>
  <si>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</si>
  <si>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30日成交换手率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</si>
  <si>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</si>
  <si>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</si>
  <si>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</si>
  <si>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N日期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</si>
  <si>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</si>
  <si>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</si>
  <si>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</si>
  <si>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</si>
  <si>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国华网安</t>
  </si>
  <si>
    <t>6.76亿</t>
  </si>
  <si>
    <t>3.29亿</t>
  </si>
  <si>
    <t>50.00万</t>
  </si>
  <si>
    <t>40.84亿</t>
  </si>
  <si>
    <t>9.59亿</t>
  </si>
  <si>
    <t>15.61亿</t>
  </si>
  <si>
    <t>12.76亿</t>
  </si>
  <si>
    <t>-2.06亿</t>
  </si>
  <si>
    <t>10.45亿</t>
  </si>
  <si>
    <t>-10.13亿</t>
  </si>
  <si>
    <t>8.05亿</t>
  </si>
  <si>
    <t>5.29亿</t>
  </si>
  <si>
    <t>8185.74万</t>
  </si>
  <si>
    <t>4522.99万</t>
  </si>
  <si>
    <t>2092.12万</t>
  </si>
  <si>
    <t>-13.67亿</t>
  </si>
  <si>
    <t>-2.02亿</t>
  </si>
  <si>
    <t>11.97亿</t>
  </si>
  <si>
    <t>6.44亿</t>
  </si>
  <si>
    <t>5.48亿</t>
  </si>
  <si>
    <t>5.30亿</t>
  </si>
  <si>
    <t>-1.64亿</t>
  </si>
  <si>
    <t>-1.37亿</t>
  </si>
  <si>
    <t>18.24亿</t>
  </si>
  <si>
    <t>21.62亿</t>
  </si>
  <si>
    <t>18.70亿</t>
  </si>
  <si>
    <t>-3.80亿</t>
  </si>
  <si>
    <t>26.02亿</t>
  </si>
  <si>
    <t>15.22亿</t>
  </si>
  <si>
    <t>12.71亿</t>
  </si>
  <si>
    <t>10.35亿</t>
  </si>
  <si>
    <t>23.89亿</t>
  </si>
  <si>
    <t>11.39亿</t>
  </si>
  <si>
    <t>7.49亿</t>
  </si>
  <si>
    <t>8.82亿</t>
  </si>
  <si>
    <t>86.65万</t>
  </si>
  <si>
    <t>-1.35亿</t>
  </si>
  <si>
    <t>-4-0</t>
  </si>
  <si>
    <t>5.35亿</t>
  </si>
  <si>
    <t>2.59万</t>
  </si>
  <si>
    <t>500.00万</t>
  </si>
  <si>
    <t>14.25亿</t>
  </si>
  <si>
    <t>13.60亿</t>
  </si>
  <si>
    <t>15.79亿</t>
  </si>
  <si>
    <t>-6-0</t>
  </si>
  <si>
    <t>9.01亿</t>
  </si>
  <si>
    <t>-1.48亿</t>
  </si>
  <si>
    <t>4.48亿</t>
  </si>
  <si>
    <t>-1.45亿</t>
  </si>
  <si>
    <t>13.83亿</t>
  </si>
  <si>
    <t>16.19亿</t>
  </si>
  <si>
    <t>564.01万</t>
  </si>
  <si>
    <t>21.26亿</t>
  </si>
  <si>
    <t>-2.89亿</t>
  </si>
  <si>
    <t>9.73万</t>
  </si>
  <si>
    <t>-1.07亿</t>
  </si>
  <si>
    <t>16.81亿</t>
  </si>
  <si>
    <t>-1.27亿</t>
  </si>
  <si>
    <t>6.31亿</t>
  </si>
  <si>
    <t>12.07亿</t>
  </si>
  <si>
    <t>5.71亿</t>
  </si>
  <si>
    <t>-1.80亿</t>
  </si>
  <si>
    <t>-2.54亿</t>
  </si>
  <si>
    <t>56.72亿</t>
  </si>
  <si>
    <t>3.82亿</t>
  </si>
  <si>
    <t>-3.31亿</t>
  </si>
  <si>
    <t>17.19亿</t>
  </si>
  <si>
    <t>17.75亿</t>
  </si>
  <si>
    <t>8.13亿</t>
  </si>
  <si>
    <t>8.49亿</t>
  </si>
  <si>
    <t>11.99亿</t>
  </si>
  <si>
    <t>-1.85亿</t>
  </si>
  <si>
    <t>14.27万</t>
  </si>
  <si>
    <t>-2.70亿</t>
  </si>
  <si>
    <t>3.99亿</t>
  </si>
  <si>
    <t>13.59亿</t>
  </si>
  <si>
    <t>10.08亿</t>
  </si>
  <si>
    <t>-3.71亿</t>
  </si>
  <si>
    <t>10.15亿</t>
  </si>
  <si>
    <t>27.68亿</t>
  </si>
  <si>
    <t>6035.60万</t>
  </si>
  <si>
    <t>4616.55万</t>
  </si>
  <si>
    <t>2445.48万</t>
  </si>
  <si>
    <t>10.95亿</t>
  </si>
  <si>
    <t>9.55亿</t>
  </si>
  <si>
    <t>30.86亿</t>
  </si>
  <si>
    <t>-9.67亿</t>
  </si>
  <si>
    <t>25.15亿</t>
  </si>
  <si>
    <t>13.54亿</t>
  </si>
  <si>
    <t>14.84亿</t>
  </si>
  <si>
    <t>-2.40亿</t>
  </si>
  <si>
    <t>29.80亿</t>
  </si>
  <si>
    <t>11.52亿</t>
  </si>
  <si>
    <t>7.14亿</t>
  </si>
  <si>
    <t>6.99亿</t>
  </si>
  <si>
    <t>1500.00万</t>
  </si>
  <si>
    <t>18.83亿</t>
  </si>
  <si>
    <t>13.63亿</t>
  </si>
  <si>
    <t>6.02万</t>
  </si>
  <si>
    <t>18.51亿</t>
  </si>
  <si>
    <t>-2.73亿</t>
  </si>
  <si>
    <t>15.90亿</t>
  </si>
  <si>
    <t>41.08万</t>
  </si>
  <si>
    <t>18.50亿</t>
  </si>
  <si>
    <t>-1.28亿</t>
  </si>
  <si>
    <t>-5.77亿</t>
  </si>
  <si>
    <t>9639.53万</t>
  </si>
  <si>
    <t>3631.27万</t>
  </si>
  <si>
    <t>4778.18万</t>
  </si>
  <si>
    <t>3136.07万</t>
  </si>
  <si>
    <t>1809.62万</t>
  </si>
  <si>
    <t>SH688657</t>
  </si>
  <si>
    <t>浩辰软件</t>
  </si>
  <si>
    <t>7010.53万</t>
  </si>
  <si>
    <t>4811.93万</t>
  </si>
  <si>
    <t>1916.14万</t>
  </si>
  <si>
    <t>4150.58万</t>
  </si>
  <si>
    <t>-5-1</t>
  </si>
  <si>
    <t>-4-1</t>
  </si>
  <si>
    <t>国投智能</t>
  </si>
  <si>
    <t>-5-0</t>
  </si>
  <si>
    <t>SH688695</t>
  </si>
  <si>
    <t>中创股份</t>
  </si>
  <si>
    <t>4384.44万</t>
  </si>
  <si>
    <t>1.并购形成的商誉占所有者净资产大概36%；2. 关注这个细分行业的天花板，内外延伸的考量；3. 主营在国土空间规划、自然资源登记（刚性国家项目），其他相对和地方财政关系紧密像智慧城市、生态环保；</t>
    <phoneticPr fontId="1" type="noConversion"/>
  </si>
  <si>
    <t>账面净赚</t>
  </si>
  <si>
    <t>1.向Adobe看齐；国内和福晰阅读竞争pdf；2.上一波AI后，回落前低为73~80元；</t>
    <phoneticPr fontId="1" type="noConversion"/>
  </si>
  <si>
    <t>10.42亿</t>
  </si>
  <si>
    <t>8.11亿</t>
  </si>
  <si>
    <t>10.80亿</t>
  </si>
  <si>
    <t>7.96亿</t>
  </si>
  <si>
    <t>12.06亿</t>
  </si>
  <si>
    <r>
      <t>1.AI及AIGC对公司业务的提升；2.视频类能够在提价后海外市场依旧保持营收增加；3.2023年</t>
    </r>
    <r>
      <rPr>
        <sz val="9"/>
        <color rgb="FFFF0000"/>
        <rFont val="宋体"/>
        <family val="3"/>
        <charset val="134"/>
        <scheme val="minor"/>
      </rPr>
      <t>营收14.81亿增25.49%， 利润8620.57万增113.2%；2024Q1营业总收入：3.58亿元同比增长0.9%，净利润：0.26亿元同比增22.99%</t>
    </r>
    <r>
      <rPr>
        <sz val="9"/>
        <color theme="1"/>
        <rFont val="宋体"/>
        <family val="2"/>
        <charset val="134"/>
        <scheme val="minor"/>
      </rPr>
      <t>;4.万兴科技</t>
    </r>
    <r>
      <rPr>
        <sz val="9"/>
        <color rgb="FFFF0000"/>
        <rFont val="宋体"/>
        <family val="3"/>
        <charset val="134"/>
        <scheme val="minor"/>
      </rPr>
      <t>天幕大模型</t>
    </r>
    <r>
      <rPr>
        <sz val="9"/>
        <color theme="1"/>
        <rFont val="宋体"/>
        <family val="2"/>
        <charset val="134"/>
        <scheme val="minor"/>
      </rPr>
      <t>将于4月28日公测文生视频能力支持60秒+；5.伴随着Sora为代表的视频大模型快速落地与迭代，2024年有望成为 AI视频元年。6.在</t>
    </r>
    <r>
      <rPr>
        <sz val="9"/>
        <color rgb="FFFF0000"/>
        <rFont val="宋体"/>
        <family val="3"/>
        <charset val="134"/>
        <scheme val="minor"/>
      </rPr>
      <t>B端客户</t>
    </r>
    <r>
      <rPr>
        <sz val="9"/>
        <color theme="1"/>
        <rFont val="宋体"/>
        <family val="2"/>
        <charset val="134"/>
        <scheme val="minor"/>
      </rPr>
      <t>上，公司持续扩张，各大集团公司等企业的复购、增购，报告期内实现政企营收增长36%，有效提升企业知名度，扩大收入来源渠道。</t>
    </r>
    <phoneticPr fontId="1" type="noConversion"/>
  </si>
  <si>
    <t>1545.01万</t>
  </si>
  <si>
    <t>2454.37万</t>
  </si>
  <si>
    <t>269.54万</t>
  </si>
  <si>
    <t>738.39万</t>
  </si>
  <si>
    <t>680.47万</t>
  </si>
  <si>
    <t>10586亿</t>
  </si>
  <si>
    <t>1.90万</t>
  </si>
  <si>
    <t>-10769138亿</t>
  </si>
  <si>
    <t>6360.72万</t>
  </si>
  <si>
    <t>177915670亿</t>
  </si>
  <si>
    <t>4.00万</t>
  </si>
  <si>
    <t>310369720亿</t>
  </si>
  <si>
    <t>8971.71万</t>
  </si>
  <si>
    <t>-488.62万</t>
  </si>
  <si>
    <t>-2521.23万</t>
  </si>
  <si>
    <t>横向通用软件</t>
  </si>
  <si>
    <t>13.81亿</t>
  </si>
  <si>
    <t>4791.55万</t>
  </si>
  <si>
    <t>9088.77万</t>
  </si>
  <si>
    <t>5627.83万</t>
  </si>
  <si>
    <t>1103.11万</t>
  </si>
  <si>
    <t>2205.28万</t>
  </si>
  <si>
    <t>1382399亿</t>
  </si>
  <si>
    <t>11.04万</t>
  </si>
  <si>
    <t>-40524891亿</t>
  </si>
  <si>
    <t>125849394亿</t>
  </si>
  <si>
    <t>1524653200亿</t>
  </si>
  <si>
    <t>2271.77万</t>
  </si>
  <si>
    <t>-1.00亿</t>
  </si>
  <si>
    <t>-1093.26万</t>
  </si>
  <si>
    <t>1287.53万</t>
  </si>
  <si>
    <t>-8432.59万</t>
  </si>
  <si>
    <t>-7979.20万</t>
  </si>
  <si>
    <t>垂直应用软件</t>
  </si>
  <si>
    <t>72.03亿</t>
  </si>
  <si>
    <t>26.86亿</t>
  </si>
  <si>
    <t>19.60亿</t>
  </si>
  <si>
    <t>19.69亿</t>
  </si>
  <si>
    <t>17.56亿</t>
  </si>
  <si>
    <t>5638.33万</t>
  </si>
  <si>
    <t>4348.06万</t>
  </si>
  <si>
    <t>6538749亿</t>
  </si>
  <si>
    <t>-10773621亿</t>
  </si>
  <si>
    <t>2003988000亿</t>
  </si>
  <si>
    <t>2430.87万</t>
  </si>
  <si>
    <t>7370689900亿</t>
  </si>
  <si>
    <t>94.09万</t>
  </si>
  <si>
    <t>47.69亿</t>
  </si>
  <si>
    <t>-15.84亿</t>
  </si>
  <si>
    <t>3950.53万</t>
  </si>
  <si>
    <t>91.38亿</t>
  </si>
  <si>
    <t>36.10亿</t>
  </si>
  <si>
    <t>2971.55万</t>
  </si>
  <si>
    <t>4357.15万</t>
  </si>
  <si>
    <t>-151783亿</t>
  </si>
  <si>
    <t>4.87万</t>
  </si>
  <si>
    <t>8324673亿</t>
  </si>
  <si>
    <t>1308078700亿</t>
  </si>
  <si>
    <t>4166.60万</t>
  </si>
  <si>
    <t>3194033200亿</t>
  </si>
  <si>
    <t>383.66万</t>
  </si>
  <si>
    <t>-1851.25万</t>
  </si>
  <si>
    <t>220.65万</t>
  </si>
  <si>
    <t>10派0.26元(含税)</t>
  </si>
  <si>
    <t>15.28亿</t>
  </si>
  <si>
    <t>81.99亿</t>
  </si>
  <si>
    <t>6937.43万</t>
  </si>
  <si>
    <t>-5309750亿</t>
  </si>
  <si>
    <t>24.03万</t>
  </si>
  <si>
    <t>11027923亿</t>
  </si>
  <si>
    <t>43.76亿</t>
  </si>
  <si>
    <t>575173960亿</t>
  </si>
  <si>
    <t>255.96万</t>
  </si>
  <si>
    <t>5666054600亿</t>
  </si>
  <si>
    <t>2590.50万</t>
  </si>
  <si>
    <t>424.17万</t>
  </si>
  <si>
    <t>13.94亿</t>
  </si>
  <si>
    <t>-200.00万</t>
  </si>
  <si>
    <t>27.49亿</t>
  </si>
  <si>
    <t>537.24万</t>
  </si>
  <si>
    <t>1788.51万</t>
  </si>
  <si>
    <t>359859亿</t>
  </si>
  <si>
    <t>-7070765亿</t>
  </si>
  <si>
    <t>303763350亿</t>
  </si>
  <si>
    <t>218.40万</t>
  </si>
  <si>
    <t>1018107820亿</t>
  </si>
  <si>
    <t>569.51万</t>
  </si>
  <si>
    <t>2899.00万</t>
  </si>
  <si>
    <t>6.13万</t>
  </si>
  <si>
    <t>-5408.16万</t>
  </si>
  <si>
    <t>-3642.14万</t>
  </si>
  <si>
    <t>-816.26万</t>
  </si>
  <si>
    <t>2250.64万</t>
  </si>
  <si>
    <t>93.51亿</t>
  </si>
  <si>
    <t>5128.12万</t>
  </si>
  <si>
    <t>-4199755亿</t>
  </si>
  <si>
    <t>-94838431亿</t>
  </si>
  <si>
    <t>2385894300亿</t>
  </si>
  <si>
    <t>2585.79万</t>
  </si>
  <si>
    <t>4146382400亿</t>
  </si>
  <si>
    <t>5627.73万</t>
  </si>
  <si>
    <t>11.75万</t>
  </si>
  <si>
    <t>14.33亿</t>
  </si>
  <si>
    <t>-4069.70万</t>
  </si>
  <si>
    <t>31.24亿</t>
  </si>
  <si>
    <t>200.99亿</t>
  </si>
  <si>
    <t>173.85亿</t>
  </si>
  <si>
    <t>36.46亿</t>
  </si>
  <si>
    <t>43.04亿</t>
  </si>
  <si>
    <t>22.58亿</t>
  </si>
  <si>
    <t>11034490亿</t>
  </si>
  <si>
    <t>695.71万</t>
  </si>
  <si>
    <t>-440542520亿</t>
  </si>
  <si>
    <t>26.78亿</t>
  </si>
  <si>
    <t>11993629100亿</t>
  </si>
  <si>
    <t>20003546000亿</t>
  </si>
  <si>
    <t>24.20亿</t>
  </si>
  <si>
    <t>48.22亿</t>
  </si>
  <si>
    <t>116.51亿</t>
  </si>
  <si>
    <t>54.98亿</t>
  </si>
  <si>
    <t>-13.84亿</t>
  </si>
  <si>
    <t>-7.25亿</t>
  </si>
  <si>
    <t>196.50亿</t>
  </si>
  <si>
    <t>2699.32万</t>
  </si>
  <si>
    <t>3805.54万</t>
  </si>
  <si>
    <t>1773.25万</t>
  </si>
  <si>
    <t>551.61万</t>
  </si>
  <si>
    <t>507.70万</t>
  </si>
  <si>
    <t>-876664亿</t>
  </si>
  <si>
    <t>79.23万</t>
  </si>
  <si>
    <t>-10921514亿</t>
  </si>
  <si>
    <t>138310770亿</t>
  </si>
  <si>
    <t>259.00万</t>
  </si>
  <si>
    <t>533570500亿</t>
  </si>
  <si>
    <t>1622.66万</t>
  </si>
  <si>
    <t>3423.83万</t>
  </si>
  <si>
    <t>481.94万</t>
  </si>
  <si>
    <t>6047.09万</t>
  </si>
  <si>
    <t>45.33万</t>
  </si>
  <si>
    <t>7000.00万</t>
  </si>
  <si>
    <t>-1122.58万</t>
  </si>
  <si>
    <t>-342.08万</t>
  </si>
  <si>
    <t>-216.77万</t>
  </si>
  <si>
    <t>25.78亿</t>
  </si>
  <si>
    <t>27.17亿</t>
  </si>
  <si>
    <t>2752.79万</t>
  </si>
  <si>
    <t>4775.63万</t>
  </si>
  <si>
    <t>2961918亿</t>
  </si>
  <si>
    <t>5.65万</t>
  </si>
  <si>
    <t>4625277亿</t>
  </si>
  <si>
    <t>1170863580亿</t>
  </si>
  <si>
    <t>736.38万</t>
  </si>
  <si>
    <t>4016941700亿</t>
  </si>
  <si>
    <t>12.61亿</t>
  </si>
  <si>
    <t>7756.59万</t>
  </si>
  <si>
    <t>-2.87亿</t>
  </si>
  <si>
    <t>-2699.44万</t>
  </si>
  <si>
    <t>-3136.21万</t>
  </si>
  <si>
    <t>4496.31万</t>
  </si>
  <si>
    <t>8.54亿</t>
  </si>
  <si>
    <t>2144.66万</t>
  </si>
  <si>
    <t>47677亿</t>
  </si>
  <si>
    <t>18.90万</t>
  </si>
  <si>
    <t>-122173284亿</t>
  </si>
  <si>
    <t>646219470亿</t>
  </si>
  <si>
    <t>597.50万</t>
  </si>
  <si>
    <t>1621162500亿</t>
  </si>
  <si>
    <t>97.05万</t>
  </si>
  <si>
    <t>192.62万</t>
  </si>
  <si>
    <t>-4.10亿</t>
  </si>
  <si>
    <t>-7294.78万</t>
  </si>
  <si>
    <t>5191.02万</t>
  </si>
  <si>
    <t>34.12亿</t>
  </si>
  <si>
    <t>4526.87万</t>
  </si>
  <si>
    <t>3057.61万</t>
  </si>
  <si>
    <t>2100.05万</t>
  </si>
  <si>
    <t>3046368亿</t>
  </si>
  <si>
    <t>40102220亿</t>
  </si>
  <si>
    <t>7.13亿</t>
  </si>
  <si>
    <t>431640340亿</t>
  </si>
  <si>
    <t>742.91万</t>
  </si>
  <si>
    <t>1455111400亿</t>
  </si>
  <si>
    <t>-2313.52万</t>
  </si>
  <si>
    <t>69.94万</t>
  </si>
  <si>
    <t>9.70亿</t>
  </si>
  <si>
    <t>10派8.5元(含税)</t>
  </si>
  <si>
    <t>13.62亿</t>
  </si>
  <si>
    <t>9292.52万</t>
  </si>
  <si>
    <t>2380.96万</t>
  </si>
  <si>
    <t>283124亿</t>
  </si>
  <si>
    <t>8.87万</t>
  </si>
  <si>
    <t>-15472553亿</t>
  </si>
  <si>
    <t>185206010亿</t>
  </si>
  <si>
    <t>727.93万</t>
  </si>
  <si>
    <t>1348745600亿</t>
  </si>
  <si>
    <t>9415.34万</t>
  </si>
  <si>
    <t>-930.18万</t>
  </si>
  <si>
    <t>1735.58万</t>
  </si>
  <si>
    <t>14.50亿</t>
  </si>
  <si>
    <t>24.56亿</t>
  </si>
  <si>
    <t>98.04亿</t>
  </si>
  <si>
    <t>8.75亿</t>
  </si>
  <si>
    <t>4741.79万</t>
  </si>
  <si>
    <t>8312.10万</t>
  </si>
  <si>
    <t>-31055523亿</t>
  </si>
  <si>
    <t>7.15万</t>
  </si>
  <si>
    <t>-171713090亿</t>
  </si>
  <si>
    <t>1002522760亿</t>
  </si>
  <si>
    <t>2281.26万</t>
  </si>
  <si>
    <t>5182076000亿</t>
  </si>
  <si>
    <t>8591.63万</t>
  </si>
  <si>
    <t>-8859.25万</t>
  </si>
  <si>
    <t>1990.43万</t>
  </si>
  <si>
    <t>31.22亿</t>
  </si>
  <si>
    <t>-13.14亿</t>
  </si>
  <si>
    <t>42.97亿</t>
  </si>
  <si>
    <t>63.62亿</t>
  </si>
  <si>
    <t>12.68亿</t>
  </si>
  <si>
    <t>-10403334亿</t>
  </si>
  <si>
    <t>57.11万</t>
  </si>
  <si>
    <t>-1387324亿</t>
  </si>
  <si>
    <t>23.59亿</t>
  </si>
  <si>
    <t>953988040亿</t>
  </si>
  <si>
    <t>597.53万</t>
  </si>
  <si>
    <t>4091342000亿</t>
  </si>
  <si>
    <t>316.89万</t>
  </si>
  <si>
    <t>1299.22万</t>
  </si>
  <si>
    <t>35.00亿</t>
  </si>
  <si>
    <t>-7.50亿</t>
  </si>
  <si>
    <t>-5.51亿</t>
  </si>
  <si>
    <t>-3742.40万</t>
  </si>
  <si>
    <t>65.52亿</t>
  </si>
  <si>
    <t>65.25亿</t>
  </si>
  <si>
    <t>28.55亿</t>
  </si>
  <si>
    <t>118.99亿</t>
  </si>
  <si>
    <t>10.21亿</t>
  </si>
  <si>
    <t>4435.00万</t>
  </si>
  <si>
    <t>-29996440亿</t>
  </si>
  <si>
    <t>36.14万</t>
  </si>
  <si>
    <t>-47893616亿</t>
  </si>
  <si>
    <t>49.33亿</t>
  </si>
  <si>
    <t>4670577200亿</t>
  </si>
  <si>
    <t>11545604500亿</t>
  </si>
  <si>
    <t>690.28万</t>
  </si>
  <si>
    <t>24.50亿</t>
  </si>
  <si>
    <t>8403.78万</t>
  </si>
  <si>
    <t>1397.73万</t>
  </si>
  <si>
    <t>45.07亿</t>
  </si>
  <si>
    <t>10派2.7元(含税)</t>
  </si>
  <si>
    <t>25.99亿</t>
  </si>
  <si>
    <t>10.50亿</t>
  </si>
  <si>
    <t>1772.38万</t>
  </si>
  <si>
    <t>3667.97万</t>
  </si>
  <si>
    <t>575244亿</t>
  </si>
  <si>
    <t>24.46万</t>
  </si>
  <si>
    <t>47321399亿</t>
  </si>
  <si>
    <t>1297317590亿</t>
  </si>
  <si>
    <t>2667667200亿</t>
  </si>
  <si>
    <t>889.50万</t>
  </si>
  <si>
    <t>172.24万</t>
  </si>
  <si>
    <t>-4.93亿</t>
  </si>
  <si>
    <t>8539.89万</t>
  </si>
  <si>
    <t>-464.90万</t>
  </si>
  <si>
    <t>42.42亿</t>
  </si>
  <si>
    <t>10转4股派1.7元(含税)</t>
  </si>
  <si>
    <t>8.65亿</t>
  </si>
  <si>
    <t>5513.27万</t>
  </si>
  <si>
    <t>7369.66万</t>
  </si>
  <si>
    <t>1834.45万</t>
  </si>
  <si>
    <t>678.47万</t>
  </si>
  <si>
    <t>998.58万</t>
  </si>
  <si>
    <t>-1135897亿</t>
  </si>
  <si>
    <t>-15324460亿</t>
  </si>
  <si>
    <t>7825.60万</t>
  </si>
  <si>
    <t>223519980亿</t>
  </si>
  <si>
    <t>85.83万</t>
  </si>
  <si>
    <t>612192260亿</t>
  </si>
  <si>
    <t>5094.89万</t>
  </si>
  <si>
    <t>-1036.94万</t>
  </si>
  <si>
    <t>-9756.41万</t>
  </si>
  <si>
    <t>-280.93万</t>
  </si>
  <si>
    <t>3857.47万</t>
  </si>
  <si>
    <t>7786.18万</t>
  </si>
  <si>
    <t>13.18亿</t>
  </si>
  <si>
    <t>7180.03万</t>
  </si>
  <si>
    <t>3582.42万</t>
  </si>
  <si>
    <t>1787.48万</t>
  </si>
  <si>
    <t>-888682亿</t>
  </si>
  <si>
    <t>-16770518亿</t>
  </si>
  <si>
    <t>224471250亿</t>
  </si>
  <si>
    <t>513.94万</t>
  </si>
  <si>
    <t>1057673600亿</t>
  </si>
  <si>
    <t>-5075.70万</t>
  </si>
  <si>
    <t>-1197.90万</t>
  </si>
  <si>
    <t>-6540.35万</t>
  </si>
  <si>
    <t>-3372.27万</t>
  </si>
  <si>
    <t>25.26亿</t>
  </si>
  <si>
    <t>62.44亿</t>
  </si>
  <si>
    <t>6470.91万</t>
  </si>
  <si>
    <t>133317亿</t>
  </si>
  <si>
    <t>98960278亿</t>
  </si>
  <si>
    <t>68.97亿</t>
  </si>
  <si>
    <t>59204521亿</t>
  </si>
  <si>
    <t>6990955700亿</t>
  </si>
  <si>
    <t>22.24亿</t>
  </si>
  <si>
    <t>-5049.87万</t>
  </si>
  <si>
    <t>-2691.69万</t>
  </si>
  <si>
    <t>-10.71亿</t>
  </si>
  <si>
    <t>35.64亿</t>
  </si>
  <si>
    <t>10派22元(含税)</t>
  </si>
  <si>
    <t>30.21亿</t>
  </si>
  <si>
    <t>5981.35万</t>
  </si>
  <si>
    <t>7077.69万</t>
  </si>
  <si>
    <t>4478837亿</t>
  </si>
  <si>
    <t>9.54万</t>
  </si>
  <si>
    <t>34413亿</t>
  </si>
  <si>
    <t>12.80亿</t>
  </si>
  <si>
    <t>786204260亿</t>
  </si>
  <si>
    <t>890.69万</t>
  </si>
  <si>
    <t>2870396700亿</t>
  </si>
  <si>
    <t>1093.59万</t>
  </si>
  <si>
    <t>180.06万</t>
  </si>
  <si>
    <t>-507.73万</t>
  </si>
  <si>
    <t>19.79亿</t>
  </si>
  <si>
    <t>34.73亿</t>
  </si>
  <si>
    <t>36.15亿</t>
  </si>
  <si>
    <t>2992.30万</t>
  </si>
  <si>
    <t>3634.55万</t>
  </si>
  <si>
    <t>-4775682亿</t>
  </si>
  <si>
    <t>1.11万</t>
  </si>
  <si>
    <t>5459255亿</t>
  </si>
  <si>
    <t>1868340100亿</t>
  </si>
  <si>
    <t>5026112700亿</t>
  </si>
  <si>
    <t>5464.97万</t>
  </si>
  <si>
    <t>23.29亿</t>
  </si>
  <si>
    <t>6988.81万</t>
  </si>
  <si>
    <t>613.31万</t>
  </si>
  <si>
    <t>1736.17万</t>
  </si>
  <si>
    <t>-3.27亿</t>
  </si>
  <si>
    <t>65.87亿</t>
  </si>
  <si>
    <t>2833.22万</t>
  </si>
  <si>
    <t>3579.98万</t>
  </si>
  <si>
    <t>6961.06万</t>
  </si>
  <si>
    <t>1805.84万</t>
  </si>
  <si>
    <t>1348.63万</t>
  </si>
  <si>
    <t>2204.68万</t>
  </si>
  <si>
    <t>860468亿</t>
  </si>
  <si>
    <t>70.00万</t>
  </si>
  <si>
    <t>-32162572亿</t>
  </si>
  <si>
    <t>514592080亿</t>
  </si>
  <si>
    <t>13.66万</t>
  </si>
  <si>
    <t>843860250亿</t>
  </si>
  <si>
    <t>231.18万</t>
  </si>
  <si>
    <t>-6610.78万</t>
  </si>
  <si>
    <t>896.88万</t>
  </si>
  <si>
    <t>-2531.05万</t>
  </si>
  <si>
    <t>1090.07万</t>
  </si>
  <si>
    <t>41.18亿</t>
  </si>
  <si>
    <t>2328.58万</t>
  </si>
  <si>
    <t>2130.19万</t>
  </si>
  <si>
    <t>212037亿</t>
  </si>
  <si>
    <t>8.00万</t>
  </si>
  <si>
    <t>56351990亿</t>
  </si>
  <si>
    <t>1708537200亿</t>
  </si>
  <si>
    <t>1342.33万</t>
  </si>
  <si>
    <t>3835006700亿</t>
  </si>
  <si>
    <t>-5.79亿</t>
  </si>
  <si>
    <t>-540.42万</t>
  </si>
  <si>
    <t>3509.21万</t>
  </si>
  <si>
    <t>1160.11万</t>
  </si>
  <si>
    <t>-9528619亿</t>
  </si>
  <si>
    <t>-31700994亿</t>
  </si>
  <si>
    <t>237429000亿</t>
  </si>
  <si>
    <t>796608210亿</t>
  </si>
  <si>
    <t>7254.00万</t>
  </si>
  <si>
    <t>5217.95万</t>
  </si>
  <si>
    <t>-5161.62万</t>
  </si>
  <si>
    <t>-432.11万</t>
  </si>
  <si>
    <t>-3476.46万</t>
  </si>
  <si>
    <t>5267.71万</t>
  </si>
  <si>
    <t>4065.47万</t>
  </si>
  <si>
    <t>47345882亿</t>
  </si>
  <si>
    <t>-45276287亿</t>
  </si>
  <si>
    <t>1548110400亿</t>
  </si>
  <si>
    <t>2879.11万</t>
  </si>
  <si>
    <t>3030301900亿</t>
  </si>
  <si>
    <t>9117.40万</t>
  </si>
  <si>
    <t>9482.61万</t>
  </si>
  <si>
    <t>674.28万</t>
  </si>
  <si>
    <t>-9307.39万</t>
  </si>
  <si>
    <t>-2817.51万</t>
  </si>
  <si>
    <t>17.99亿</t>
  </si>
  <si>
    <t>16.15亿</t>
  </si>
  <si>
    <t>39.87亿</t>
  </si>
  <si>
    <t>8343.83万</t>
  </si>
  <si>
    <t>7963.55万</t>
  </si>
  <si>
    <t>142830520亿</t>
  </si>
  <si>
    <t>3.23万</t>
  </si>
  <si>
    <t>-161225560亿</t>
  </si>
  <si>
    <t>989606150亿</t>
  </si>
  <si>
    <t>1076.61万</t>
  </si>
  <si>
    <t>3387616400亿</t>
  </si>
  <si>
    <t>2692.25万</t>
  </si>
  <si>
    <t>4962.76万</t>
  </si>
  <si>
    <t>-3.85亿</t>
  </si>
  <si>
    <t>2427.62万</t>
  </si>
  <si>
    <t>-727.43万</t>
  </si>
  <si>
    <t>19.84亿</t>
  </si>
  <si>
    <t>-7-0</t>
  </si>
  <si>
    <t>134.34亿</t>
  </si>
  <si>
    <t>43.79亿</t>
  </si>
  <si>
    <t>175.42亿</t>
  </si>
  <si>
    <t>174.61亿</t>
  </si>
  <si>
    <t>172.70亿</t>
  </si>
  <si>
    <t>9610.45万</t>
  </si>
  <si>
    <t>3850.74万</t>
  </si>
  <si>
    <t>1333520亿</t>
  </si>
  <si>
    <t>46896156亿</t>
  </si>
  <si>
    <t>1418199300亿</t>
  </si>
  <si>
    <t>17931016000亿</t>
  </si>
  <si>
    <t>9365.03万</t>
  </si>
  <si>
    <t>31.45亿</t>
  </si>
  <si>
    <t>141.20亿</t>
  </si>
  <si>
    <t>-1796.40万</t>
  </si>
  <si>
    <t>-6662.45万</t>
  </si>
  <si>
    <t>863.14亿</t>
  </si>
  <si>
    <t>4850.72万</t>
  </si>
  <si>
    <t>3170.93万</t>
  </si>
  <si>
    <t>4439.43万</t>
  </si>
  <si>
    <t>1739185亿</t>
  </si>
  <si>
    <t>14191311亿</t>
  </si>
  <si>
    <t>259974820亿</t>
  </si>
  <si>
    <t>4241.71万</t>
  </si>
  <si>
    <t>1220561850亿</t>
  </si>
  <si>
    <t>3060.31万</t>
  </si>
  <si>
    <t>89.64万</t>
  </si>
  <si>
    <t>-1679.44万</t>
  </si>
  <si>
    <t>-7310.01万</t>
  </si>
  <si>
    <t>-217.61万</t>
  </si>
  <si>
    <t>3646.60万</t>
  </si>
  <si>
    <t>1524.94万</t>
  </si>
  <si>
    <t>2995.81万</t>
  </si>
  <si>
    <t>1772.15万</t>
  </si>
  <si>
    <t>473.94万</t>
  </si>
  <si>
    <t>716.85万</t>
  </si>
  <si>
    <t>272.03万</t>
  </si>
  <si>
    <t>-1553147亿</t>
  </si>
  <si>
    <t>3.11万</t>
  </si>
  <si>
    <t>8508559亿</t>
  </si>
  <si>
    <t>40302429亿</t>
  </si>
  <si>
    <t>543529210亿</t>
  </si>
  <si>
    <t>1073.44万</t>
  </si>
  <si>
    <t>2070.72万</t>
  </si>
  <si>
    <t>382.76万</t>
  </si>
  <si>
    <t>7039.74万</t>
  </si>
  <si>
    <t>-826.75万</t>
  </si>
  <si>
    <t>3187.87万</t>
  </si>
  <si>
    <t>10派0.501971元(含税)</t>
  </si>
  <si>
    <t>28.68亿</t>
  </si>
  <si>
    <t>57.61亿</t>
  </si>
  <si>
    <t>7445.26万</t>
  </si>
  <si>
    <t>4279.76万</t>
  </si>
  <si>
    <t>-16385827亿</t>
  </si>
  <si>
    <t>8687732亿</t>
  </si>
  <si>
    <t>1085129490亿</t>
  </si>
  <si>
    <t>1214.84万</t>
  </si>
  <si>
    <t>4746372800亿</t>
  </si>
  <si>
    <t>4412.64万</t>
  </si>
  <si>
    <t>-6628.52万</t>
  </si>
  <si>
    <t>3593.41万</t>
  </si>
  <si>
    <t>31.63亿</t>
  </si>
  <si>
    <t>43.20亿</t>
  </si>
  <si>
    <t>4462.39万</t>
  </si>
  <si>
    <t>5644.28万</t>
  </si>
  <si>
    <t>923677亿</t>
  </si>
  <si>
    <t>-82135816亿</t>
  </si>
  <si>
    <t>18.98亿</t>
  </si>
  <si>
    <t>894861590亿</t>
  </si>
  <si>
    <t>411.59万</t>
  </si>
  <si>
    <t>3644457000亿</t>
  </si>
  <si>
    <t>8.95亿</t>
  </si>
  <si>
    <t>-2.65亿</t>
  </si>
  <si>
    <t>-3579.63万</t>
  </si>
  <si>
    <t>-1708.80万</t>
  </si>
  <si>
    <t>17.70亿</t>
  </si>
  <si>
    <t>-13.11亿</t>
  </si>
  <si>
    <t>2440.51万</t>
  </si>
  <si>
    <t>9716.10万</t>
  </si>
  <si>
    <t>1217.13万</t>
  </si>
  <si>
    <t>2161.76万</t>
  </si>
  <si>
    <t>2673.32万</t>
  </si>
  <si>
    <t>-2494492亿</t>
  </si>
  <si>
    <t>7.25万</t>
  </si>
  <si>
    <t>-73565423亿</t>
  </si>
  <si>
    <t>318181870亿</t>
  </si>
  <si>
    <t>724612010亿</t>
  </si>
  <si>
    <t>5501.03万</t>
  </si>
  <si>
    <t>1951.04万</t>
  </si>
  <si>
    <t>1689.61万</t>
  </si>
  <si>
    <t>-18.69万</t>
  </si>
  <si>
    <t>-100.46万</t>
  </si>
  <si>
    <t>3082.17万</t>
  </si>
  <si>
    <t>4513.58万</t>
  </si>
  <si>
    <t>2732.58万</t>
  </si>
  <si>
    <t>326.57万</t>
  </si>
  <si>
    <t>1278.36万</t>
  </si>
  <si>
    <t>-15380848亿</t>
  </si>
  <si>
    <t>2441.38万</t>
  </si>
  <si>
    <t>154179080亿</t>
  </si>
  <si>
    <t>337432210亿</t>
  </si>
  <si>
    <t>3003.40万</t>
  </si>
  <si>
    <t>2310.31万</t>
  </si>
  <si>
    <t>385.10万</t>
  </si>
  <si>
    <t>-2.92万</t>
  </si>
  <si>
    <t>-13.11万</t>
  </si>
  <si>
    <t>2655.00万</t>
  </si>
  <si>
    <t>4852.37万</t>
  </si>
  <si>
    <t>-176004亿</t>
  </si>
  <si>
    <t>15.32万</t>
  </si>
  <si>
    <t>-5854371亿</t>
  </si>
  <si>
    <t>1058740930亿</t>
  </si>
  <si>
    <t>1956060700亿</t>
  </si>
  <si>
    <t>1369.44万</t>
  </si>
  <si>
    <t>1495.00万</t>
  </si>
  <si>
    <t>-636.55万</t>
  </si>
  <si>
    <t>-4725.52万</t>
  </si>
  <si>
    <t>2248.25万</t>
  </si>
  <si>
    <t>3214.63万</t>
  </si>
  <si>
    <t>15.34亿</t>
  </si>
  <si>
    <t>2835.70万</t>
  </si>
  <si>
    <t>3102.66万</t>
  </si>
  <si>
    <t>2584.43万</t>
  </si>
  <si>
    <t>-1902068亿</t>
  </si>
  <si>
    <t>1.99万</t>
  </si>
  <si>
    <t>2286183亿</t>
  </si>
  <si>
    <t>8536.35万</t>
  </si>
  <si>
    <t>632840340亿</t>
  </si>
  <si>
    <t>248.66万</t>
  </si>
  <si>
    <t>1263218410亿</t>
  </si>
  <si>
    <t>476.54万</t>
  </si>
  <si>
    <t>19.39万</t>
  </si>
  <si>
    <t>-9660.80万</t>
  </si>
  <si>
    <t>3539.59万</t>
  </si>
  <si>
    <t>1750.19万</t>
  </si>
  <si>
    <t>658.61万</t>
  </si>
  <si>
    <t>20.75亿</t>
  </si>
  <si>
    <t>6410.21万</t>
  </si>
  <si>
    <t>912.43万</t>
  </si>
  <si>
    <t>1571.34万</t>
  </si>
  <si>
    <t>-1326589亿</t>
  </si>
  <si>
    <t>2206022亿</t>
  </si>
  <si>
    <t>952128370亿</t>
  </si>
  <si>
    <t>1041.93万</t>
  </si>
  <si>
    <t>2057348800亿</t>
  </si>
  <si>
    <t>3600.00万</t>
  </si>
  <si>
    <t>5030.40万</t>
  </si>
  <si>
    <t>4151.65万</t>
  </si>
  <si>
    <t>-7778.69万</t>
  </si>
  <si>
    <t>8.29亿</t>
  </si>
  <si>
    <t>1786.16万</t>
  </si>
  <si>
    <t>17.13亿</t>
  </si>
  <si>
    <t>16.32亿</t>
  </si>
  <si>
    <t>9518.57万</t>
  </si>
  <si>
    <t>8359.32万</t>
  </si>
  <si>
    <t>1377.41万</t>
  </si>
  <si>
    <t>4267.20万</t>
  </si>
  <si>
    <t>-1187821亿</t>
  </si>
  <si>
    <t>-62391071亿</t>
  </si>
  <si>
    <t>1027988810亿</t>
  </si>
  <si>
    <t>437.66万</t>
  </si>
  <si>
    <t>2479773000亿</t>
  </si>
  <si>
    <t>7.28亿</t>
  </si>
  <si>
    <t>157.71万</t>
  </si>
  <si>
    <t>16.69亿</t>
  </si>
  <si>
    <t>568.16万</t>
  </si>
  <si>
    <t>-2525.74万</t>
  </si>
  <si>
    <t>-4687.50万</t>
  </si>
  <si>
    <t>20.08亿</t>
  </si>
  <si>
    <t>-5678.88万</t>
  </si>
  <si>
    <t>16.75亿</t>
  </si>
  <si>
    <t>-4.74亿</t>
  </si>
  <si>
    <t>14.11亿</t>
  </si>
  <si>
    <t>5425.34万</t>
  </si>
  <si>
    <t>-134143亿</t>
  </si>
  <si>
    <t>22.82万</t>
  </si>
  <si>
    <t>-154738600亿</t>
  </si>
  <si>
    <t>812433610亿</t>
  </si>
  <si>
    <t>2332030500亿</t>
  </si>
  <si>
    <t>3486.34万</t>
  </si>
  <si>
    <t>540.53万</t>
  </si>
  <si>
    <t>2692.74万</t>
  </si>
  <si>
    <t>-446.06万</t>
  </si>
  <si>
    <t>1896.77万</t>
  </si>
  <si>
    <t>2859.85万</t>
  </si>
  <si>
    <t>-9.77亿</t>
  </si>
  <si>
    <t>28.99亿</t>
  </si>
  <si>
    <t>694.73万</t>
  </si>
  <si>
    <t>2584.69万</t>
  </si>
  <si>
    <t>-5646111亿</t>
  </si>
  <si>
    <t>51.88万</t>
  </si>
  <si>
    <t>-89871907亿</t>
  </si>
  <si>
    <t>1031186350亿</t>
  </si>
  <si>
    <t>1356398200亿</t>
  </si>
  <si>
    <t>416.07万</t>
  </si>
  <si>
    <t>15.88万</t>
  </si>
  <si>
    <t>-694.72万</t>
  </si>
  <si>
    <t>-298.73万</t>
  </si>
  <si>
    <t>6763.61万</t>
  </si>
  <si>
    <t>21.66亿</t>
  </si>
  <si>
    <t>5439.43万</t>
  </si>
  <si>
    <t>1811644亿</t>
  </si>
  <si>
    <t>7.02万</t>
  </si>
  <si>
    <t>-13976064亿</t>
  </si>
  <si>
    <t>439993350亿</t>
  </si>
  <si>
    <t>1410979200亿</t>
  </si>
  <si>
    <t>4125.99万</t>
  </si>
  <si>
    <t>452.50万</t>
  </si>
  <si>
    <t>6211.61万</t>
  </si>
  <si>
    <t>-2915.85万</t>
  </si>
  <si>
    <t>22.28亿</t>
  </si>
  <si>
    <t>10派1.149150元(含税)</t>
  </si>
  <si>
    <t>7569.80万</t>
  </si>
  <si>
    <t>1666.61万</t>
  </si>
  <si>
    <t>6550.57万</t>
  </si>
  <si>
    <t>3409.06万</t>
  </si>
  <si>
    <t>2389214亿</t>
  </si>
  <si>
    <t>-77208956亿</t>
  </si>
  <si>
    <t>14.42亿</t>
  </si>
  <si>
    <t>548156270亿</t>
  </si>
  <si>
    <t>848.53万</t>
  </si>
  <si>
    <t>2864026400亿</t>
  </si>
  <si>
    <t>5569.90万</t>
  </si>
  <si>
    <t>9251.14万</t>
  </si>
  <si>
    <t>7.91亿</t>
  </si>
  <si>
    <t>-3936.65万</t>
  </si>
  <si>
    <t>-6.73亿</t>
  </si>
  <si>
    <t>9188.50万</t>
  </si>
  <si>
    <t>576.14万</t>
  </si>
  <si>
    <t>1267.50万</t>
  </si>
  <si>
    <t>314371亿</t>
  </si>
  <si>
    <t>1131047亿</t>
  </si>
  <si>
    <t>124146880亿</t>
  </si>
  <si>
    <t>972338320亿</t>
  </si>
  <si>
    <t>1620.91万</t>
  </si>
  <si>
    <t>-8558.93万</t>
  </si>
  <si>
    <t>8.88亿</t>
  </si>
  <si>
    <t>-4602.97万</t>
  </si>
  <si>
    <t>46.86亿</t>
  </si>
  <si>
    <t>3279.09万</t>
  </si>
  <si>
    <t>6162.98万</t>
  </si>
  <si>
    <t>-701778亿</t>
  </si>
  <si>
    <t>100.88万</t>
  </si>
  <si>
    <t>9658289亿</t>
  </si>
  <si>
    <t>1708390800亿</t>
  </si>
  <si>
    <t>12.85万</t>
  </si>
  <si>
    <t>3027377800亿</t>
  </si>
  <si>
    <t>730.74万</t>
  </si>
  <si>
    <t>621.77万</t>
  </si>
  <si>
    <t>22.78万</t>
  </si>
  <si>
    <t>-2.01亿</t>
  </si>
  <si>
    <t>-8428.36万</t>
  </si>
  <si>
    <t>-6.74万</t>
  </si>
  <si>
    <t>4262.73万</t>
  </si>
  <si>
    <t>3668.85万</t>
  </si>
  <si>
    <t>62.21亿</t>
  </si>
  <si>
    <t>82.95亿</t>
  </si>
  <si>
    <t>16.47亿</t>
  </si>
  <si>
    <t>9048.60万</t>
  </si>
  <si>
    <t>8498250亿</t>
  </si>
  <si>
    <t>186.30万</t>
  </si>
  <si>
    <t>-510153000亿</t>
  </si>
  <si>
    <t>9.56亿</t>
  </si>
  <si>
    <t>465871590亿</t>
  </si>
  <si>
    <t>1636.48万</t>
  </si>
  <si>
    <t>6150186000亿</t>
  </si>
  <si>
    <t>44.30亿</t>
  </si>
  <si>
    <t>-11.54亿</t>
  </si>
  <si>
    <t>76.62亿</t>
  </si>
  <si>
    <t>10派0.50元(含税)</t>
  </si>
  <si>
    <t>6.63亿</t>
  </si>
  <si>
    <t>1436.71万</t>
  </si>
  <si>
    <t>1627.59万</t>
  </si>
  <si>
    <t>-289310亿</t>
  </si>
  <si>
    <t>68.39万</t>
  </si>
  <si>
    <t>1378573亿</t>
  </si>
  <si>
    <t>371064620亿</t>
  </si>
  <si>
    <t>30.00万</t>
  </si>
  <si>
    <t>1155556940亿</t>
  </si>
  <si>
    <t>5042.19万</t>
  </si>
  <si>
    <t>-45.42万</t>
  </si>
  <si>
    <t>-1851.60万</t>
  </si>
  <si>
    <t>14.04亿</t>
  </si>
  <si>
    <t>2871.25万</t>
  </si>
  <si>
    <t>16.27亿</t>
  </si>
  <si>
    <t>242.13万</t>
  </si>
  <si>
    <t>2058.91万</t>
  </si>
  <si>
    <t>134.75万</t>
  </si>
  <si>
    <t>14503316亿</t>
  </si>
  <si>
    <t>224328500亿</t>
  </si>
  <si>
    <t>1329919890亿</t>
  </si>
  <si>
    <t>582.90万</t>
  </si>
  <si>
    <t>-4655.44万</t>
  </si>
  <si>
    <t>-72.61万</t>
  </si>
  <si>
    <t>-369.64万</t>
  </si>
  <si>
    <t>4737.94万</t>
  </si>
  <si>
    <t>2355.51万</t>
  </si>
  <si>
    <t>6025.82万</t>
  </si>
  <si>
    <t>1664.86万</t>
  </si>
  <si>
    <t>867.60万</t>
  </si>
  <si>
    <t>2200.18万</t>
  </si>
  <si>
    <t>-189774亿</t>
  </si>
  <si>
    <t>-23874210亿</t>
  </si>
  <si>
    <t>125305407亿</t>
  </si>
  <si>
    <t>915001800亿</t>
  </si>
  <si>
    <t>1305.37万</t>
  </si>
  <si>
    <t>5.92亿</t>
  </si>
  <si>
    <t>5106.00万</t>
  </si>
  <si>
    <t>-7079.57万</t>
  </si>
  <si>
    <t>-4866.05万</t>
  </si>
  <si>
    <t>7610.58万</t>
  </si>
  <si>
    <t>26.46亿</t>
  </si>
  <si>
    <t>20.35亿</t>
  </si>
  <si>
    <t>3758.05万</t>
  </si>
  <si>
    <t>3501.76万</t>
  </si>
  <si>
    <t>-2124480亿</t>
  </si>
  <si>
    <t>8.81万</t>
  </si>
  <si>
    <t>4848905亿</t>
  </si>
  <si>
    <t>992640750亿</t>
  </si>
  <si>
    <t>8696.05万</t>
  </si>
  <si>
    <t>3294047600亿</t>
  </si>
  <si>
    <t>8311.73万</t>
  </si>
  <si>
    <t>24.16亿</t>
  </si>
  <si>
    <t>5.18万</t>
  </si>
  <si>
    <t>-5786.21万</t>
  </si>
  <si>
    <t>30.84亿</t>
  </si>
  <si>
    <t>7050.01万</t>
  </si>
  <si>
    <t>8377.55万</t>
  </si>
  <si>
    <t>-1261768亿</t>
  </si>
  <si>
    <t>-60944675亿</t>
  </si>
  <si>
    <t>11.37亿</t>
  </si>
  <si>
    <t>920592420亿</t>
  </si>
  <si>
    <t>68.02万</t>
  </si>
  <si>
    <t>2609147600亿</t>
  </si>
  <si>
    <t>-3.01亿</t>
  </si>
  <si>
    <t>5563.26万</t>
  </si>
  <si>
    <t>-417.14万</t>
  </si>
  <si>
    <t>20.44亿</t>
  </si>
  <si>
    <t>1284.64万</t>
  </si>
  <si>
    <t>1695.57万</t>
  </si>
  <si>
    <t>-13732383亿</t>
  </si>
  <si>
    <t>554597920亿</t>
  </si>
  <si>
    <t>421.63万</t>
  </si>
  <si>
    <t>1082691880亿</t>
  </si>
  <si>
    <t>1004.77万</t>
  </si>
  <si>
    <t>5.06万</t>
  </si>
  <si>
    <t>-3.75亿</t>
  </si>
  <si>
    <t>-21.31万</t>
  </si>
  <si>
    <t>8085.12万</t>
  </si>
  <si>
    <t>5213.15万</t>
  </si>
  <si>
    <t>3636.45万</t>
  </si>
  <si>
    <t>10派0.14元(含税)</t>
  </si>
  <si>
    <t>9114.84万</t>
  </si>
  <si>
    <t>9076.77万</t>
  </si>
  <si>
    <t>6533.84万</t>
  </si>
  <si>
    <t>465.43万</t>
  </si>
  <si>
    <t>957.45万</t>
  </si>
  <si>
    <t>216904亿</t>
  </si>
  <si>
    <t>-1480940亿</t>
  </si>
  <si>
    <t>221457450亿</t>
  </si>
  <si>
    <t>1186158940亿</t>
  </si>
  <si>
    <t>590.55万</t>
  </si>
  <si>
    <t>71.38万</t>
  </si>
  <si>
    <t>-4525.06万</t>
  </si>
  <si>
    <t>2249.52万</t>
  </si>
  <si>
    <t>-110.28万</t>
  </si>
  <si>
    <t>3911.62万</t>
  </si>
  <si>
    <t>12.45亿</t>
  </si>
  <si>
    <t>8809.02万</t>
  </si>
  <si>
    <t>1950.33万</t>
  </si>
  <si>
    <t>2296.87万</t>
  </si>
  <si>
    <t>-1096864亿</t>
  </si>
  <si>
    <t>14.49万</t>
  </si>
  <si>
    <t>-67629362亿</t>
  </si>
  <si>
    <t>575884660亿</t>
  </si>
  <si>
    <t>1340.06万</t>
  </si>
  <si>
    <t>1495792900亿</t>
  </si>
  <si>
    <t>-1.31亿</t>
  </si>
  <si>
    <t>-499.35万</t>
  </si>
  <si>
    <t>4639.79万</t>
  </si>
  <si>
    <t>2301.73万</t>
  </si>
  <si>
    <t>12.34亿</t>
  </si>
  <si>
    <t>5694.44万</t>
  </si>
  <si>
    <t>1812.01万</t>
  </si>
  <si>
    <t>2154.50万</t>
  </si>
  <si>
    <t>-2339684亿</t>
  </si>
  <si>
    <t>6205868亿</t>
  </si>
  <si>
    <t>196576050亿</t>
  </si>
  <si>
    <t>979322330亿</t>
  </si>
  <si>
    <t>5749.72万</t>
  </si>
  <si>
    <t>7682.02万</t>
  </si>
  <si>
    <t>2.27万</t>
  </si>
  <si>
    <t>-4404.34万</t>
  </si>
  <si>
    <t>-325.41万</t>
  </si>
  <si>
    <t>-18.95万</t>
  </si>
  <si>
    <t>3627.20万</t>
  </si>
  <si>
    <t>1959.73万</t>
  </si>
  <si>
    <t>2242.64万</t>
  </si>
  <si>
    <t>870.58万</t>
  </si>
  <si>
    <t>473.55万</t>
  </si>
  <si>
    <t>511.62万</t>
  </si>
  <si>
    <t>279914亿</t>
  </si>
  <si>
    <t>-1095555亿</t>
  </si>
  <si>
    <t>898.39万</t>
  </si>
  <si>
    <t>74580621亿</t>
  </si>
  <si>
    <t>1246.91万</t>
  </si>
  <si>
    <t>194599500亿</t>
  </si>
  <si>
    <t>463.87万</t>
  </si>
  <si>
    <t>103.61万</t>
  </si>
  <si>
    <t>1325.15万</t>
  </si>
  <si>
    <t>2050.95万</t>
  </si>
  <si>
    <t>-1809.33万</t>
  </si>
  <si>
    <t>1976.58万</t>
  </si>
  <si>
    <t>745.63万</t>
  </si>
  <si>
    <t>523.10万</t>
  </si>
  <si>
    <t>8984.75万</t>
  </si>
  <si>
    <t>3732.73万</t>
  </si>
  <si>
    <t>3000.09万</t>
  </si>
  <si>
    <t>4518444亿</t>
  </si>
  <si>
    <t>-25707215亿</t>
  </si>
  <si>
    <t>481838240亿</t>
  </si>
  <si>
    <t>162.30万</t>
  </si>
  <si>
    <t>1103162210亿</t>
  </si>
  <si>
    <t>23.46万</t>
  </si>
  <si>
    <t>-4547.97万</t>
  </si>
  <si>
    <t>-568.08万</t>
  </si>
  <si>
    <t>-4720.24万</t>
  </si>
  <si>
    <t>1446.48万</t>
  </si>
  <si>
    <t>3597.12万</t>
  </si>
  <si>
    <t>-21002901亿</t>
  </si>
  <si>
    <t>-47139553亿</t>
  </si>
  <si>
    <t>582220170亿</t>
  </si>
  <si>
    <t>202.60万</t>
  </si>
  <si>
    <t>1568773700亿</t>
  </si>
  <si>
    <t>145.34万</t>
  </si>
  <si>
    <t>6941.37万</t>
  </si>
  <si>
    <t>6218.75万</t>
  </si>
  <si>
    <t>-5445.62万</t>
  </si>
  <si>
    <t>-1.75亿</t>
  </si>
  <si>
    <t>18.78亿</t>
  </si>
  <si>
    <t>10转3股派1.2元(含税)</t>
  </si>
  <si>
    <t>6574.94万</t>
  </si>
  <si>
    <t>6867.53万</t>
  </si>
  <si>
    <t>4374.31万</t>
  </si>
  <si>
    <t>513.79万</t>
  </si>
  <si>
    <t>822.94万</t>
  </si>
  <si>
    <t>396654亿</t>
  </si>
  <si>
    <t>-6621254亿</t>
  </si>
  <si>
    <t>355846140亿</t>
  </si>
  <si>
    <t>189.34万</t>
  </si>
  <si>
    <t>986312470亿</t>
  </si>
  <si>
    <t>778.70万</t>
  </si>
  <si>
    <t>2969.51万</t>
  </si>
  <si>
    <t>-3700.11万</t>
  </si>
  <si>
    <t>6501.37万</t>
  </si>
  <si>
    <t>-2819.69万</t>
  </si>
  <si>
    <t>3930.29万</t>
  </si>
  <si>
    <t>1687.97万</t>
  </si>
  <si>
    <t>8748.55万</t>
  </si>
  <si>
    <t>6435.12万</t>
  </si>
  <si>
    <t>2692.35万</t>
  </si>
  <si>
    <t>1555.23万</t>
  </si>
  <si>
    <t>-2274036亿</t>
  </si>
  <si>
    <t>7.08万</t>
  </si>
  <si>
    <t>-46008855亿</t>
  </si>
  <si>
    <t>507769030亿</t>
  </si>
  <si>
    <t>1561.50万</t>
  </si>
  <si>
    <t>1597301700亿</t>
  </si>
  <si>
    <t>402.69万</t>
  </si>
  <si>
    <t>8340.91万</t>
  </si>
  <si>
    <t>-2524.85万</t>
  </si>
  <si>
    <t>-2728.20万</t>
  </si>
  <si>
    <t>-4572.52万</t>
  </si>
  <si>
    <t>1725.83万</t>
  </si>
  <si>
    <t>8.70亿</t>
  </si>
  <si>
    <t>2202.17万</t>
  </si>
  <si>
    <t>1967.96万</t>
  </si>
  <si>
    <t>4089.98万</t>
  </si>
  <si>
    <t>788068亿</t>
  </si>
  <si>
    <t>90.12万</t>
  </si>
  <si>
    <t>22767873亿</t>
  </si>
  <si>
    <t>49334656亿</t>
  </si>
  <si>
    <t>680801190亿</t>
  </si>
  <si>
    <t>890.00万</t>
  </si>
  <si>
    <t>-794.42万</t>
  </si>
  <si>
    <t>-1459.77万</t>
  </si>
  <si>
    <t>-414.73万</t>
  </si>
  <si>
    <t>4043.35万</t>
  </si>
  <si>
    <t>-3449.44万</t>
  </si>
  <si>
    <t>8620.57万</t>
  </si>
  <si>
    <t>10转3.984070股派1.105579元(含税)</t>
  </si>
  <si>
    <t>1492.31万</t>
  </si>
  <si>
    <t>3308.13万</t>
  </si>
  <si>
    <t>209589亿</t>
  </si>
  <si>
    <t>-6822905亿</t>
  </si>
  <si>
    <t>951824650亿</t>
  </si>
  <si>
    <t>2080391700亿</t>
  </si>
  <si>
    <t>7362.11万</t>
  </si>
  <si>
    <t>-2343.49万</t>
  </si>
  <si>
    <t>-7729.74万</t>
  </si>
  <si>
    <t>2188.30万</t>
  </si>
  <si>
    <t>11.69亿</t>
  </si>
  <si>
    <t>7898.13万</t>
  </si>
  <si>
    <t>9881.38万</t>
  </si>
  <si>
    <t>6239.74万</t>
  </si>
  <si>
    <t>1090.64万</t>
  </si>
  <si>
    <t>971.81万</t>
  </si>
  <si>
    <t>-41834亿</t>
  </si>
  <si>
    <t>1.01万</t>
  </si>
  <si>
    <t>-16927060亿</t>
  </si>
  <si>
    <t>216929080亿</t>
  </si>
  <si>
    <t>935.19万</t>
  </si>
  <si>
    <t>732900550亿</t>
  </si>
  <si>
    <t>3193.42万</t>
  </si>
  <si>
    <t>3900.00万</t>
  </si>
  <si>
    <t>-14.06万</t>
  </si>
  <si>
    <t>1734.17万</t>
  </si>
  <si>
    <t>2216.20万</t>
  </si>
  <si>
    <t>2105.22万</t>
  </si>
  <si>
    <t>3303.27万</t>
  </si>
  <si>
    <t>-647910亿</t>
  </si>
  <si>
    <t>-5161099亿</t>
  </si>
  <si>
    <t>136357060亿</t>
  </si>
  <si>
    <t>33.40万</t>
  </si>
  <si>
    <t>736702070亿</t>
  </si>
  <si>
    <t>4695.56万</t>
  </si>
  <si>
    <t>-4964.73万</t>
  </si>
  <si>
    <t>-4993.14万</t>
  </si>
  <si>
    <t>32.02亿</t>
  </si>
  <si>
    <t>7789.94万</t>
  </si>
  <si>
    <t>9508.95万</t>
  </si>
  <si>
    <t>1019.56万</t>
  </si>
  <si>
    <t>9.38万</t>
  </si>
  <si>
    <t>32894745亿</t>
  </si>
  <si>
    <t>157995740亿</t>
  </si>
  <si>
    <t>1262.08万</t>
  </si>
  <si>
    <t>3372120500亿</t>
  </si>
  <si>
    <t>23.58万</t>
  </si>
  <si>
    <t>202.11万</t>
  </si>
  <si>
    <t>2934.47万</t>
  </si>
  <si>
    <t>-3508.04万</t>
  </si>
  <si>
    <t>-9337.32万</t>
  </si>
  <si>
    <t>35.78亿</t>
  </si>
  <si>
    <t>2879.66万</t>
  </si>
  <si>
    <t>8154.51万</t>
  </si>
  <si>
    <t>29429208亿</t>
  </si>
  <si>
    <t>3.21万</t>
  </si>
  <si>
    <t>16138435亿</t>
  </si>
  <si>
    <t>34.17亿</t>
  </si>
  <si>
    <t>110810725亿</t>
  </si>
  <si>
    <t>4490929900亿</t>
  </si>
  <si>
    <t>7168.11万</t>
  </si>
  <si>
    <t>39.53亿</t>
  </si>
  <si>
    <t>10.38亿</t>
  </si>
  <si>
    <t>-358.77万</t>
  </si>
  <si>
    <t>12.30亿</t>
  </si>
  <si>
    <t>7260.98万</t>
  </si>
  <si>
    <t>5062.60万</t>
  </si>
  <si>
    <t>8207.94万</t>
  </si>
  <si>
    <t>2976.20万</t>
  </si>
  <si>
    <t>1156.65万</t>
  </si>
  <si>
    <t>1463.88万</t>
  </si>
  <si>
    <t>671414亿</t>
  </si>
  <si>
    <t>-18074546亿</t>
  </si>
  <si>
    <t>4521.58万</t>
  </si>
  <si>
    <t>624741640亿</t>
  </si>
  <si>
    <t>197.61万</t>
  </si>
  <si>
    <t>1147385720亿</t>
  </si>
  <si>
    <t>5736.22万</t>
  </si>
  <si>
    <t>9400.32万</t>
  </si>
  <si>
    <t>-6016.70万</t>
  </si>
  <si>
    <t>-119.71万</t>
  </si>
  <si>
    <t>5721.11万</t>
  </si>
  <si>
    <t>1265.58万</t>
  </si>
  <si>
    <t>10派0.232491元(含税)</t>
  </si>
  <si>
    <t>20.61亿</t>
  </si>
  <si>
    <t>2032.89万</t>
  </si>
  <si>
    <t>8278.89万</t>
  </si>
  <si>
    <t>1075085亿</t>
  </si>
  <si>
    <t>6.78万</t>
  </si>
  <si>
    <t>28242675亿</t>
  </si>
  <si>
    <t>1426481500亿</t>
  </si>
  <si>
    <t>919.01万</t>
  </si>
  <si>
    <t>2733454700亿</t>
  </si>
  <si>
    <t>1750.14万</t>
  </si>
  <si>
    <t>-6826.89万</t>
  </si>
  <si>
    <t>8900.65万</t>
  </si>
  <si>
    <t>4638.58万</t>
  </si>
  <si>
    <t>8.69亿</t>
  </si>
  <si>
    <t>1381.65万</t>
  </si>
  <si>
    <t>4274.03万</t>
  </si>
  <si>
    <t>173.74万</t>
  </si>
  <si>
    <t>1726.07万</t>
  </si>
  <si>
    <t>491.75万</t>
  </si>
  <si>
    <t>1420237亿</t>
  </si>
  <si>
    <t>-21512096亿</t>
  </si>
  <si>
    <t>92325685亿</t>
  </si>
  <si>
    <t>73.93万</t>
  </si>
  <si>
    <t>831430780亿</t>
  </si>
  <si>
    <t>312.23万</t>
  </si>
  <si>
    <t>2389.65万</t>
  </si>
  <si>
    <t>-2660.38万</t>
  </si>
  <si>
    <t>-5.99亿</t>
  </si>
  <si>
    <t>-327.81万</t>
  </si>
  <si>
    <t>-4018.93万</t>
  </si>
  <si>
    <t>12.57亿</t>
  </si>
  <si>
    <t>7752.27万</t>
  </si>
  <si>
    <t>8722.00万</t>
  </si>
  <si>
    <t>4495.76万</t>
  </si>
  <si>
    <t>699.96万</t>
  </si>
  <si>
    <t>2078.59万</t>
  </si>
  <si>
    <t>-1330207亿</t>
  </si>
  <si>
    <t>276605亿</t>
  </si>
  <si>
    <t>445149530亿</t>
  </si>
  <si>
    <t>3191.41万</t>
  </si>
  <si>
    <t>1184465970亿</t>
  </si>
  <si>
    <t>343.63万</t>
  </si>
  <si>
    <t>2160.81万</t>
  </si>
  <si>
    <t>-6817.45万</t>
  </si>
  <si>
    <t>-232.98万</t>
  </si>
  <si>
    <t>6.95亿</t>
  </si>
  <si>
    <t>6216.02万</t>
  </si>
  <si>
    <t>10派1.00947元(含税)</t>
  </si>
  <si>
    <t>32.46亿</t>
  </si>
  <si>
    <t>4390.46万</t>
  </si>
  <si>
    <t>8624.54万</t>
  </si>
  <si>
    <t>1376.73万</t>
  </si>
  <si>
    <t>1039.94万</t>
  </si>
  <si>
    <t>1066.48万</t>
  </si>
  <si>
    <t>653332亿</t>
  </si>
  <si>
    <t>-25414657亿</t>
  </si>
  <si>
    <t>23.93亿</t>
  </si>
  <si>
    <t>281225540亿</t>
  </si>
  <si>
    <t>3046614800亿</t>
  </si>
  <si>
    <t>4780.81万</t>
  </si>
  <si>
    <t>200.10万</t>
  </si>
  <si>
    <t>2060.47万</t>
  </si>
  <si>
    <t>5574.33万</t>
  </si>
  <si>
    <t>-8412.66万</t>
  </si>
  <si>
    <t>-1791.82万</t>
  </si>
  <si>
    <t>-224.23万</t>
  </si>
  <si>
    <t>10派4.412847元(含税)</t>
  </si>
  <si>
    <t>5700.68万</t>
  </si>
  <si>
    <t>2722.02万</t>
  </si>
  <si>
    <t>1394.68万</t>
  </si>
  <si>
    <t>364524亿</t>
  </si>
  <si>
    <t>-14239609亿</t>
  </si>
  <si>
    <t>415415900亿</t>
  </si>
  <si>
    <t>2199025100亿</t>
  </si>
  <si>
    <t>5196.32万</t>
  </si>
  <si>
    <t>-121.00万</t>
  </si>
  <si>
    <t>12.08亿</t>
  </si>
  <si>
    <t>10转8股派10.0元(含税)</t>
  </si>
  <si>
    <t>8.39亿</t>
  </si>
  <si>
    <t>2027.75万</t>
  </si>
  <si>
    <t>6360.27万</t>
  </si>
  <si>
    <t>1278.12万</t>
  </si>
  <si>
    <t>983.20万</t>
  </si>
  <si>
    <t>1364.31万</t>
  </si>
  <si>
    <t>-30063147亿</t>
  </si>
  <si>
    <t>212564230亿</t>
  </si>
  <si>
    <t>657.54万</t>
  </si>
  <si>
    <t>789326460亿</t>
  </si>
  <si>
    <t>1271.11万</t>
  </si>
  <si>
    <t>543.38万</t>
  </si>
  <si>
    <t>-5699.58万</t>
  </si>
  <si>
    <t>-1363.85万</t>
  </si>
  <si>
    <t>-315.77万</t>
  </si>
  <si>
    <t>-4573.01万</t>
  </si>
  <si>
    <t>755.81万</t>
  </si>
  <si>
    <t>9271.01万</t>
  </si>
  <si>
    <t>3596.61万</t>
  </si>
  <si>
    <t>2696.32万</t>
  </si>
  <si>
    <t>1014.13万</t>
  </si>
  <si>
    <t>399760亿</t>
  </si>
  <si>
    <t>7321421亿</t>
  </si>
  <si>
    <t>316614710亿</t>
  </si>
  <si>
    <t>1675.15万</t>
  </si>
  <si>
    <t>1120203740亿</t>
  </si>
  <si>
    <t>1062.13万</t>
  </si>
  <si>
    <t>1728.00万</t>
  </si>
  <si>
    <t>8843.19万</t>
  </si>
  <si>
    <t>109.20万</t>
  </si>
  <si>
    <t>-4478.56万</t>
  </si>
  <si>
    <t>-2.38亿</t>
  </si>
  <si>
    <t>-323.10万</t>
  </si>
  <si>
    <t>8424.65万</t>
  </si>
  <si>
    <t>10派4.5元(含税)</t>
  </si>
  <si>
    <t>3101.71万</t>
  </si>
  <si>
    <t>3494.15万</t>
  </si>
  <si>
    <t>2542.85万</t>
  </si>
  <si>
    <t>1221.55万</t>
  </si>
  <si>
    <t>123.42万</t>
  </si>
  <si>
    <t>727.04万</t>
  </si>
  <si>
    <t>8641047亿</t>
  </si>
  <si>
    <t>50791905亿</t>
  </si>
  <si>
    <t>841030810亿</t>
  </si>
  <si>
    <t>1287.06万</t>
  </si>
  <si>
    <t>610.31万</t>
  </si>
  <si>
    <t>2046.63万</t>
  </si>
  <si>
    <t>-2323.06万</t>
  </si>
  <si>
    <t>-2.71万</t>
  </si>
  <si>
    <t>-18.67万</t>
  </si>
  <si>
    <t>4985.63万</t>
  </si>
  <si>
    <t>7663.77万</t>
  </si>
  <si>
    <t>23.02亿</t>
  </si>
  <si>
    <t>2522.43万</t>
  </si>
  <si>
    <t>1686.50万</t>
  </si>
  <si>
    <t>-168993亿</t>
  </si>
  <si>
    <t>260.05万</t>
  </si>
  <si>
    <t>27737733亿</t>
  </si>
  <si>
    <t>319791790亿</t>
  </si>
  <si>
    <t>8857.74万</t>
  </si>
  <si>
    <t>2045682000亿</t>
  </si>
  <si>
    <t>2835.97万</t>
  </si>
  <si>
    <t>3204.85万</t>
  </si>
  <si>
    <t>-2343.86万</t>
  </si>
  <si>
    <t>10派6.802002元(含税)</t>
  </si>
  <si>
    <t>48.41亿</t>
  </si>
  <si>
    <t>729.35万</t>
  </si>
  <si>
    <t>4126.72万</t>
  </si>
  <si>
    <t>2703.88万</t>
  </si>
  <si>
    <t>-2470435亿</t>
  </si>
  <si>
    <t>2.00万</t>
  </si>
  <si>
    <t>-16501819亿</t>
  </si>
  <si>
    <t>222627740亿</t>
  </si>
  <si>
    <t>62.22万</t>
  </si>
  <si>
    <t>3407277400亿</t>
  </si>
  <si>
    <t>277.25万</t>
  </si>
  <si>
    <t>5003.97万</t>
  </si>
  <si>
    <t>1767.99万</t>
  </si>
  <si>
    <t>4190.00万</t>
  </si>
  <si>
    <t>6299.85万</t>
  </si>
  <si>
    <t>-1.77亿</t>
  </si>
  <si>
    <t>-864.10万</t>
  </si>
  <si>
    <t>7221.71万</t>
  </si>
  <si>
    <t>4317.61万</t>
  </si>
  <si>
    <t>4818.37万</t>
  </si>
  <si>
    <t>949.13万</t>
  </si>
  <si>
    <t>1929.69万</t>
  </si>
  <si>
    <t>813.25万</t>
  </si>
  <si>
    <t>1046977亿</t>
  </si>
  <si>
    <t>-3928853亿</t>
  </si>
  <si>
    <t>15033197亿</t>
  </si>
  <si>
    <t>26.64万</t>
  </si>
  <si>
    <t>620130030亿</t>
  </si>
  <si>
    <t>4348.81万</t>
  </si>
  <si>
    <t>52.57万</t>
  </si>
  <si>
    <t>5263.12万</t>
  </si>
  <si>
    <t>-841.93万</t>
  </si>
  <si>
    <t>3998.24万</t>
  </si>
  <si>
    <t>-5041.54万</t>
  </si>
  <si>
    <t>4143.30万</t>
  </si>
  <si>
    <t>10派3.5元(含税)</t>
  </si>
  <si>
    <t>10.18亿</t>
  </si>
  <si>
    <t>5959.78万</t>
  </si>
  <si>
    <t>5766.07万</t>
  </si>
  <si>
    <t>4062.38万</t>
  </si>
  <si>
    <t>305.74万</t>
  </si>
  <si>
    <t>726.03万</t>
  </si>
  <si>
    <t>1489659亿</t>
  </si>
  <si>
    <t>2502360亿</t>
  </si>
  <si>
    <t>87678075亿</t>
  </si>
  <si>
    <t>1047722610亿</t>
  </si>
  <si>
    <t>2022.23万</t>
  </si>
  <si>
    <t>15.98万</t>
  </si>
  <si>
    <t>9989.67万</t>
  </si>
  <si>
    <t>-2259.08万</t>
  </si>
  <si>
    <t>-208.85万</t>
  </si>
  <si>
    <t>6152.69万</t>
  </si>
  <si>
    <t>5826.89万</t>
  </si>
  <si>
    <t>3043.89万</t>
  </si>
  <si>
    <t>4325.76万</t>
  </si>
  <si>
    <t>1832.97万</t>
  </si>
  <si>
    <t>1082.15万</t>
  </si>
  <si>
    <t>756.46万</t>
  </si>
  <si>
    <t>175608亿</t>
  </si>
  <si>
    <t>-8808482亿</t>
  </si>
  <si>
    <t>196391520亿</t>
  </si>
  <si>
    <t>423.82万</t>
  </si>
  <si>
    <t>1124320500亿</t>
  </si>
  <si>
    <t>316.06万</t>
  </si>
  <si>
    <t>384.00万</t>
  </si>
  <si>
    <t>4227.70万</t>
  </si>
  <si>
    <t>2450.42万</t>
  </si>
  <si>
    <t>-2836.93万</t>
  </si>
  <si>
    <t>-150.92万</t>
  </si>
  <si>
    <t>7905.81万</t>
  </si>
  <si>
    <t>4551.68万</t>
  </si>
  <si>
    <t>14.40亿</t>
  </si>
  <si>
    <t>8513.24万</t>
  </si>
  <si>
    <t>5684.24万</t>
  </si>
  <si>
    <t>1117.43万</t>
  </si>
  <si>
    <t>991.40万</t>
  </si>
  <si>
    <t>1960939亿</t>
  </si>
  <si>
    <t>-21273739亿</t>
  </si>
  <si>
    <t>123950395亿</t>
  </si>
  <si>
    <t>1279731350亿</t>
  </si>
  <si>
    <t>300.29万</t>
  </si>
  <si>
    <t>4428.15万</t>
  </si>
  <si>
    <t>-8594.80万</t>
  </si>
  <si>
    <t>-4484.13万</t>
  </si>
  <si>
    <t>-43.98万</t>
  </si>
  <si>
    <t>8721.06万</t>
  </si>
  <si>
    <t>5449.92万</t>
  </si>
  <si>
    <t>55.09亿</t>
  </si>
  <si>
    <t>88.03亿</t>
  </si>
  <si>
    <t>12.21亿</t>
  </si>
  <si>
    <t>1509175亿</t>
  </si>
  <si>
    <t>61.87万</t>
  </si>
  <si>
    <t>21470414亿</t>
  </si>
  <si>
    <t>1251310490亿</t>
  </si>
  <si>
    <t>1208.91万</t>
  </si>
  <si>
    <t>4917025600亿</t>
  </si>
  <si>
    <t>9000.00万</t>
  </si>
  <si>
    <t>105.50万</t>
  </si>
  <si>
    <t>-11.46亿</t>
  </si>
  <si>
    <t>-6345.03万</t>
  </si>
  <si>
    <t>72.81亿</t>
  </si>
  <si>
    <t>137.18亿</t>
  </si>
  <si>
    <t>112.72亿</t>
  </si>
  <si>
    <t>17.49亿</t>
  </si>
  <si>
    <t>22.60亿</t>
  </si>
  <si>
    <t>1410871亿</t>
  </si>
  <si>
    <t>91.96万</t>
  </si>
  <si>
    <t>-451309640亿</t>
  </si>
  <si>
    <t>52.68亿</t>
  </si>
  <si>
    <t>2668435600亿</t>
  </si>
  <si>
    <t>11394111300亿</t>
  </si>
  <si>
    <t>35.68亿</t>
  </si>
  <si>
    <t>9.75亿</t>
  </si>
  <si>
    <t>2039.78万</t>
  </si>
  <si>
    <t>102.36亿</t>
  </si>
  <si>
    <t>21.95亿</t>
  </si>
  <si>
    <t>-12.97亿</t>
  </si>
  <si>
    <t>97.96亿</t>
  </si>
  <si>
    <t>30.27亿</t>
  </si>
  <si>
    <t>47.82亿</t>
  </si>
  <si>
    <t>5794.59万</t>
  </si>
  <si>
    <t>5851.89万</t>
  </si>
  <si>
    <t>184474亿</t>
  </si>
  <si>
    <t>121.65万</t>
  </si>
  <si>
    <t>55501291亿</t>
  </si>
  <si>
    <t>31.59亿</t>
  </si>
  <si>
    <t>813159860亿</t>
  </si>
  <si>
    <t>172.37万</t>
  </si>
  <si>
    <t>5496848100亿</t>
  </si>
  <si>
    <t>4091.13万</t>
  </si>
  <si>
    <t>6184.98万</t>
  </si>
  <si>
    <t>449.02万</t>
  </si>
  <si>
    <t>19.89亿</t>
  </si>
  <si>
    <t>-4.31亿</t>
  </si>
  <si>
    <t>52.64亿</t>
  </si>
  <si>
    <t>10派0.43元(含税)</t>
  </si>
  <si>
    <t>83.18亿</t>
  </si>
  <si>
    <t>316.21亿</t>
  </si>
  <si>
    <t>59320000亿</t>
  </si>
  <si>
    <t>623.40万</t>
  </si>
  <si>
    <t>-331504000亿</t>
  </si>
  <si>
    <t>269.37亿</t>
  </si>
  <si>
    <t>1207376000亿</t>
  </si>
  <si>
    <t>1744.20万</t>
  </si>
  <si>
    <t>29734114000亿</t>
  </si>
  <si>
    <t>483.60万</t>
  </si>
  <si>
    <t>4296.40万</t>
  </si>
  <si>
    <t>19.10亿</t>
  </si>
  <si>
    <t>31.90万</t>
  </si>
  <si>
    <t>66.91亿</t>
  </si>
  <si>
    <t>-1.91亿</t>
  </si>
  <si>
    <t>-23.02亿</t>
  </si>
  <si>
    <t>90.55亿</t>
  </si>
  <si>
    <t>-4.92亿</t>
  </si>
  <si>
    <t>16.14亿</t>
  </si>
  <si>
    <t>7190.22万</t>
  </si>
  <si>
    <t>3420.10万</t>
  </si>
  <si>
    <t>6342.14万</t>
  </si>
  <si>
    <t>-9176615亿</t>
  </si>
  <si>
    <t>86.78万</t>
  </si>
  <si>
    <t>-61531762亿</t>
  </si>
  <si>
    <t>76067238亿</t>
  </si>
  <si>
    <t>1714703400亿</t>
  </si>
  <si>
    <t>197.95万</t>
  </si>
  <si>
    <t>-372.25万</t>
  </si>
  <si>
    <t>-979.32万</t>
  </si>
  <si>
    <t>-8830.61万</t>
  </si>
  <si>
    <t>20.43亿</t>
  </si>
  <si>
    <t>2034.57万</t>
  </si>
  <si>
    <t>1595.42万</t>
  </si>
  <si>
    <t>-9327462亿</t>
  </si>
  <si>
    <t>170.86万</t>
  </si>
  <si>
    <t>17377211亿</t>
  </si>
  <si>
    <t>218130630亿</t>
  </si>
  <si>
    <t>894.67万</t>
  </si>
  <si>
    <t>3089308800亿</t>
  </si>
  <si>
    <t>16.20亿</t>
  </si>
  <si>
    <t>-1.55亿</t>
  </si>
  <si>
    <t>-7043.65万</t>
  </si>
  <si>
    <t>15.31亿</t>
  </si>
  <si>
    <t>6702.23万</t>
  </si>
  <si>
    <t>6955.27万</t>
  </si>
  <si>
    <t>5041.61万</t>
  </si>
  <si>
    <t>258.25万</t>
  </si>
  <si>
    <t>604.80万</t>
  </si>
  <si>
    <t>-833334亿</t>
  </si>
  <si>
    <t>894610亿</t>
  </si>
  <si>
    <t>198906620亿</t>
  </si>
  <si>
    <t>2531.25万</t>
  </si>
  <si>
    <t>1050251100亿</t>
  </si>
  <si>
    <t>5200.55万</t>
  </si>
  <si>
    <t>528.19万</t>
  </si>
  <si>
    <t>-1085.07万</t>
  </si>
  <si>
    <t>-2501.88万</t>
  </si>
  <si>
    <t>-8334.30万</t>
  </si>
  <si>
    <t>4854.28万</t>
  </si>
  <si>
    <t>3117.17万</t>
  </si>
  <si>
    <t>1736.84万</t>
  </si>
  <si>
    <t>3565.83万</t>
  </si>
  <si>
    <t>4247053亿</t>
  </si>
  <si>
    <t>-55740675亿</t>
  </si>
  <si>
    <t>239869570亿</t>
  </si>
  <si>
    <t>350.07万</t>
  </si>
  <si>
    <t>1188727150亿</t>
  </si>
  <si>
    <t>7342.54万</t>
  </si>
  <si>
    <t>-7464.55万</t>
  </si>
  <si>
    <t>2423.40万</t>
  </si>
  <si>
    <t>-1277.89万</t>
  </si>
  <si>
    <t>3696.57万</t>
  </si>
  <si>
    <t>4276.62万</t>
  </si>
  <si>
    <t>2565.31万</t>
  </si>
  <si>
    <t>2400.47万</t>
  </si>
  <si>
    <t>2103535亿</t>
  </si>
  <si>
    <t>11937717亿</t>
  </si>
  <si>
    <t>89830455亿</t>
  </si>
  <si>
    <t>1582845800亿</t>
  </si>
  <si>
    <t>1436.94万</t>
  </si>
  <si>
    <t>-7066.94万</t>
  </si>
  <si>
    <t>7.44亿</t>
  </si>
  <si>
    <t>10转2股派11元(含税)</t>
  </si>
  <si>
    <t>20.54亿</t>
  </si>
  <si>
    <t>1643.50万</t>
  </si>
  <si>
    <t>2347.51万</t>
  </si>
  <si>
    <t>-198133亿</t>
  </si>
  <si>
    <t>17.20万</t>
  </si>
  <si>
    <t>-10099750亿</t>
  </si>
  <si>
    <t>353618440亿</t>
  </si>
  <si>
    <t>192.76万</t>
  </si>
  <si>
    <t>1651706500亿</t>
  </si>
  <si>
    <t>864.10万</t>
  </si>
  <si>
    <t>160.00万</t>
  </si>
  <si>
    <t>-573.55万</t>
  </si>
  <si>
    <t>-1607.10万</t>
  </si>
  <si>
    <t>-2.32亿</t>
  </si>
  <si>
    <t>39.10亿</t>
  </si>
  <si>
    <t>32.90亿</t>
  </si>
  <si>
    <t>12.87亿</t>
  </si>
  <si>
    <t>12.44亿</t>
  </si>
  <si>
    <t>8.89亿</t>
  </si>
  <si>
    <t>7753.03万</t>
  </si>
  <si>
    <t>2230.88万</t>
  </si>
  <si>
    <t>123.81万</t>
  </si>
  <si>
    <t>24226334亿</t>
  </si>
  <si>
    <t>1206548870亿</t>
  </si>
  <si>
    <t>1763.21万</t>
  </si>
  <si>
    <t>6637355600亿</t>
  </si>
  <si>
    <t>14.45亿</t>
  </si>
  <si>
    <t>674.29万</t>
  </si>
  <si>
    <t>36.70亿</t>
  </si>
  <si>
    <t>-308.74万</t>
  </si>
  <si>
    <t>-452.81万</t>
  </si>
  <si>
    <t>65.03亿</t>
  </si>
  <si>
    <t>10转4股派5.50元(含税)</t>
  </si>
  <si>
    <t>28.16亿</t>
  </si>
  <si>
    <t>7382.81万</t>
  </si>
  <si>
    <t>1567.04万</t>
  </si>
  <si>
    <t>6367.90万</t>
  </si>
  <si>
    <t>-58645亿</t>
  </si>
  <si>
    <t>-73896052亿</t>
  </si>
  <si>
    <t>218664100亿</t>
  </si>
  <si>
    <t>1256177210亿</t>
  </si>
  <si>
    <t>6198.70万</t>
  </si>
  <si>
    <t>7.19亿</t>
  </si>
  <si>
    <t>-4977.76万</t>
  </si>
  <si>
    <t>-2.03亿</t>
  </si>
  <si>
    <t>6.18亿</t>
  </si>
  <si>
    <t>-2.69亿</t>
  </si>
  <si>
    <t>24.14亿</t>
  </si>
  <si>
    <t>24.42亿</t>
  </si>
  <si>
    <t>3913.30万</t>
  </si>
  <si>
    <t>-2722071亿</t>
  </si>
  <si>
    <t>13.88万</t>
  </si>
  <si>
    <t>-204236990亿</t>
  </si>
  <si>
    <t>658047340亿</t>
  </si>
  <si>
    <t>40.30万</t>
  </si>
  <si>
    <t>2358783000亿</t>
  </si>
  <si>
    <t>159.85万</t>
  </si>
  <si>
    <t>17.09亿</t>
  </si>
  <si>
    <t>-3.58亿</t>
  </si>
  <si>
    <t>-256.45万</t>
  </si>
  <si>
    <t>2108.54万</t>
  </si>
  <si>
    <t>21.70亿</t>
  </si>
  <si>
    <t>-3.60亿</t>
  </si>
  <si>
    <t>7.72亿</t>
  </si>
  <si>
    <t>10.02亿</t>
  </si>
  <si>
    <t>4245.14万</t>
  </si>
  <si>
    <t>9689.39万</t>
  </si>
  <si>
    <t>2127.07万</t>
  </si>
  <si>
    <t>-111897亿</t>
  </si>
  <si>
    <t>3.86万</t>
  </si>
  <si>
    <t>-75786280亿</t>
  </si>
  <si>
    <t>676089500亿</t>
  </si>
  <si>
    <t>2991.36万</t>
  </si>
  <si>
    <t>1275473410亿</t>
  </si>
  <si>
    <t>4826.75万</t>
  </si>
  <si>
    <t>6315.34万</t>
  </si>
  <si>
    <t>-1070.85万</t>
  </si>
  <si>
    <t>-6541.96万</t>
  </si>
  <si>
    <t>4433.21万</t>
  </si>
  <si>
    <t>-1.82亿</t>
  </si>
  <si>
    <t>13.58亿</t>
  </si>
  <si>
    <t>6273.42万</t>
  </si>
  <si>
    <t>1927.51万</t>
  </si>
  <si>
    <t>5552.21万</t>
  </si>
  <si>
    <t>2688.98万</t>
  </si>
  <si>
    <t>2571879亿</t>
  </si>
  <si>
    <t>6.95万</t>
  </si>
  <si>
    <t>-93453922亿</t>
  </si>
  <si>
    <t>346991740亿</t>
  </si>
  <si>
    <t>289.22万</t>
  </si>
  <si>
    <t>1380846900亿</t>
  </si>
  <si>
    <t>5550.00万</t>
  </si>
  <si>
    <t>7290.72万</t>
  </si>
  <si>
    <t>-478.23万</t>
  </si>
  <si>
    <t>5431.40万</t>
  </si>
  <si>
    <t>6301.24万</t>
  </si>
  <si>
    <t>4007.70万</t>
  </si>
  <si>
    <t>600.42万</t>
  </si>
  <si>
    <t>843444亿</t>
  </si>
  <si>
    <t>3653503亿</t>
  </si>
  <si>
    <t>7276.02万</t>
  </si>
  <si>
    <t>442703900亿</t>
  </si>
  <si>
    <t>540.48万</t>
  </si>
  <si>
    <t>853751910亿</t>
  </si>
  <si>
    <t>2867.77万</t>
  </si>
  <si>
    <t>-2886.11万</t>
  </si>
  <si>
    <t>4192.50万</t>
  </si>
  <si>
    <t>-2316.68万</t>
  </si>
  <si>
    <t>7.95亿</t>
  </si>
  <si>
    <t>6820.09万</t>
  </si>
  <si>
    <t>7586.20万</t>
  </si>
  <si>
    <t>267.73万</t>
  </si>
  <si>
    <t>4037.94万</t>
  </si>
  <si>
    <t>1319.01万</t>
  </si>
  <si>
    <t>2033874亿</t>
  </si>
  <si>
    <t>-3737625亿</t>
  </si>
  <si>
    <t>293189210亿</t>
  </si>
  <si>
    <t>764483980亿</t>
  </si>
  <si>
    <t>885.48万</t>
  </si>
  <si>
    <t>7798.61万</t>
  </si>
  <si>
    <t>-316.41万</t>
  </si>
  <si>
    <t>-5692.04万</t>
  </si>
  <si>
    <t>1451.96万</t>
  </si>
  <si>
    <t>10转4股派2.6元(含税)</t>
  </si>
  <si>
    <t>4636.47万</t>
  </si>
  <si>
    <t>4078.69万</t>
  </si>
  <si>
    <t>2059.43万</t>
  </si>
  <si>
    <t>422.98万</t>
  </si>
  <si>
    <t>582.04万</t>
  </si>
  <si>
    <t>13233亿</t>
  </si>
  <si>
    <t>4.38万</t>
  </si>
  <si>
    <t>11863117亿</t>
  </si>
  <si>
    <t>6759.16万</t>
  </si>
  <si>
    <t>494274050亿</t>
  </si>
  <si>
    <t>4778.33万</t>
  </si>
  <si>
    <t>786517650亿</t>
  </si>
  <si>
    <t>500.48万</t>
  </si>
  <si>
    <t>527.84万</t>
  </si>
  <si>
    <t>6831.64万</t>
  </si>
  <si>
    <t>-2958.65万</t>
  </si>
  <si>
    <t>-214.95万</t>
  </si>
  <si>
    <t>-3.99万</t>
  </si>
  <si>
    <t>8001.10万</t>
  </si>
  <si>
    <t>8431.98万</t>
  </si>
  <si>
    <t>10派3.60元(含税)</t>
  </si>
  <si>
    <t>26.89亿</t>
  </si>
  <si>
    <t>586.34万</t>
  </si>
  <si>
    <t>8332.45万</t>
  </si>
  <si>
    <t>3279.43万</t>
  </si>
  <si>
    <t>1969514亿</t>
  </si>
  <si>
    <t>18.63万</t>
  </si>
  <si>
    <t>-78290666亿</t>
  </si>
  <si>
    <t>110433204亿</t>
  </si>
  <si>
    <t>388.29万</t>
  </si>
  <si>
    <t>2214568000亿</t>
  </si>
  <si>
    <t>2972.64万</t>
  </si>
  <si>
    <t>2051.18万</t>
  </si>
  <si>
    <t>-1656.38万</t>
  </si>
  <si>
    <t>600.35万</t>
  </si>
  <si>
    <t>6140.64万</t>
  </si>
  <si>
    <t>25.55亿</t>
  </si>
  <si>
    <t>902.04万</t>
  </si>
  <si>
    <t>8789.35万</t>
  </si>
  <si>
    <t>3537.48万</t>
  </si>
  <si>
    <t>2915681亿</t>
  </si>
  <si>
    <t>31.92万</t>
  </si>
  <si>
    <t>-20656212亿</t>
  </si>
  <si>
    <t>99793767亿</t>
  </si>
  <si>
    <t>2389587100亿</t>
  </si>
  <si>
    <t>598.30万</t>
  </si>
  <si>
    <t>-4606.07万</t>
  </si>
  <si>
    <t>-1511.28万</t>
  </si>
  <si>
    <t>-877.49万</t>
  </si>
  <si>
    <t>-9094.10万</t>
  </si>
  <si>
    <t>7.68亿</t>
  </si>
  <si>
    <t>5879.16万</t>
  </si>
  <si>
    <t>7817.00万</t>
  </si>
  <si>
    <t>1494.42万</t>
  </si>
  <si>
    <t>2585.64万</t>
  </si>
  <si>
    <t>1098.05万</t>
  </si>
  <si>
    <t>1906798亿</t>
  </si>
  <si>
    <t>-13446642亿</t>
  </si>
  <si>
    <t>211234330亿</t>
  </si>
  <si>
    <t>607.38万</t>
  </si>
  <si>
    <t>810777470亿</t>
  </si>
  <si>
    <t>249.33万</t>
  </si>
  <si>
    <t>2517.99万</t>
  </si>
  <si>
    <t>6579.04万</t>
  </si>
  <si>
    <t>-4518.42万</t>
  </si>
  <si>
    <t>4045.39万</t>
  </si>
  <si>
    <t>-336.03万</t>
  </si>
  <si>
    <t>1242.93万</t>
  </si>
  <si>
    <t>10派3.00元(含税)</t>
  </si>
  <si>
    <t>39.54亿</t>
  </si>
  <si>
    <t>104.06亿</t>
  </si>
  <si>
    <t>12.25亿</t>
  </si>
  <si>
    <t>61397924亿</t>
  </si>
  <si>
    <t>69.17万</t>
  </si>
  <si>
    <t>352094580亿</t>
  </si>
  <si>
    <t>21.11亿</t>
  </si>
  <si>
    <t>552990670亿</t>
  </si>
  <si>
    <t>308.00万</t>
  </si>
  <si>
    <t>10019424400亿</t>
  </si>
  <si>
    <t>28.47亿</t>
  </si>
  <si>
    <t>-14.74亿</t>
  </si>
  <si>
    <t>-4558.80万</t>
  </si>
  <si>
    <t>45.56亿</t>
  </si>
  <si>
    <t>10派8.7957元(含税)</t>
  </si>
  <si>
    <t>6063.67万</t>
  </si>
  <si>
    <t>3635.52万</t>
  </si>
  <si>
    <t>3172.97万</t>
  </si>
  <si>
    <t>1397.60万</t>
  </si>
  <si>
    <t>828457亿</t>
  </si>
  <si>
    <t>-40827241亿</t>
  </si>
  <si>
    <t>200475460亿</t>
  </si>
  <si>
    <t>427.98万</t>
  </si>
  <si>
    <t>768026780亿</t>
  </si>
  <si>
    <t>2691.32万</t>
  </si>
  <si>
    <t>-5287.33万</t>
  </si>
  <si>
    <t>-6078.56万</t>
  </si>
  <si>
    <t>-115.75万</t>
  </si>
  <si>
    <t>-1566.44万</t>
  </si>
  <si>
    <t>12.43亿</t>
  </si>
  <si>
    <t>4413.94万</t>
  </si>
  <si>
    <t>6357.76万</t>
  </si>
  <si>
    <t>1407.32万</t>
  </si>
  <si>
    <t>1882.19万</t>
  </si>
  <si>
    <t>751.74万</t>
  </si>
  <si>
    <t>5758200亿</t>
  </si>
  <si>
    <t>-13563486亿</t>
  </si>
  <si>
    <t>293341140亿</t>
  </si>
  <si>
    <t>74.36万</t>
  </si>
  <si>
    <t>1229956320亿</t>
  </si>
  <si>
    <t>2473.69万</t>
  </si>
  <si>
    <t>9132.99万</t>
  </si>
  <si>
    <t>-1958.37万</t>
  </si>
  <si>
    <t>6517.25万</t>
  </si>
  <si>
    <t>-1855.92万</t>
  </si>
  <si>
    <t>-3011.83万</t>
  </si>
  <si>
    <t>5654.45万</t>
  </si>
  <si>
    <t>9465.49万</t>
  </si>
  <si>
    <t>2092.64万</t>
  </si>
  <si>
    <t>2156.88万</t>
  </si>
  <si>
    <t>2177.02万</t>
  </si>
  <si>
    <t>152076亿</t>
  </si>
  <si>
    <t>-35807446亿</t>
  </si>
  <si>
    <t>561188720亿</t>
  </si>
  <si>
    <t>355.96万</t>
  </si>
  <si>
    <t>1104649260亿</t>
  </si>
  <si>
    <t>7099.04万</t>
  </si>
  <si>
    <t>7950.00万</t>
  </si>
  <si>
    <t>-8915.19万</t>
  </si>
  <si>
    <t>-7363.16万</t>
  </si>
  <si>
    <t>8629.05万</t>
  </si>
  <si>
    <t>1178.38万</t>
  </si>
  <si>
    <t>3077.03万</t>
  </si>
  <si>
    <t>2108.28万</t>
  </si>
  <si>
    <t>1789.80万</t>
  </si>
  <si>
    <t>1264.94万</t>
  </si>
  <si>
    <t>221.98万</t>
  </si>
  <si>
    <t>185.59万</t>
  </si>
  <si>
    <t>683715亿</t>
  </si>
  <si>
    <t>2596574亿</t>
  </si>
  <si>
    <t>107595775亿</t>
  </si>
  <si>
    <t>415.68万</t>
  </si>
  <si>
    <t>732969970亿</t>
  </si>
  <si>
    <t>6894.84万</t>
  </si>
  <si>
    <t>1601.90万</t>
  </si>
  <si>
    <t>2432.74万</t>
  </si>
  <si>
    <t>-201.21万</t>
  </si>
  <si>
    <t>-350.29万</t>
  </si>
  <si>
    <t>1800.32万</t>
  </si>
  <si>
    <t>10派0.86元(含税)</t>
  </si>
  <si>
    <t>7061.14万</t>
  </si>
  <si>
    <t>1818.81万</t>
  </si>
  <si>
    <t>2915.03万</t>
  </si>
  <si>
    <t>1317.31万</t>
  </si>
  <si>
    <t>291628亿</t>
  </si>
  <si>
    <t>-30354340亿</t>
  </si>
  <si>
    <t>405360800亿</t>
  </si>
  <si>
    <t>14.76万</t>
  </si>
  <si>
    <t>679783090亿</t>
  </si>
  <si>
    <t>5621.35万</t>
  </si>
  <si>
    <t>-3975.11万</t>
  </si>
  <si>
    <t>921.39万</t>
  </si>
  <si>
    <t>-1839.15万</t>
  </si>
  <si>
    <t>1122.27万</t>
  </si>
  <si>
    <t>10转4.8股派0.3元(含税)</t>
  </si>
  <si>
    <t>20.33亿</t>
  </si>
  <si>
    <t>8181.26万</t>
  </si>
  <si>
    <t>9724.96万</t>
  </si>
  <si>
    <t>468.11万</t>
  </si>
  <si>
    <t>2284.81万</t>
  </si>
  <si>
    <t>1419.73万</t>
  </si>
  <si>
    <t>12745亿</t>
  </si>
  <si>
    <t>-15374147亿</t>
  </si>
  <si>
    <t>88134823亿</t>
  </si>
  <si>
    <t>105.28万</t>
  </si>
  <si>
    <t>1556025000亿</t>
  </si>
  <si>
    <t>8860.49万</t>
  </si>
  <si>
    <t>5743.82万</t>
  </si>
  <si>
    <t>-5326.28万</t>
  </si>
  <si>
    <t>-2298.35万</t>
  </si>
  <si>
    <t>-5225.98万</t>
  </si>
  <si>
    <t>-5631.56万</t>
  </si>
  <si>
    <t>20.01亿</t>
  </si>
  <si>
    <t>4141.46万</t>
  </si>
  <si>
    <t>136469亿</t>
  </si>
  <si>
    <t>3.83万</t>
  </si>
  <si>
    <t>-150661370亿</t>
  </si>
  <si>
    <t>932550900亿</t>
  </si>
  <si>
    <t>824.39万</t>
  </si>
  <si>
    <t>2479559600亿</t>
  </si>
  <si>
    <t>5400.66万</t>
  </si>
  <si>
    <t>1589.63万</t>
  </si>
  <si>
    <t>-2.04亿</t>
  </si>
  <si>
    <t>1870.65万</t>
  </si>
  <si>
    <t>9848.31万</t>
  </si>
  <si>
    <t>-2.91亿</t>
  </si>
  <si>
    <t>55.49亿</t>
  </si>
  <si>
    <t>9260.28万</t>
  </si>
  <si>
    <t>4114.06万</t>
  </si>
  <si>
    <t>3727152亿</t>
  </si>
  <si>
    <t>110.91万</t>
  </si>
  <si>
    <t>-78758475亿</t>
  </si>
  <si>
    <t>1336458090亿</t>
  </si>
  <si>
    <t>2812.02万</t>
  </si>
  <si>
    <t>5273418000亿</t>
  </si>
  <si>
    <t>-1814.00万</t>
  </si>
  <si>
    <t>10派3.6元(含税)</t>
  </si>
  <si>
    <t>2944.73万</t>
  </si>
  <si>
    <t>5639.56万</t>
  </si>
  <si>
    <t>1292.34万</t>
  </si>
  <si>
    <t>1222.29万</t>
  </si>
  <si>
    <t>779.58万</t>
  </si>
  <si>
    <t>659100亿</t>
  </si>
  <si>
    <t>-21575309亿</t>
  </si>
  <si>
    <t>288737290亿</t>
  </si>
  <si>
    <t>41.04万</t>
  </si>
  <si>
    <t>966985960亿</t>
  </si>
  <si>
    <t>675.52万</t>
  </si>
  <si>
    <t>9140.05万</t>
  </si>
  <si>
    <t>-4842.05万</t>
  </si>
  <si>
    <t>-2.36亿</t>
  </si>
  <si>
    <t>212.24万</t>
  </si>
  <si>
    <t>5080.64万</t>
  </si>
  <si>
    <t>3110.54万</t>
  </si>
  <si>
    <t>10转4.8股派2.26元(含税)</t>
  </si>
  <si>
    <t>6477.41万</t>
  </si>
  <si>
    <t>2487.79万</t>
  </si>
  <si>
    <t>2093.92万</t>
  </si>
  <si>
    <t>-2975656亿</t>
  </si>
  <si>
    <t>-13035633亿</t>
  </si>
  <si>
    <t>472801710亿</t>
  </si>
  <si>
    <t>68.20万</t>
  </si>
  <si>
    <t>2168688100亿</t>
  </si>
  <si>
    <t>1411.14万</t>
  </si>
  <si>
    <t>8.35亿</t>
  </si>
  <si>
    <t>-9696.30万</t>
  </si>
  <si>
    <t>-5520.03万</t>
  </si>
  <si>
    <t>7588.52万</t>
  </si>
  <si>
    <t>4249.74万</t>
  </si>
  <si>
    <t>5736.55万</t>
  </si>
  <si>
    <t>4947.64万</t>
  </si>
  <si>
    <t>4640.13万</t>
  </si>
  <si>
    <t>2034.15万</t>
  </si>
  <si>
    <t>621.76万</t>
  </si>
  <si>
    <t>772.62万</t>
  </si>
  <si>
    <t>-239271亿</t>
  </si>
  <si>
    <t>4865065亿</t>
  </si>
  <si>
    <t>50479655亿</t>
  </si>
  <si>
    <t>835.42万</t>
  </si>
  <si>
    <t>838508290亿</t>
  </si>
  <si>
    <t>2970.89万</t>
  </si>
  <si>
    <t>1825.42万</t>
  </si>
  <si>
    <t>4481.57万</t>
  </si>
  <si>
    <t>-9.12万</t>
  </si>
  <si>
    <t>-4.52亿</t>
  </si>
  <si>
    <t>-76.08万</t>
  </si>
  <si>
    <t>4222.41万</t>
  </si>
  <si>
    <t>7842.77万</t>
  </si>
  <si>
    <t>9521.98万</t>
  </si>
  <si>
    <t>5349.69万</t>
  </si>
  <si>
    <t>1483.72万</t>
  </si>
  <si>
    <t>1122.38万</t>
  </si>
  <si>
    <t>915649亿</t>
  </si>
  <si>
    <t>-3136337亿</t>
  </si>
  <si>
    <t>288486660亿</t>
  </si>
  <si>
    <t>524.75万</t>
  </si>
  <si>
    <t>742473400亿</t>
  </si>
  <si>
    <t>10.67万</t>
  </si>
  <si>
    <t>1658.30万</t>
  </si>
  <si>
    <t>2261.92万</t>
  </si>
  <si>
    <t>8106.32万</t>
  </si>
  <si>
    <t>-8359.50万</t>
  </si>
  <si>
    <t>5184.94万</t>
  </si>
  <si>
    <t>1364.57万</t>
  </si>
  <si>
    <t>5203.96万</t>
  </si>
  <si>
    <t>-2950.56万</t>
  </si>
  <si>
    <t>34.83亿</t>
  </si>
  <si>
    <t>7104.62万</t>
  </si>
  <si>
    <t>2899.33万</t>
  </si>
  <si>
    <t>1337.52万</t>
  </si>
  <si>
    <t>159.57万</t>
  </si>
  <si>
    <t>194.50万</t>
  </si>
  <si>
    <t>8264956亿</t>
  </si>
  <si>
    <t>41944350亿</t>
  </si>
  <si>
    <t>44339260亿</t>
  </si>
  <si>
    <t>2857154500亿</t>
  </si>
  <si>
    <t>3842.03万</t>
  </si>
  <si>
    <t>14.03万</t>
  </si>
  <si>
    <t>1085.36万</t>
  </si>
  <si>
    <t>-3.96亿</t>
  </si>
  <si>
    <t>10转4股派8元(含税)</t>
  </si>
  <si>
    <t>43.26亿</t>
  </si>
  <si>
    <t>45.80亿</t>
  </si>
  <si>
    <t>7823.52万</t>
  </si>
  <si>
    <t>8744.25万</t>
  </si>
  <si>
    <t>-2929015亿</t>
  </si>
  <si>
    <t>11.08万</t>
  </si>
  <si>
    <t>-219909160亿</t>
  </si>
  <si>
    <t>25.08亿</t>
  </si>
  <si>
    <t>1125336290亿</t>
  </si>
  <si>
    <t>5953617100亿</t>
  </si>
  <si>
    <t>4.93亿</t>
  </si>
  <si>
    <t>39.07亿</t>
  </si>
  <si>
    <t>5004.04万</t>
  </si>
  <si>
    <t>-4.72亿</t>
  </si>
  <si>
    <t>-5672.83万</t>
  </si>
  <si>
    <t>46.78亿</t>
  </si>
  <si>
    <t>-2.17亿</t>
  </si>
  <si>
    <t>5940.94万</t>
  </si>
  <si>
    <t>9611.28万</t>
  </si>
  <si>
    <t>1999.12万</t>
  </si>
  <si>
    <t>279980亿</t>
  </si>
  <si>
    <t>-32084242亿</t>
  </si>
  <si>
    <t>404956140亿</t>
  </si>
  <si>
    <t>1134.98万</t>
  </si>
  <si>
    <t>1421495700亿</t>
  </si>
  <si>
    <t>-2988.87万</t>
  </si>
  <si>
    <t>-686.00万</t>
  </si>
  <si>
    <t>-5001.81万</t>
  </si>
  <si>
    <t>8237.84万</t>
  </si>
  <si>
    <t>11.59亿</t>
  </si>
  <si>
    <t>3443.76万</t>
  </si>
  <si>
    <t>5164.46万</t>
  </si>
  <si>
    <t>451.15万</t>
  </si>
  <si>
    <t>1783.26万</t>
  </si>
  <si>
    <t>357.63万</t>
  </si>
  <si>
    <t>2194828亿</t>
  </si>
  <si>
    <t>-15421474亿</t>
  </si>
  <si>
    <t>197405600亿</t>
  </si>
  <si>
    <t>1115548110亿</t>
  </si>
  <si>
    <t>837.87万</t>
  </si>
  <si>
    <t>5238.90万</t>
  </si>
  <si>
    <t>-3209.17万</t>
  </si>
  <si>
    <t>-3071.75万</t>
  </si>
  <si>
    <t>3696.48万</t>
  </si>
  <si>
    <t>4446.46万</t>
  </si>
  <si>
    <t>19.44亿</t>
  </si>
  <si>
    <t>9132.49万</t>
  </si>
  <si>
    <t>422.73万</t>
  </si>
  <si>
    <t>834.50万</t>
  </si>
  <si>
    <t>3.50万</t>
  </si>
  <si>
    <t>20229316亿</t>
  </si>
  <si>
    <t>213326870亿</t>
  </si>
  <si>
    <t>2099.81万</t>
  </si>
  <si>
    <t>1873564800亿</t>
  </si>
  <si>
    <t>-1242.26万</t>
  </si>
  <si>
    <t>-12.28亿</t>
  </si>
  <si>
    <t>-77.09万</t>
  </si>
  <si>
    <t>28.75亿</t>
  </si>
  <si>
    <t>3186.42万</t>
  </si>
  <si>
    <t>6319.78万</t>
  </si>
  <si>
    <t>1792.10万</t>
  </si>
  <si>
    <t>623.92万</t>
  </si>
  <si>
    <t>1653.99万</t>
  </si>
  <si>
    <t>394093亿</t>
  </si>
  <si>
    <t>-25537306亿</t>
  </si>
  <si>
    <t>495026470亿</t>
  </si>
  <si>
    <t>65.56万</t>
  </si>
  <si>
    <t>2695160900亿</t>
  </si>
  <si>
    <t>2015.14万</t>
  </si>
  <si>
    <t>8144.00万</t>
  </si>
  <si>
    <t>-3638.47万</t>
  </si>
  <si>
    <t>-205.30万</t>
  </si>
  <si>
    <t>-2714.99万</t>
  </si>
  <si>
    <t>5747.70万</t>
  </si>
  <si>
    <t>10转4.6股派3.8元(含税)</t>
  </si>
  <si>
    <t>60.84亿</t>
  </si>
  <si>
    <t>97.05亿</t>
  </si>
  <si>
    <t>12.42亿</t>
  </si>
  <si>
    <t>-16437442亿</t>
  </si>
  <si>
    <t>505.15万</t>
  </si>
  <si>
    <t>-523525590亿</t>
  </si>
  <si>
    <t>9.21亿</t>
  </si>
  <si>
    <t>6035579200亿</t>
  </si>
  <si>
    <t>9152142500亿</t>
  </si>
  <si>
    <t>39.95万</t>
  </si>
  <si>
    <t>16.31亿</t>
  </si>
  <si>
    <t>44.53亿</t>
  </si>
  <si>
    <t>-2379.79万</t>
  </si>
  <si>
    <t>-4.54亿</t>
  </si>
  <si>
    <t>5763.04万</t>
  </si>
  <si>
    <t>64.42亿</t>
  </si>
  <si>
    <t>7175.04万</t>
  </si>
  <si>
    <t>5501.56万</t>
  </si>
  <si>
    <t>672.27万</t>
  </si>
  <si>
    <t>1672.37万</t>
  </si>
  <si>
    <t>630521亿</t>
  </si>
  <si>
    <t>34.71万</t>
  </si>
  <si>
    <t>10351340亿</t>
  </si>
  <si>
    <t>195134570亿</t>
  </si>
  <si>
    <t>154.89万</t>
  </si>
  <si>
    <t>703330440亿</t>
  </si>
  <si>
    <t>5168.67万</t>
  </si>
  <si>
    <t>52.60万</t>
  </si>
  <si>
    <t>-1966.63万</t>
  </si>
  <si>
    <t>-3401.55万</t>
  </si>
  <si>
    <t>-12.59万</t>
  </si>
  <si>
    <t>8115.37万</t>
  </si>
  <si>
    <t>488.82万</t>
  </si>
  <si>
    <t>2029.77万</t>
  </si>
  <si>
    <t>3247060亿</t>
  </si>
  <si>
    <t>-14298008亿</t>
  </si>
  <si>
    <t>150110990亿</t>
  </si>
  <si>
    <t>1033061140亿</t>
  </si>
  <si>
    <t>2171.06万</t>
  </si>
  <si>
    <t>-2041.45万</t>
  </si>
  <si>
    <t>-3296.48万</t>
  </si>
  <si>
    <t>6189.85万</t>
  </si>
  <si>
    <t>8652.65万</t>
  </si>
  <si>
    <t>2387.18万</t>
  </si>
  <si>
    <t>3045.41万</t>
  </si>
  <si>
    <t>351965亿</t>
  </si>
  <si>
    <t>13441635亿</t>
  </si>
  <si>
    <t>1200253570亿</t>
  </si>
  <si>
    <t>2232287900亿</t>
  </si>
  <si>
    <t>9542.79万</t>
  </si>
  <si>
    <t>-2.49亿</t>
  </si>
  <si>
    <t>16.83亿</t>
  </si>
  <si>
    <t>6861.52万</t>
  </si>
  <si>
    <t>18.55亿</t>
  </si>
  <si>
    <t>2355.97万</t>
  </si>
  <si>
    <t>2666.67万</t>
  </si>
  <si>
    <t>10395亿</t>
  </si>
  <si>
    <t>-18429799亿</t>
  </si>
  <si>
    <t>1274227420亿</t>
  </si>
  <si>
    <t>1322.07万</t>
  </si>
  <si>
    <t>3073806200亿</t>
  </si>
  <si>
    <t>1286.42万</t>
  </si>
  <si>
    <t>6414.99万</t>
  </si>
  <si>
    <t>14.61亿</t>
  </si>
  <si>
    <t>-75.38万</t>
  </si>
  <si>
    <t>16.76亿</t>
  </si>
  <si>
    <t>10派4.1元(含税)</t>
  </si>
  <si>
    <t>9.86亿</t>
  </si>
  <si>
    <t>4221.15万</t>
  </si>
  <si>
    <t>5970.13万</t>
  </si>
  <si>
    <t>1131.78万</t>
  </si>
  <si>
    <t>2705.64万</t>
  </si>
  <si>
    <t>941.14万</t>
  </si>
  <si>
    <t>312484亿</t>
  </si>
  <si>
    <t>1.50万</t>
  </si>
  <si>
    <t>-14346290亿</t>
  </si>
  <si>
    <t>236180470亿</t>
  </si>
  <si>
    <t>19.60万</t>
  </si>
  <si>
    <t>1046346830亿</t>
  </si>
  <si>
    <t>593.53万</t>
  </si>
  <si>
    <t>7341.17万</t>
  </si>
  <si>
    <t>-2032.27万</t>
  </si>
  <si>
    <t>-897.93万</t>
  </si>
  <si>
    <t>4618.60万</t>
  </si>
  <si>
    <t>4250.86万</t>
  </si>
  <si>
    <t>10派0.6027元(含税)</t>
  </si>
  <si>
    <t>8572.44万</t>
  </si>
  <si>
    <t>14.13亿</t>
  </si>
  <si>
    <t>5625.34万</t>
  </si>
  <si>
    <t>5538.72万</t>
  </si>
  <si>
    <t>556.20万</t>
  </si>
  <si>
    <t>2508.23万</t>
  </si>
  <si>
    <t>774.13万</t>
  </si>
  <si>
    <t>1048519亿</t>
  </si>
  <si>
    <t>4600953亿</t>
  </si>
  <si>
    <t>31091460亿</t>
  </si>
  <si>
    <t>341.49万</t>
  </si>
  <si>
    <t>1405061300亿</t>
  </si>
  <si>
    <t>265.55万</t>
  </si>
  <si>
    <t>4561.47万</t>
  </si>
  <si>
    <t>-1239.28万</t>
  </si>
  <si>
    <t>2128.96万</t>
  </si>
  <si>
    <t>-907.38万</t>
  </si>
  <si>
    <t>6224.18万</t>
  </si>
  <si>
    <t>5413.86万</t>
  </si>
  <si>
    <t>10转4.6股派10元(含税)</t>
  </si>
  <si>
    <t>SH688692</t>
  </si>
  <si>
    <t>达梦数据</t>
  </si>
  <si>
    <t>483.26万</t>
  </si>
  <si>
    <t>6299.57万</t>
  </si>
  <si>
    <t>1832.31万</t>
  </si>
  <si>
    <t>50880300亿</t>
  </si>
  <si>
    <t>10.71亿</t>
  </si>
  <si>
    <t>385288820亿</t>
  </si>
  <si>
    <t>308.75万</t>
  </si>
  <si>
    <t>1577963300亿</t>
  </si>
  <si>
    <t>5395.66万</t>
  </si>
  <si>
    <t>-5481.26万</t>
  </si>
  <si>
    <t>-2179.43万</t>
  </si>
  <si>
    <t>3414.64万</t>
  </si>
  <si>
    <t>8936.12万</t>
  </si>
  <si>
    <t>5820.83万</t>
  </si>
  <si>
    <t>2852.84万</t>
  </si>
  <si>
    <t>3241.69万</t>
  </si>
  <si>
    <t>420.79万</t>
  </si>
  <si>
    <t>777.51万</t>
  </si>
  <si>
    <t>838.26万</t>
  </si>
  <si>
    <t>2043405亿</t>
  </si>
  <si>
    <t>219513840亿</t>
  </si>
  <si>
    <t>39.40万</t>
  </si>
  <si>
    <t>794996620亿</t>
  </si>
  <si>
    <t>1563.77万</t>
  </si>
  <si>
    <t>2380.62万</t>
  </si>
  <si>
    <t>-2940.72万</t>
  </si>
  <si>
    <t>-84.38万</t>
  </si>
  <si>
    <t>8186.80万</t>
  </si>
  <si>
    <t>6901.64万</t>
  </si>
  <si>
    <t>4842.03万</t>
  </si>
  <si>
    <t>4276.95万</t>
  </si>
  <si>
    <t>2699.68万</t>
  </si>
  <si>
    <t>2031.79万</t>
  </si>
  <si>
    <t>6666.34万</t>
  </si>
  <si>
    <t>10派2.4元(含税)</t>
  </si>
  <si>
    <t>1270.44万</t>
  </si>
  <si>
    <t>2125.58万</t>
  </si>
  <si>
    <t>-742.72万</t>
  </si>
  <si>
    <t>7476.71万</t>
  </si>
  <si>
    <t>4.21亿</t>
  </si>
  <si>
    <t>3452.00万</t>
  </si>
  <si>
    <t>5576.62万</t>
  </si>
  <si>
    <t>-4386.51万</t>
  </si>
  <si>
    <t>5.76亿</t>
  </si>
  <si>
    <t>629.23万</t>
  </si>
  <si>
    <t>18.60亿</t>
  </si>
  <si>
    <t>-1168.52万</t>
  </si>
  <si>
    <t>2069.56万</t>
  </si>
  <si>
    <t>2735.41万</t>
  </si>
  <si>
    <t>785.21万</t>
  </si>
  <si>
    <t>8690.10万</t>
  </si>
  <si>
    <t>1586.53万</t>
  </si>
  <si>
    <t>1026.49万</t>
  </si>
  <si>
    <t>5242.98万</t>
  </si>
  <si>
    <t>3.46亿</t>
  </si>
  <si>
    <t>3524.80万</t>
  </si>
  <si>
    <t>190.71万</t>
  </si>
  <si>
    <t>13.48亿</t>
  </si>
  <si>
    <t>开始亏损</t>
  </si>
  <si>
    <t>067519200</t>
  </si>
  <si>
    <t>0135038400</t>
  </si>
  <si>
    <t>0225064000</t>
  </si>
  <si>
    <t>0450128000</t>
  </si>
  <si>
    <t>2374.34万</t>
  </si>
  <si>
    <t>-9125.19万</t>
  </si>
  <si>
    <t>8944.84万</t>
  </si>
  <si>
    <t>2815.83万</t>
  </si>
  <si>
    <t>28.88亿</t>
  </si>
  <si>
    <t>-5789.53万</t>
  </si>
  <si>
    <t>8344.78万</t>
  </si>
  <si>
    <t>8.67亿</t>
  </si>
  <si>
    <t>2307.41万</t>
  </si>
  <si>
    <t>3669.27万</t>
  </si>
  <si>
    <t>145.95万</t>
  </si>
  <si>
    <t>5409.97万</t>
  </si>
  <si>
    <t>3351.18万</t>
  </si>
  <si>
    <t>4181.64万</t>
  </si>
  <si>
    <t>8.15亿</t>
  </si>
  <si>
    <t>4091.21万</t>
  </si>
  <si>
    <t>-8194.49万</t>
  </si>
  <si>
    <t>12.92亿</t>
  </si>
  <si>
    <t>521.17万</t>
  </si>
  <si>
    <t>1.42亿</t>
  </si>
  <si>
    <t>1688.51万</t>
  </si>
  <si>
    <t>2794.46万</t>
  </si>
  <si>
    <t>551.50万</t>
  </si>
  <si>
    <t>-2991.03万</t>
  </si>
  <si>
    <t>1934.86万</t>
  </si>
  <si>
    <t>12.10亿</t>
  </si>
  <si>
    <t>3588.11万</t>
  </si>
  <si>
    <t>13.00亿</t>
  </si>
  <si>
    <t>2140.64万</t>
  </si>
  <si>
    <t>-6572.68万</t>
  </si>
  <si>
    <t>6089.61万</t>
  </si>
  <si>
    <t>795.08万</t>
  </si>
  <si>
    <t>6129.16万</t>
  </si>
  <si>
    <t>2465.20万</t>
  </si>
  <si>
    <t>135.38万</t>
  </si>
  <si>
    <t>4599.36万</t>
  </si>
  <si>
    <t>-2584.37万</t>
  </si>
  <si>
    <t>514.86万</t>
  </si>
  <si>
    <t>4102.04万</t>
  </si>
  <si>
    <t>1480.08万</t>
  </si>
  <si>
    <t>299.05万</t>
  </si>
  <si>
    <t>7086.29万</t>
  </si>
  <si>
    <t>1853.95万</t>
  </si>
  <si>
    <t>4114.25万</t>
  </si>
  <si>
    <t>3767.34万</t>
  </si>
  <si>
    <t>1218.68万</t>
  </si>
  <si>
    <t>9305.61万</t>
  </si>
  <si>
    <t>2.65亿</t>
  </si>
  <si>
    <t>1961.71万</t>
  </si>
  <si>
    <t>11.98亿</t>
  </si>
  <si>
    <t>829.29万</t>
  </si>
  <si>
    <t>6513.92万</t>
  </si>
  <si>
    <t>1365.05万</t>
  </si>
  <si>
    <t>9749.17万</t>
  </si>
  <si>
    <t>-260.67万</t>
  </si>
  <si>
    <t>7324.11万</t>
  </si>
  <si>
    <t>1590.86万</t>
  </si>
  <si>
    <t>5023.95万</t>
  </si>
  <si>
    <t>5078.21万</t>
  </si>
  <si>
    <t>0134000000</t>
  </si>
  <si>
    <t>0402000000</t>
  </si>
  <si>
    <t>0804000000</t>
  </si>
  <si>
    <t>01340000000</t>
  </si>
  <si>
    <t>02680000000</t>
  </si>
  <si>
    <t>2936.86万</t>
  </si>
  <si>
    <t>122.16万</t>
  </si>
  <si>
    <t>7566.61万</t>
  </si>
  <si>
    <t>-2232.74万</t>
  </si>
  <si>
    <t>63.66亿</t>
  </si>
  <si>
    <t>1450.72万</t>
  </si>
  <si>
    <t>4887.64万</t>
  </si>
  <si>
    <t>1785.59万</t>
  </si>
  <si>
    <t>175.10亿</t>
  </si>
  <si>
    <t>5463.87万</t>
  </si>
  <si>
    <t>8844.54万</t>
  </si>
  <si>
    <t>1678.99万</t>
  </si>
  <si>
    <t>3019.27万</t>
  </si>
  <si>
    <t>5026.82万</t>
  </si>
  <si>
    <t>3.89亿</t>
  </si>
  <si>
    <t>427.80万</t>
  </si>
  <si>
    <t>2761.54万</t>
  </si>
  <si>
    <t>1165.95万</t>
  </si>
  <si>
    <t>1512.90万</t>
  </si>
  <si>
    <t>031878700</t>
  </si>
  <si>
    <t>095636100</t>
  </si>
  <si>
    <t>0191272200</t>
  </si>
  <si>
    <t>0318787000</t>
  </si>
  <si>
    <t>0637574000</t>
  </si>
  <si>
    <t>4137.70万</t>
  </si>
  <si>
    <t>-6353.47万</t>
  </si>
  <si>
    <t>1467.37万</t>
  </si>
  <si>
    <t>-8006.61万</t>
  </si>
  <si>
    <t>5794.38万</t>
  </si>
  <si>
    <t>5.52亿</t>
  </si>
  <si>
    <t>3558.01万</t>
  </si>
  <si>
    <t>5751.98万</t>
  </si>
  <si>
    <t>-5845.04万</t>
  </si>
  <si>
    <t>1533.04万</t>
  </si>
  <si>
    <t>4489.43万</t>
  </si>
  <si>
    <t>-1306.45万</t>
  </si>
  <si>
    <t>6064.04万</t>
  </si>
  <si>
    <t>1953.71万</t>
  </si>
  <si>
    <t>-574.29万</t>
  </si>
  <si>
    <t>7173.19万</t>
  </si>
  <si>
    <t>2241.76万</t>
  </si>
  <si>
    <t>214.30万</t>
  </si>
  <si>
    <t>7495.26万</t>
  </si>
  <si>
    <t>899.67万</t>
  </si>
  <si>
    <t>315.51万</t>
  </si>
  <si>
    <t>3547.59万</t>
  </si>
  <si>
    <t>017861600</t>
  </si>
  <si>
    <t>053584800</t>
  </si>
  <si>
    <t>0107169600</t>
  </si>
  <si>
    <t>0178616000</t>
  </si>
  <si>
    <t>0357232000</t>
  </si>
  <si>
    <t>12-0</t>
  </si>
  <si>
    <t>5234.26万</t>
  </si>
  <si>
    <t>1696.22万</t>
  </si>
  <si>
    <t>1814.12万</t>
  </si>
  <si>
    <t>-1.81亿</t>
  </si>
  <si>
    <t>7982.60万</t>
  </si>
  <si>
    <t>9013.53万</t>
  </si>
  <si>
    <t>-9038.68万</t>
  </si>
  <si>
    <t>796.23万</t>
  </si>
  <si>
    <t>-1062.08万</t>
  </si>
  <si>
    <t>2124.73万</t>
  </si>
  <si>
    <t>1890.97万</t>
  </si>
  <si>
    <t>3747.33万</t>
  </si>
  <si>
    <t>-8858.44万</t>
  </si>
  <si>
    <t>7919.79万</t>
  </si>
  <si>
    <t>4.80亿</t>
  </si>
  <si>
    <t>2364.22万</t>
  </si>
  <si>
    <t>-1333.10万</t>
  </si>
  <si>
    <t>7439.62万</t>
  </si>
  <si>
    <t>7383.93万</t>
  </si>
  <si>
    <t>1038.33万</t>
  </si>
  <si>
    <t>14.75亿</t>
  </si>
  <si>
    <t>359.53万</t>
  </si>
  <si>
    <t>-4.12亿</t>
  </si>
  <si>
    <t>1104.55万</t>
  </si>
  <si>
    <t>8033.93万</t>
  </si>
  <si>
    <t>1524.32万</t>
  </si>
  <si>
    <t>1050.02万</t>
  </si>
  <si>
    <t>5329.87万</t>
  </si>
  <si>
    <t>4.68亿</t>
  </si>
  <si>
    <t>028712500</t>
  </si>
  <si>
    <t>086137500</t>
  </si>
  <si>
    <t>0172275000</t>
  </si>
  <si>
    <t>0287125000</t>
  </si>
  <si>
    <t>0574250000</t>
  </si>
  <si>
    <t>1649.67万</t>
  </si>
  <si>
    <t>1463.14万</t>
  </si>
  <si>
    <t>6215.43万</t>
  </si>
  <si>
    <t>4190.01万</t>
  </si>
  <si>
    <t>3569.39万</t>
  </si>
  <si>
    <t>-1822.51万</t>
  </si>
  <si>
    <t>18.65亿</t>
  </si>
  <si>
    <t>1320.40万</t>
  </si>
  <si>
    <t>238.30万</t>
  </si>
  <si>
    <t>4539.04万</t>
  </si>
  <si>
    <t>769.10万</t>
  </si>
  <si>
    <t>-5841.50万</t>
  </si>
  <si>
    <t>2507.01万</t>
  </si>
  <si>
    <t>4707.13万</t>
  </si>
  <si>
    <t>-634.37万</t>
  </si>
  <si>
    <t>1033.14万</t>
  </si>
  <si>
    <t>9961.36万</t>
  </si>
  <si>
    <t>95.66万</t>
  </si>
  <si>
    <t>6906.86万</t>
  </si>
  <si>
    <t>510.75万</t>
  </si>
  <si>
    <t>-3561.66万</t>
  </si>
  <si>
    <t>2081.85万</t>
  </si>
  <si>
    <t>1301.03万</t>
  </si>
  <si>
    <t>6759.85万</t>
  </si>
  <si>
    <t>348.38万</t>
  </si>
  <si>
    <t>3470.02万</t>
  </si>
  <si>
    <t>2978.38万</t>
  </si>
  <si>
    <t>4070.98万</t>
  </si>
  <si>
    <t>209.12万</t>
  </si>
  <si>
    <t>8430.99万</t>
  </si>
  <si>
    <t>015693000</t>
  </si>
  <si>
    <t>031386000</t>
  </si>
  <si>
    <t>052310000</t>
  </si>
  <si>
    <t>0104620000</t>
  </si>
  <si>
    <t>920.64万</t>
  </si>
  <si>
    <t>316.23万</t>
  </si>
  <si>
    <t>4514.85万</t>
  </si>
  <si>
    <t>888.90万</t>
  </si>
  <si>
    <t>-6505.68万</t>
  </si>
  <si>
    <t>3680.30万</t>
  </si>
  <si>
    <t>1083.36万</t>
  </si>
  <si>
    <t>419.36万</t>
  </si>
  <si>
    <t>5749.20万</t>
  </si>
  <si>
    <t>050639100</t>
  </si>
  <si>
    <t>0101278200</t>
  </si>
  <si>
    <t>0168797000</t>
  </si>
  <si>
    <t>0337594000</t>
  </si>
  <si>
    <t>722.63万</t>
  </si>
  <si>
    <t>7460.84万</t>
  </si>
  <si>
    <t>-4520.46万</t>
  </si>
  <si>
    <t>2969.14万</t>
  </si>
  <si>
    <t>754.43万</t>
  </si>
  <si>
    <t>3.55亿</t>
  </si>
  <si>
    <t>2085.58万</t>
  </si>
  <si>
    <t>2509.29万</t>
  </si>
  <si>
    <t>1488.56万</t>
  </si>
  <si>
    <t>-846.77万</t>
  </si>
  <si>
    <t>4767.14万</t>
  </si>
  <si>
    <t>2145.64万</t>
  </si>
  <si>
    <t>3039.79万</t>
  </si>
  <si>
    <t>-2089.99万</t>
  </si>
  <si>
    <t>8506.08万</t>
  </si>
  <si>
    <t>9.22亿</t>
  </si>
  <si>
    <t>844.83万</t>
  </si>
  <si>
    <t>165.39万</t>
  </si>
  <si>
    <t>3193.49万</t>
  </si>
  <si>
    <t>510.49万</t>
  </si>
  <si>
    <t>3264.69万</t>
  </si>
  <si>
    <t>1527.43万</t>
  </si>
  <si>
    <t>627.87万</t>
  </si>
  <si>
    <t>6022.86万</t>
  </si>
  <si>
    <t>-1916.30万</t>
  </si>
  <si>
    <t>2245.46万</t>
  </si>
  <si>
    <t>1093.53万</t>
  </si>
  <si>
    <t>2865.58万</t>
  </si>
  <si>
    <t>5191.62万</t>
  </si>
  <si>
    <t>3.88亿</t>
  </si>
  <si>
    <t>188.47万</t>
  </si>
  <si>
    <t>2242.61万</t>
  </si>
  <si>
    <t>-1635.92万</t>
  </si>
  <si>
    <t>1063.45万</t>
  </si>
  <si>
    <t>4706.60万</t>
  </si>
  <si>
    <t>815.33万</t>
  </si>
  <si>
    <t>5417.56万</t>
  </si>
  <si>
    <t>-1865.11万</t>
  </si>
  <si>
    <t>3496.84万</t>
  </si>
  <si>
    <t>417.17万</t>
  </si>
  <si>
    <t>2188.16万</t>
  </si>
  <si>
    <t>403.20万</t>
  </si>
  <si>
    <t>1422.31万</t>
  </si>
  <si>
    <t>10-0</t>
  </si>
  <si>
    <t>937.62万</t>
  </si>
  <si>
    <t>1220.58万</t>
  </si>
  <si>
    <t>2644.83万</t>
  </si>
  <si>
    <t>1038.22万</t>
  </si>
  <si>
    <t>1860.23万</t>
  </si>
  <si>
    <t>-3146.21万</t>
  </si>
  <si>
    <t>3133.17万</t>
  </si>
  <si>
    <t>169.03万</t>
  </si>
  <si>
    <t>8231.46万</t>
  </si>
  <si>
    <t>1039.60万</t>
  </si>
  <si>
    <t>605.25万</t>
  </si>
  <si>
    <t>6035.43万</t>
  </si>
  <si>
    <t>362.96万</t>
  </si>
  <si>
    <t>3733.05万</t>
  </si>
  <si>
    <t>1439.94万</t>
  </si>
  <si>
    <t>1208.50万</t>
  </si>
  <si>
    <t>8056.70万</t>
  </si>
  <si>
    <t>259.70万</t>
  </si>
  <si>
    <t>4235.96万</t>
  </si>
  <si>
    <t>1015.41万</t>
  </si>
  <si>
    <t>6241.28万</t>
  </si>
  <si>
    <t>252.35万</t>
  </si>
  <si>
    <t>2114.62万</t>
  </si>
  <si>
    <t>793.95万</t>
  </si>
  <si>
    <t>6236.59万</t>
  </si>
  <si>
    <t>161.26万</t>
  </si>
  <si>
    <t>4340.42万</t>
  </si>
  <si>
    <t>674.56万</t>
  </si>
  <si>
    <t>522.13万</t>
  </si>
  <si>
    <t>5966.81万</t>
  </si>
  <si>
    <t>1035.56万</t>
  </si>
  <si>
    <t>7155.08万</t>
  </si>
  <si>
    <t>885.57万</t>
  </si>
  <si>
    <t>2301.45万</t>
  </si>
  <si>
    <t>9385.31万</t>
  </si>
  <si>
    <t>385.37万</t>
  </si>
  <si>
    <t>5884.49万</t>
  </si>
  <si>
    <t>411.05万</t>
  </si>
  <si>
    <t>1323.07万</t>
  </si>
  <si>
    <t>198.46万</t>
  </si>
  <si>
    <t>8488.31万</t>
  </si>
  <si>
    <t>554.84万</t>
  </si>
  <si>
    <t>704.46万</t>
  </si>
  <si>
    <t>9192.02万</t>
  </si>
  <si>
    <t>SH600288</t>
  </si>
  <si>
    <t>大恒科技</t>
  </si>
  <si>
    <t>627.83万</t>
  </si>
  <si>
    <t>10.63亿</t>
  </si>
  <si>
    <t>21.93亿</t>
  </si>
  <si>
    <t>23.32亿</t>
  </si>
  <si>
    <t>4990.77万</t>
  </si>
  <si>
    <t>4058.47万</t>
  </si>
  <si>
    <t>6859.28万</t>
  </si>
  <si>
    <t>7927354亿</t>
  </si>
  <si>
    <t>195.26万</t>
  </si>
  <si>
    <t>-20961532亿</t>
  </si>
  <si>
    <t>526592670亿</t>
  </si>
  <si>
    <t>2193361000亿</t>
  </si>
  <si>
    <t>7970.00万</t>
  </si>
  <si>
    <t>1547.65万</t>
  </si>
  <si>
    <t>153.76万</t>
  </si>
  <si>
    <t>9.48亿</t>
  </si>
  <si>
    <t>-7131.88万</t>
  </si>
  <si>
    <t>78.98万</t>
  </si>
  <si>
    <t>-5558.63万</t>
  </si>
  <si>
    <t>23.22亿</t>
  </si>
  <si>
    <t>25.37亿</t>
  </si>
  <si>
    <t>23.15亿</t>
  </si>
  <si>
    <t>33.06亿</t>
  </si>
  <si>
    <t>33.42亿</t>
  </si>
  <si>
    <t>6953.87万</t>
  </si>
  <si>
    <t>9193.65万</t>
  </si>
  <si>
    <t>5722.82万</t>
  </si>
  <si>
    <t>7308.76万</t>
  </si>
  <si>
    <t>5064.47万</t>
  </si>
  <si>
    <t>1611.31万</t>
  </si>
  <si>
    <t>10派0.12元(含税)</t>
  </si>
  <si>
    <t>2320.87万</t>
  </si>
  <si>
    <t>0149723100</t>
  </si>
  <si>
    <t>0299446200</t>
  </si>
  <si>
    <t>0499077000</t>
  </si>
  <si>
    <t>0998154000</t>
  </si>
  <si>
    <t>2963.19万</t>
  </si>
  <si>
    <t>7485.28万</t>
  </si>
  <si>
    <t>5.12亿</t>
  </si>
  <si>
    <t>2338.55万</t>
  </si>
  <si>
    <t>-3.97亿</t>
  </si>
  <si>
    <t>7872.50万</t>
  </si>
  <si>
    <t>2577.49万</t>
  </si>
  <si>
    <t>11.08亿</t>
  </si>
  <si>
    <t>4166.51万</t>
  </si>
  <si>
    <t>6363.95万</t>
  </si>
  <si>
    <t>6614.20万</t>
  </si>
  <si>
    <t>19.66亿</t>
  </si>
  <si>
    <t>-1.86亿</t>
  </si>
  <si>
    <t>7303.09万</t>
  </si>
  <si>
    <t>188.90万</t>
  </si>
  <si>
    <t>57.55万</t>
  </si>
  <si>
    <t>655.52万</t>
  </si>
  <si>
    <t>4511.25万</t>
  </si>
  <si>
    <t>600.22万</t>
  </si>
  <si>
    <t>6286.33万</t>
  </si>
  <si>
    <t>-1405.23万</t>
  </si>
  <si>
    <t>1891.98万</t>
  </si>
  <si>
    <t>1269.35万</t>
  </si>
  <si>
    <t>6859.83万</t>
  </si>
  <si>
    <t>-4165.18万</t>
  </si>
  <si>
    <t>6138.99万</t>
  </si>
  <si>
    <t>795.42万</t>
  </si>
  <si>
    <t>2213.68万</t>
  </si>
  <si>
    <t>1741.95万</t>
  </si>
  <si>
    <t>2313.80万</t>
  </si>
  <si>
    <t>305.04万</t>
  </si>
  <si>
    <t>9640.20万</t>
  </si>
  <si>
    <t>10.92亿</t>
  </si>
  <si>
    <t>1129.35万</t>
  </si>
  <si>
    <t>2303.31万</t>
  </si>
  <si>
    <t>2830.70万</t>
  </si>
  <si>
    <t>533.22万</t>
  </si>
  <si>
    <t>7077.49万</t>
  </si>
  <si>
    <t>-1077.42万</t>
  </si>
  <si>
    <t>1830.51万</t>
  </si>
  <si>
    <t>安恒信息</t>
  </si>
  <si>
    <t>275.24万</t>
  </si>
  <si>
    <t>-1.89亿</t>
  </si>
  <si>
    <t>921.02万</t>
  </si>
  <si>
    <t>6126.63万</t>
  </si>
  <si>
    <t>131.05万</t>
  </si>
  <si>
    <t>-8745.64万</t>
  </si>
  <si>
    <t>437.62万</t>
  </si>
  <si>
    <t>3393.52万</t>
  </si>
  <si>
    <t>156.79万</t>
  </si>
  <si>
    <t>4296.77万</t>
  </si>
  <si>
    <t>-8544.94万</t>
  </si>
  <si>
    <t>636.23万</t>
  </si>
  <si>
    <t>4558.78万</t>
  </si>
  <si>
    <t>169.91万</t>
  </si>
  <si>
    <t>5556.56万</t>
  </si>
  <si>
    <t>-175.28万</t>
  </si>
  <si>
    <t>723.16万</t>
  </si>
  <si>
    <t>7131.59万</t>
  </si>
  <si>
    <t>58.91万</t>
  </si>
  <si>
    <t>5306.93万</t>
  </si>
  <si>
    <t>-445.11万</t>
  </si>
  <si>
    <t>244.45万</t>
  </si>
  <si>
    <t>1856.05万</t>
  </si>
  <si>
    <t>59.22万</t>
  </si>
  <si>
    <t>5334.02万</t>
  </si>
  <si>
    <t>1291.51万</t>
  </si>
  <si>
    <t>238.80万</t>
  </si>
  <si>
    <t>1909.73万</t>
  </si>
  <si>
    <t>100.02万</t>
  </si>
  <si>
    <t>-1766.97万</t>
  </si>
  <si>
    <t>287.62万</t>
  </si>
  <si>
    <t>2788.99万</t>
  </si>
  <si>
    <t>146.47万</t>
  </si>
  <si>
    <t>-1134.26万</t>
  </si>
  <si>
    <t>491.32万</t>
  </si>
  <si>
    <t>3848.95万</t>
  </si>
  <si>
    <t>180.37万</t>
  </si>
  <si>
    <t>5939.71万</t>
  </si>
  <si>
    <t>-1372.62万</t>
  </si>
  <si>
    <t>611.78万</t>
  </si>
  <si>
    <t>2269.27万</t>
  </si>
  <si>
    <t>619.01万</t>
  </si>
  <si>
    <t>10.51亿</t>
  </si>
  <si>
    <t>1583.74万</t>
  </si>
  <si>
    <t>334.66万</t>
  </si>
  <si>
    <t>6679.97万</t>
  </si>
  <si>
    <t>-2189.88万</t>
  </si>
  <si>
    <t>870.08万</t>
  </si>
  <si>
    <t>8035.77万</t>
  </si>
  <si>
    <t>149.71万</t>
  </si>
  <si>
    <t>3400.24万</t>
  </si>
  <si>
    <t>-132.33万</t>
  </si>
  <si>
    <t>561.77万</t>
  </si>
  <si>
    <t>4270.56万</t>
  </si>
  <si>
    <t>38.45万</t>
  </si>
  <si>
    <t>5187.81万</t>
  </si>
  <si>
    <t>-4646.49万</t>
  </si>
  <si>
    <t>183.85万</t>
  </si>
  <si>
    <t>1570.79万</t>
  </si>
  <si>
    <t>108.20万</t>
  </si>
  <si>
    <t>2052.43万</t>
  </si>
  <si>
    <t>333.49万</t>
  </si>
  <si>
    <t>377.91万</t>
  </si>
  <si>
    <t>3426.96万</t>
  </si>
  <si>
    <t>760.60万</t>
  </si>
  <si>
    <t>5166.65万</t>
  </si>
  <si>
    <t>-3257.18万</t>
  </si>
  <si>
    <t>3373.23万</t>
  </si>
  <si>
    <t>744.09万</t>
  </si>
  <si>
    <t>6393.11万</t>
  </si>
  <si>
    <t>-49.38万</t>
  </si>
  <si>
    <t>1993.78万</t>
  </si>
  <si>
    <t>330.80万</t>
  </si>
  <si>
    <t>-9489.78万</t>
  </si>
  <si>
    <t>1157.00万</t>
  </si>
  <si>
    <t>3570.03万</t>
  </si>
  <si>
    <t>268.42万</t>
  </si>
  <si>
    <t>-8635.55万</t>
  </si>
  <si>
    <t>566.17万</t>
  </si>
  <si>
    <t>3900.64万</t>
  </si>
  <si>
    <t>74.81万</t>
  </si>
  <si>
    <t>2661.07万</t>
  </si>
  <si>
    <t>-1646.82万</t>
  </si>
  <si>
    <t>312.07万</t>
  </si>
  <si>
    <t>1541.16万</t>
  </si>
  <si>
    <t>131.03万</t>
  </si>
  <si>
    <t>-2266.02万</t>
  </si>
  <si>
    <t>653.59万</t>
  </si>
  <si>
    <t>3796.38万</t>
  </si>
  <si>
    <t>65.16万</t>
  </si>
  <si>
    <t>4798.74万</t>
  </si>
  <si>
    <t>1226.36万</t>
  </si>
  <si>
    <t>260.53万</t>
  </si>
  <si>
    <t>1975.45万</t>
  </si>
  <si>
    <t>106.02万</t>
  </si>
  <si>
    <t>7153.51万</t>
  </si>
  <si>
    <t>-427.11万</t>
  </si>
  <si>
    <t>576.42万</t>
  </si>
  <si>
    <t>6873.61万</t>
  </si>
  <si>
    <t>1107.76万</t>
  </si>
  <si>
    <t>6508.40万</t>
  </si>
  <si>
    <t>5616.66万</t>
  </si>
  <si>
    <t>2282.86万</t>
  </si>
  <si>
    <t>9123.61万</t>
  </si>
  <si>
    <t>273.32万</t>
  </si>
  <si>
    <t>-8750.25万</t>
  </si>
  <si>
    <t>1171.02万</t>
  </si>
  <si>
    <t>8992.93万</t>
  </si>
  <si>
    <t>致远互联</t>
  </si>
  <si>
    <t>189.46万</t>
  </si>
  <si>
    <t>-4063.31万</t>
  </si>
  <si>
    <t>854.00万</t>
  </si>
  <si>
    <t>5825.04万</t>
  </si>
  <si>
    <t>82.02万</t>
  </si>
  <si>
    <t>3290.15万</t>
  </si>
  <si>
    <t>-370.34万</t>
  </si>
  <si>
    <t>232.39万</t>
  </si>
  <si>
    <t>1788.33万</t>
  </si>
  <si>
    <t>62.01万</t>
  </si>
  <si>
    <t>3630.27万</t>
  </si>
  <si>
    <t>163.42万</t>
  </si>
  <si>
    <t>2084.07万</t>
  </si>
  <si>
    <t>107.68万</t>
  </si>
  <si>
    <t>714.10万</t>
  </si>
  <si>
    <t>-1951.16万</t>
  </si>
  <si>
    <t>336.37万</t>
  </si>
  <si>
    <t>2054.21万</t>
  </si>
  <si>
    <t>500.50万</t>
  </si>
  <si>
    <t>9.25亿</t>
  </si>
  <si>
    <t>-5.33亿</t>
  </si>
  <si>
    <t>2112.16万</t>
  </si>
  <si>
    <t>山大地纬</t>
  </si>
  <si>
    <t>496.37万</t>
  </si>
  <si>
    <t>1415.02万</t>
  </si>
  <si>
    <t>2283.02万</t>
  </si>
  <si>
    <t>381.98万</t>
  </si>
  <si>
    <t>3980.85万</t>
  </si>
  <si>
    <t>1382.31万</t>
  </si>
  <si>
    <t>673.34万</t>
  </si>
  <si>
    <t>727.57万</t>
  </si>
  <si>
    <t>2618.72万</t>
  </si>
  <si>
    <t>924.37万</t>
  </si>
  <si>
    <t>-3189.49万</t>
  </si>
  <si>
    <t>2459.28万</t>
  </si>
  <si>
    <t>9105.00万</t>
  </si>
  <si>
    <t>18-0</t>
  </si>
  <si>
    <t>199.37万</t>
  </si>
  <si>
    <t>3547.68万</t>
  </si>
  <si>
    <t>-706.41万</t>
  </si>
  <si>
    <t>1017.98万</t>
  </si>
  <si>
    <t>2706.30万</t>
  </si>
  <si>
    <t>29.96万</t>
  </si>
  <si>
    <t>5368.17万</t>
  </si>
  <si>
    <t>826.25万</t>
  </si>
  <si>
    <t>81.97万</t>
  </si>
  <si>
    <t>865.66万</t>
  </si>
  <si>
    <t>129.80万</t>
  </si>
  <si>
    <t>3355.45万</t>
  </si>
  <si>
    <t>418.38万</t>
  </si>
  <si>
    <t>3885.71万</t>
  </si>
  <si>
    <t>120.75万</t>
  </si>
  <si>
    <t>1787.98万</t>
  </si>
  <si>
    <t>17.62万</t>
  </si>
  <si>
    <t>402.48万</t>
  </si>
  <si>
    <t>4280.35万</t>
  </si>
  <si>
    <t>9-1</t>
  </si>
  <si>
    <t>2822.26万</t>
  </si>
  <si>
    <t>5736.87万</t>
  </si>
  <si>
    <t>5128.74万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</si>
</sst>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304800</xdr:colOff>
          <xdr:row>0</xdr:row>
          <xdr:rowOff>95250</xdr:rowOff>
        </xdr:from>
        <xdr:to>
          <xdr:col>147</xdr:col>
          <xdr:colOff>1492250</xdr:colOff>
          <xdr:row>0</xdr:row>
          <xdr:rowOff>393700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EP138"/>
  <sheetViews>
    <sheetView tabSelected="1" zoomScale="85" zoomScaleNormal="85" workbookViewId="0">
      <pane xSplit="3" ySplit="1" topLeftCell="BE82" activePane="bottomRight" state="frozen"/>
      <selection pane="topRight" activeCell="D1" sqref="D1"/>
      <selection pane="bottomLeft" activeCell="A2" sqref="A2"/>
      <selection pane="bottomRight" activeCell="D131" sqref="D131:EP131"/>
    </sheetView>
  </sheetViews>
  <sheetFormatPr defaultRowHeight="14" x14ac:dyDescent="0.25"/>
  <cols>
    <col min="1" max="1" width="33.6328125" customWidth="1"/>
    <col min="2" max="2" width="37.6328125" customWidth="1"/>
    <col min="3" max="3" width="42" customWidth="1"/>
    <col min="9" max="9" width="13.1796875" customWidth="1"/>
    <col min="16" max="16" width="12.453125" customWidth="1"/>
    <col min="19" max="19" width="9.36328125" customWidth="1"/>
    <col min="148" max="148" width="26.1796875" customWidth="1"/>
  </cols>
  <sheetData>
    <row r="1" spans="1:146" ht="39.5" customHeight="1" x14ac:dyDescent="0.25">
      <c r="A1" s="3" t="s">
        <v>162</v>
      </c>
      <c r="B1" s="4" t="s">
        <v>163</v>
      </c>
      <c r="C1" s="3" t="s">
        <v>164</v>
      </c>
      <c r="D1" t="s">
        <v>1100</v>
      </c>
      <c r="E1" t="s">
        <v>1278</v>
      </c>
      <c r="F1" t="s">
        <v>3</v>
      </c>
      <c r="G1" t="s">
        <v>1594</v>
      </c>
      <c r="H1" t="s">
        <v>1595</v>
      </c>
      <c r="I1" t="s">
        <v>68</v>
      </c>
      <c r="J1" t="s">
        <v>69</v>
      </c>
      <c r="K1" t="s">
        <v>4</v>
      </c>
      <c r="L1" t="s">
        <v>70</v>
      </c>
      <c r="M1" t="s">
        <v>165</v>
      </c>
      <c r="N1" t="s">
        <v>166</v>
      </c>
      <c r="O1" t="s">
        <v>167</v>
      </c>
      <c r="P1" t="s">
        <v>1596</v>
      </c>
      <c r="Q1" t="s">
        <v>1597</v>
      </c>
      <c r="R1" t="s">
        <v>1279</v>
      </c>
      <c r="S1" t="s">
        <v>168</v>
      </c>
      <c r="T1" t="s">
        <v>1598</v>
      </c>
      <c r="U1" t="s">
        <v>1101</v>
      </c>
      <c r="V1" t="s">
        <v>169</v>
      </c>
      <c r="W1" t="s">
        <v>1599</v>
      </c>
      <c r="X1" t="s">
        <v>1600</v>
      </c>
      <c r="Y1" t="s">
        <v>1601</v>
      </c>
      <c r="Z1" t="s">
        <v>1602</v>
      </c>
      <c r="AA1" t="s">
        <v>1603</v>
      </c>
      <c r="AB1" t="s">
        <v>1604</v>
      </c>
      <c r="AC1" t="s">
        <v>1605</v>
      </c>
      <c r="AD1" t="s">
        <v>1606</v>
      </c>
      <c r="AE1" t="s">
        <v>170</v>
      </c>
      <c r="AF1" t="s">
        <v>171</v>
      </c>
      <c r="AG1" t="s">
        <v>1607</v>
      </c>
      <c r="AH1" t="s">
        <v>1608</v>
      </c>
      <c r="AI1" t="s">
        <v>1609</v>
      </c>
      <c r="AJ1" t="s">
        <v>172</v>
      </c>
      <c r="AK1" t="s">
        <v>1610</v>
      </c>
      <c r="AL1" t="s">
        <v>668</v>
      </c>
      <c r="AM1" t="s">
        <v>1611</v>
      </c>
      <c r="AN1" t="s">
        <v>1612</v>
      </c>
      <c r="AO1" t="s">
        <v>1613</v>
      </c>
      <c r="AP1" t="s">
        <v>1614</v>
      </c>
      <c r="AQ1" t="s">
        <v>1615</v>
      </c>
      <c r="AR1" t="s">
        <v>1616</v>
      </c>
      <c r="AS1" t="s">
        <v>1617</v>
      </c>
      <c r="AT1" t="s">
        <v>1618</v>
      </c>
      <c r="AU1" t="s">
        <v>1619</v>
      </c>
      <c r="AV1" t="s">
        <v>1620</v>
      </c>
      <c r="AW1" t="s">
        <v>1621</v>
      </c>
      <c r="AX1" t="s">
        <v>1622</v>
      </c>
      <c r="AY1" t="s">
        <v>1623</v>
      </c>
      <c r="AZ1" t="s">
        <v>669</v>
      </c>
      <c r="BA1" t="s">
        <v>670</v>
      </c>
      <c r="BB1" t="s">
        <v>1105</v>
      </c>
      <c r="BC1" t="s">
        <v>1624</v>
      </c>
      <c r="BD1" t="s">
        <v>1106</v>
      </c>
      <c r="BE1" t="s">
        <v>671</v>
      </c>
      <c r="BF1" t="s">
        <v>672</v>
      </c>
      <c r="BG1" t="s">
        <v>673</v>
      </c>
      <c r="BH1" t="s">
        <v>1625</v>
      </c>
      <c r="BI1" t="s">
        <v>1626</v>
      </c>
      <c r="BJ1" t="s">
        <v>1627</v>
      </c>
      <c r="BK1" t="s">
        <v>1628</v>
      </c>
      <c r="BL1" t="s">
        <v>1629</v>
      </c>
      <c r="BM1" t="s">
        <v>1630</v>
      </c>
      <c r="BN1" t="s">
        <v>1631</v>
      </c>
      <c r="BO1" t="s">
        <v>1280</v>
      </c>
      <c r="BP1" t="s">
        <v>1102</v>
      </c>
      <c r="BQ1" t="s">
        <v>1632</v>
      </c>
      <c r="BR1" t="s">
        <v>1281</v>
      </c>
      <c r="BS1" t="s">
        <v>1103</v>
      </c>
      <c r="BT1" t="s">
        <v>1633</v>
      </c>
      <c r="BU1" t="s">
        <v>1296</v>
      </c>
      <c r="BV1" t="s">
        <v>1634</v>
      </c>
      <c r="BW1" t="s">
        <v>1635</v>
      </c>
      <c r="BX1" t="s">
        <v>1028</v>
      </c>
      <c r="BY1" t="s">
        <v>1636</v>
      </c>
      <c r="BZ1" t="s">
        <v>1637</v>
      </c>
      <c r="CA1" t="s">
        <v>1029</v>
      </c>
      <c r="CB1" t="s">
        <v>1638</v>
      </c>
      <c r="CC1" t="s">
        <v>1639</v>
      </c>
      <c r="CD1" t="s">
        <v>1640</v>
      </c>
      <c r="CE1" t="s">
        <v>1641</v>
      </c>
      <c r="CF1" s="1" t="s">
        <v>1013</v>
      </c>
      <c r="CG1" s="1" t="s">
        <v>1014</v>
      </c>
      <c r="CH1" s="1" t="s">
        <v>1015</v>
      </c>
      <c r="CI1" s="1" t="s">
        <v>1016</v>
      </c>
      <c r="CJ1" s="1" t="s">
        <v>1017</v>
      </c>
      <c r="CK1" s="1" t="s">
        <v>1018</v>
      </c>
      <c r="CL1" s="1" t="s">
        <v>1019</v>
      </c>
      <c r="CM1" s="1" t="s">
        <v>1020</v>
      </c>
      <c r="CN1" s="1" t="s">
        <v>1021</v>
      </c>
      <c r="CO1" s="1" t="s">
        <v>1022</v>
      </c>
      <c r="CP1" s="1" t="s">
        <v>1023</v>
      </c>
      <c r="CQ1" s="1" t="s">
        <v>1024</v>
      </c>
      <c r="CR1" s="1" t="s">
        <v>1655</v>
      </c>
      <c r="CS1" s="1" t="s">
        <v>1642</v>
      </c>
      <c r="CT1" s="1" t="s">
        <v>1656</v>
      </c>
      <c r="CU1" s="1" t="s">
        <v>1406</v>
      </c>
      <c r="CV1" s="1" t="s">
        <v>1643</v>
      </c>
      <c r="CW1" s="1" t="s">
        <v>1644</v>
      </c>
      <c r="CX1">
        <v>1</v>
      </c>
      <c r="CY1" t="s">
        <v>1657</v>
      </c>
      <c r="CZ1" t="s">
        <v>1645</v>
      </c>
      <c r="DA1">
        <v>3</v>
      </c>
      <c r="DB1" t="s">
        <v>1646</v>
      </c>
      <c r="DC1" t="s">
        <v>1658</v>
      </c>
      <c r="DD1">
        <v>6</v>
      </c>
      <c r="DE1" t="s">
        <v>1659</v>
      </c>
      <c r="DF1" t="s">
        <v>1660</v>
      </c>
      <c r="DG1">
        <v>10</v>
      </c>
      <c r="DH1" t="s">
        <v>1661</v>
      </c>
      <c r="DI1" t="s">
        <v>1647</v>
      </c>
      <c r="DJ1">
        <v>20</v>
      </c>
      <c r="DK1" t="s">
        <v>1648</v>
      </c>
      <c r="DL1" t="s">
        <v>1025</v>
      </c>
      <c r="DM1" t="s">
        <v>1026</v>
      </c>
      <c r="DN1" s="2" t="s">
        <v>1027</v>
      </c>
      <c r="DO1" t="s">
        <v>1662</v>
      </c>
      <c r="DP1" t="s">
        <v>1663</v>
      </c>
      <c r="DQ1" s="13" t="s">
        <v>1649</v>
      </c>
      <c r="DR1" s="1" t="s">
        <v>1664</v>
      </c>
      <c r="DS1" s="1" t="s">
        <v>1665</v>
      </c>
      <c r="DT1" t="s">
        <v>1666</v>
      </c>
      <c r="DU1" t="s">
        <v>1667</v>
      </c>
      <c r="DV1" t="s">
        <v>1650</v>
      </c>
      <c r="DW1" t="s">
        <v>1668</v>
      </c>
      <c r="DX1" t="s">
        <v>1651</v>
      </c>
      <c r="DY1" t="s">
        <v>1669</v>
      </c>
      <c r="DZ1" t="s">
        <v>1652</v>
      </c>
      <c r="EA1" t="s">
        <v>1670</v>
      </c>
      <c r="EB1" t="s">
        <v>1671</v>
      </c>
      <c r="EC1" t="s">
        <v>1653</v>
      </c>
      <c r="ED1" t="s">
        <v>1672</v>
      </c>
      <c r="EE1" t="s">
        <v>1654</v>
      </c>
      <c r="EF1" t="s">
        <v>1673</v>
      </c>
      <c r="EG1" t="s">
        <v>1674</v>
      </c>
      <c r="EH1" t="s">
        <v>1675</v>
      </c>
      <c r="EI1" t="s">
        <v>1407</v>
      </c>
      <c r="EK1" s="14" t="s">
        <v>1676</v>
      </c>
      <c r="EL1" t="s">
        <v>1408</v>
      </c>
      <c r="EM1" t="s">
        <v>1677</v>
      </c>
      <c r="EN1" t="s">
        <v>1678</v>
      </c>
      <c r="EO1" t="s">
        <v>1679</v>
      </c>
      <c r="EP1" t="s">
        <v>1680</v>
      </c>
    </row>
    <row r="2" spans="1:146" ht="96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市值15.726778亿, 利润-1.57亿; PE; 平均PE-7.78; 平均PEG-2.41, PB8.51; ROIC0%; ROE-48.1367%; 股利率0%; 毛利50.3433%; 净利-226.51%; 上一年度营收增-33.73%, 利润增73.61%; 当季营收增-27.31%, 利润增-169.28%; 过往5年营收增3.23%, 利润增253.88%
Income profile:
</v>
      </c>
      <c r="D2" t="s">
        <v>161</v>
      </c>
      <c r="E2" t="s">
        <v>1681</v>
      </c>
      <c r="F2">
        <v>11.88</v>
      </c>
      <c r="G2">
        <v>1.89</v>
      </c>
      <c r="H2" t="s">
        <v>3794</v>
      </c>
      <c r="I2">
        <v>1572677800</v>
      </c>
      <c r="K2">
        <v>8.51</v>
      </c>
      <c r="L2" t="s">
        <v>1277</v>
      </c>
      <c r="M2" t="s">
        <v>206</v>
      </c>
      <c r="N2" t="s">
        <v>294</v>
      </c>
      <c r="O2" t="s">
        <v>1815</v>
      </c>
      <c r="P2">
        <v>-27.31</v>
      </c>
      <c r="Q2" t="s">
        <v>264</v>
      </c>
      <c r="R2">
        <v>-20000000</v>
      </c>
      <c r="S2" s="5">
        <v>-0.44769999999999999</v>
      </c>
      <c r="T2" t="s">
        <v>711</v>
      </c>
      <c r="U2">
        <v>126288093</v>
      </c>
      <c r="V2">
        <v>132380282</v>
      </c>
      <c r="W2">
        <v>2.21</v>
      </c>
      <c r="X2">
        <v>0.04</v>
      </c>
      <c r="Y2">
        <v>-72.650000000000006</v>
      </c>
      <c r="Z2" t="s">
        <v>1816</v>
      </c>
      <c r="AA2" t="s">
        <v>1817</v>
      </c>
      <c r="AB2" t="s">
        <v>1818</v>
      </c>
      <c r="AC2" t="s">
        <v>1819</v>
      </c>
      <c r="AD2" t="s">
        <v>63</v>
      </c>
      <c r="AE2">
        <v>-167658</v>
      </c>
      <c r="AF2" t="s">
        <v>1820</v>
      </c>
      <c r="AG2" t="s">
        <v>1821</v>
      </c>
      <c r="AH2" t="s">
        <v>1822</v>
      </c>
      <c r="AI2" t="s">
        <v>1823</v>
      </c>
      <c r="AJ2" t="s">
        <v>1824</v>
      </c>
      <c r="AK2" t="s">
        <v>1825</v>
      </c>
      <c r="AL2" t="s">
        <v>1826</v>
      </c>
      <c r="AM2" t="s">
        <v>63</v>
      </c>
      <c r="AN2">
        <v>0</v>
      </c>
      <c r="AO2" t="s">
        <v>63</v>
      </c>
      <c r="AP2" t="s">
        <v>63</v>
      </c>
      <c r="AQ2" t="s">
        <v>1827</v>
      </c>
      <c r="AR2" t="s">
        <v>63</v>
      </c>
      <c r="AS2" t="s">
        <v>361</v>
      </c>
      <c r="AT2" t="s">
        <v>63</v>
      </c>
      <c r="AU2" t="s">
        <v>1828</v>
      </c>
      <c r="AV2" t="s">
        <v>1829</v>
      </c>
      <c r="AW2" t="s">
        <v>63</v>
      </c>
      <c r="AX2" t="s">
        <v>189</v>
      </c>
      <c r="AY2" t="s">
        <v>299</v>
      </c>
      <c r="AZ2" t="s">
        <v>454</v>
      </c>
      <c r="BA2" t="s">
        <v>173</v>
      </c>
      <c r="BB2" t="s">
        <v>617</v>
      </c>
      <c r="BC2" t="s">
        <v>1430</v>
      </c>
      <c r="BD2" t="s">
        <v>889</v>
      </c>
      <c r="BE2" t="s">
        <v>674</v>
      </c>
      <c r="BF2" t="s">
        <v>174</v>
      </c>
      <c r="BG2" t="s">
        <v>676</v>
      </c>
      <c r="BH2" t="s">
        <v>264</v>
      </c>
      <c r="BI2" t="s">
        <v>3795</v>
      </c>
      <c r="BJ2" t="s">
        <v>189</v>
      </c>
      <c r="BK2" t="s">
        <v>711</v>
      </c>
      <c r="BL2" t="s">
        <v>3796</v>
      </c>
      <c r="BM2" t="s">
        <v>1430</v>
      </c>
      <c r="BN2" t="s">
        <v>63</v>
      </c>
      <c r="BO2" t="s">
        <v>63</v>
      </c>
      <c r="BP2" t="s">
        <v>63</v>
      </c>
      <c r="BQ2">
        <v>-10.51</v>
      </c>
      <c r="BR2">
        <v>-91.55</v>
      </c>
      <c r="BS2">
        <v>-42.35</v>
      </c>
      <c r="BT2" t="s">
        <v>1409</v>
      </c>
      <c r="BU2" t="s">
        <v>1830</v>
      </c>
      <c r="BV2">
        <v>57.6</v>
      </c>
      <c r="BW2">
        <v>37.36</v>
      </c>
      <c r="BX2">
        <v>56.07</v>
      </c>
      <c r="BY2">
        <v>-145.51</v>
      </c>
      <c r="BZ2">
        <v>-358.01</v>
      </c>
      <c r="CA2">
        <v>-176.01</v>
      </c>
      <c r="CB2">
        <v>-4.2699999999999996</v>
      </c>
      <c r="CC2">
        <v>8.1</v>
      </c>
      <c r="CD2" t="s">
        <v>3797</v>
      </c>
      <c r="CE2" t="s">
        <v>3798</v>
      </c>
      <c r="CF2" s="9">
        <v>-0.27313486201413262</v>
      </c>
      <c r="CG2" s="10">
        <v>-1.6928048255062473</v>
      </c>
      <c r="CH2" s="9">
        <v>-0.33734938502311707</v>
      </c>
      <c r="CI2" s="9">
        <v>-0.42560553550720215</v>
      </c>
      <c r="CJ2" s="9">
        <v>2.846975065767765E-2</v>
      </c>
      <c r="CK2" s="9">
        <v>1.6018518209457397</v>
      </c>
      <c r="CL2" s="9">
        <v>-0.70572209358215332</v>
      </c>
      <c r="CM2" s="10">
        <v>0.73613446950912476</v>
      </c>
      <c r="CN2" s="10">
        <v>-0.16895873844623566</v>
      </c>
      <c r="CO2" s="10">
        <v>-8.8764410018920898</v>
      </c>
      <c r="CP2" s="10">
        <v>19.850196838378906</v>
      </c>
      <c r="CQ2" s="10">
        <v>1.1528997421264648</v>
      </c>
      <c r="CR2">
        <v>-7.7756005261595273</v>
      </c>
      <c r="CS2">
        <v>-2.4051538285151071</v>
      </c>
      <c r="CT2">
        <v>0</v>
      </c>
      <c r="CU2" s="9">
        <v>3.2328911498188971E-2</v>
      </c>
      <c r="CV2" s="10">
        <v>2.5387662619352342</v>
      </c>
      <c r="CW2">
        <v>0.06</v>
      </c>
      <c r="CX2" t="e">
        <v>#VALUE!</v>
      </c>
      <c r="CY2" t="s">
        <v>1282</v>
      </c>
      <c r="CZ2">
        <v>3.2328911498188971E-2</v>
      </c>
      <c r="DA2" t="e">
        <v>#VALUE!</v>
      </c>
      <c r="DB2" t="s">
        <v>1283</v>
      </c>
      <c r="DC2">
        <v>3.071246592327952E-2</v>
      </c>
      <c r="DD2" t="e">
        <v>#VALUE!</v>
      </c>
      <c r="DE2" t="s">
        <v>1283</v>
      </c>
      <c r="DF2">
        <v>2.8449442118406294E-2</v>
      </c>
      <c r="DG2" t="e">
        <v>#VALUE!</v>
      </c>
      <c r="DH2" t="s">
        <v>1283</v>
      </c>
      <c r="DI2">
        <v>2.5863129198551178E-2</v>
      </c>
      <c r="DJ2" t="e">
        <v>#VALUE!</v>
      </c>
      <c r="DK2" t="s">
        <v>1283</v>
      </c>
      <c r="DL2">
        <v>2.2630238048732279E-2</v>
      </c>
      <c r="DM2">
        <v>-157000000</v>
      </c>
      <c r="DN2">
        <v>3.2328911498188971E-2</v>
      </c>
      <c r="DO2">
        <v>1609677800</v>
      </c>
      <c r="DP2">
        <v>114369720</v>
      </c>
      <c r="DQ2">
        <v>3</v>
      </c>
      <c r="DR2">
        <v>-0.30546377351232157</v>
      </c>
      <c r="DS2">
        <v>-4.2315710874414814</v>
      </c>
      <c r="DT2" s="11">
        <v>-0.72333333333333327</v>
      </c>
      <c r="DU2">
        <v>-1.7150000000000001</v>
      </c>
      <c r="DV2">
        <v>-2.4383333333333335</v>
      </c>
      <c r="DW2">
        <v>-6.3451899757477772</v>
      </c>
      <c r="DX2">
        <v>0.37759407125890904</v>
      </c>
      <c r="DY2">
        <v>-6.0613036931508111</v>
      </c>
      <c r="DZ2">
        <v>4623</v>
      </c>
      <c r="EA2">
        <v>-6.0058207304577413</v>
      </c>
      <c r="EB2">
        <v>6</v>
      </c>
      <c r="EC2">
        <v>0.56479030615752879</v>
      </c>
      <c r="ED2">
        <v>3.1802319321241512</v>
      </c>
      <c r="EE2" s="12">
        <v>2.0214099999999999</v>
      </c>
      <c r="EF2">
        <v>2.00251</v>
      </c>
      <c r="EG2">
        <v>20.177594071258909</v>
      </c>
      <c r="EH2" t="s">
        <v>1297</v>
      </c>
      <c r="EI2">
        <v>0</v>
      </c>
      <c r="EJ2">
        <v>0</v>
      </c>
      <c r="EK2" s="14">
        <v>45504</v>
      </c>
      <c r="EL2" s="15">
        <v>4.1100000000000003</v>
      </c>
      <c r="EM2" s="15">
        <v>-6.93</v>
      </c>
      <c r="EN2" s="15">
        <v>-2.94</v>
      </c>
      <c r="EO2" s="15">
        <v>5.35</v>
      </c>
      <c r="EP2" s="15">
        <v>1.89</v>
      </c>
    </row>
    <row r="3" spans="1:146" ht="96" hidden="1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市值71.844858亿, 利润-7979.20万; PE; 平均PE-57.19; 平均PEG-1.95, PB5.21; ROIC0%; ROE-15.9567%; 股利率0%; 毛利19.6533%; 净利-40.54%; 上一年度营收增6.11%, 利润增5.38%; 当季营收增-14.08%, 利润增-72.85%; 过往5年营收增29.33%, 利润增-260%
Income profile:
</v>
      </c>
      <c r="D3" t="s">
        <v>1030</v>
      </c>
      <c r="E3" t="s">
        <v>1031</v>
      </c>
      <c r="F3">
        <v>7.3</v>
      </c>
      <c r="G3">
        <v>3.69</v>
      </c>
      <c r="H3" t="s">
        <v>3799</v>
      </c>
      <c r="I3">
        <v>7184485800</v>
      </c>
      <c r="K3">
        <v>5.21</v>
      </c>
      <c r="L3" t="s">
        <v>1277</v>
      </c>
      <c r="M3" t="s">
        <v>1702</v>
      </c>
      <c r="N3" t="s">
        <v>1831</v>
      </c>
      <c r="O3" t="s">
        <v>1832</v>
      </c>
      <c r="P3">
        <v>-14.08</v>
      </c>
      <c r="Q3" t="s">
        <v>727</v>
      </c>
      <c r="R3">
        <v>-75820000</v>
      </c>
      <c r="S3" s="5">
        <v>7.9399999999999998E-2</v>
      </c>
      <c r="T3" t="s">
        <v>1847</v>
      </c>
      <c r="U3">
        <v>955111490</v>
      </c>
      <c r="V3">
        <v>984176140</v>
      </c>
      <c r="W3">
        <v>1.37</v>
      </c>
      <c r="X3">
        <v>0.02</v>
      </c>
      <c r="Y3">
        <v>-84.27</v>
      </c>
      <c r="Z3" t="s">
        <v>1833</v>
      </c>
      <c r="AA3" t="s">
        <v>1834</v>
      </c>
      <c r="AB3" t="s">
        <v>1835</v>
      </c>
      <c r="AC3" t="s">
        <v>1836</v>
      </c>
      <c r="AD3" t="s">
        <v>63</v>
      </c>
      <c r="AE3">
        <v>1318028</v>
      </c>
      <c r="AF3" t="s">
        <v>1837</v>
      </c>
      <c r="AG3" t="s">
        <v>1838</v>
      </c>
      <c r="AH3" t="s">
        <v>1839</v>
      </c>
      <c r="AI3" t="s">
        <v>1062</v>
      </c>
      <c r="AJ3" t="s">
        <v>1840</v>
      </c>
      <c r="AK3" t="s">
        <v>63</v>
      </c>
      <c r="AL3" t="s">
        <v>1841</v>
      </c>
      <c r="AM3" t="s">
        <v>63</v>
      </c>
      <c r="AN3">
        <v>0</v>
      </c>
      <c r="AO3" t="s">
        <v>554</v>
      </c>
      <c r="AP3" t="s">
        <v>63</v>
      </c>
      <c r="AQ3" t="s">
        <v>1842</v>
      </c>
      <c r="AR3">
        <v>1500</v>
      </c>
      <c r="AS3" t="s">
        <v>500</v>
      </c>
      <c r="AT3" t="s">
        <v>63</v>
      </c>
      <c r="AU3" t="s">
        <v>1843</v>
      </c>
      <c r="AV3" t="s">
        <v>1844</v>
      </c>
      <c r="AW3" t="s">
        <v>1845</v>
      </c>
      <c r="AX3" t="s">
        <v>800</v>
      </c>
      <c r="AY3" t="s">
        <v>435</v>
      </c>
      <c r="AZ3" t="s">
        <v>282</v>
      </c>
      <c r="BA3" t="s">
        <v>259</v>
      </c>
      <c r="BB3" t="s">
        <v>1033</v>
      </c>
      <c r="BC3" t="s">
        <v>1846</v>
      </c>
      <c r="BD3" t="s">
        <v>1110</v>
      </c>
      <c r="BE3" t="s">
        <v>1032</v>
      </c>
      <c r="BF3" t="s">
        <v>1034</v>
      </c>
      <c r="BG3" t="s">
        <v>1035</v>
      </c>
      <c r="BH3" t="s">
        <v>727</v>
      </c>
      <c r="BI3" t="s">
        <v>3800</v>
      </c>
      <c r="BJ3" t="s">
        <v>800</v>
      </c>
      <c r="BK3" t="s">
        <v>1847</v>
      </c>
      <c r="BL3" t="s">
        <v>3801</v>
      </c>
      <c r="BM3" t="s">
        <v>1846</v>
      </c>
      <c r="BN3" t="s">
        <v>63</v>
      </c>
      <c r="BO3" t="s">
        <v>63</v>
      </c>
      <c r="BP3" t="s">
        <v>63</v>
      </c>
      <c r="BQ3">
        <v>-16.45</v>
      </c>
      <c r="BR3">
        <v>-11.29</v>
      </c>
      <c r="BS3">
        <v>-20.13</v>
      </c>
      <c r="BT3" t="s">
        <v>1409</v>
      </c>
      <c r="BU3" t="s">
        <v>1848</v>
      </c>
      <c r="BV3">
        <v>24.84</v>
      </c>
      <c r="BW3">
        <v>20.72</v>
      </c>
      <c r="BX3">
        <v>13.4</v>
      </c>
      <c r="BY3">
        <v>-24.33</v>
      </c>
      <c r="BZ3">
        <v>-27.15</v>
      </c>
      <c r="CA3">
        <v>-70.14</v>
      </c>
      <c r="CB3">
        <v>-2.2799999999999998</v>
      </c>
      <c r="CC3">
        <v>2.82</v>
      </c>
      <c r="CD3" t="s">
        <v>235</v>
      </c>
      <c r="CE3" t="s">
        <v>3802</v>
      </c>
      <c r="CF3" s="9">
        <v>-0.14077882301465763</v>
      </c>
      <c r="CG3" s="10">
        <v>-0.72848118435840792</v>
      </c>
      <c r="CH3" s="9">
        <v>6.1093248426914215E-2</v>
      </c>
      <c r="CI3" s="9">
        <v>0.2292490154504776</v>
      </c>
      <c r="CJ3" s="9">
        <v>0.2222222238779068</v>
      </c>
      <c r="CK3" s="9">
        <v>0.5923076868057251</v>
      </c>
      <c r="CL3" s="9">
        <v>0.36154168844223022</v>
      </c>
      <c r="CM3" s="10">
        <v>5.3766444325447083E-2</v>
      </c>
      <c r="CN3" s="10">
        <v>0.52087557315826416</v>
      </c>
      <c r="CO3" s="10">
        <v>0.27572017908096313</v>
      </c>
      <c r="CP3" s="10">
        <v>-14.943240165710449</v>
      </c>
      <c r="CQ3" s="10">
        <v>1.0927010774612427</v>
      </c>
      <c r="CR3">
        <v>-57.194481923007878</v>
      </c>
      <c r="CS3">
        <v>-1.9501480232146771</v>
      </c>
      <c r="CT3">
        <v>0</v>
      </c>
      <c r="CU3" s="9">
        <v>0.29328277260065078</v>
      </c>
      <c r="CV3" s="10">
        <v>-2.6000353783369063</v>
      </c>
      <c r="CW3">
        <v>0.06</v>
      </c>
      <c r="CX3" t="e">
        <v>#VALUE!</v>
      </c>
      <c r="CY3" t="s">
        <v>1282</v>
      </c>
      <c r="CZ3">
        <v>0.29328277260065078</v>
      </c>
      <c r="DA3" t="e">
        <v>#VALUE!</v>
      </c>
      <c r="DB3" t="s">
        <v>1283</v>
      </c>
      <c r="DC3">
        <v>0.2786186339706182</v>
      </c>
      <c r="DD3" t="e">
        <v>#VALUE!</v>
      </c>
      <c r="DE3" t="s">
        <v>1283</v>
      </c>
      <c r="DF3">
        <v>0.25808883988857267</v>
      </c>
      <c r="DG3" t="e">
        <v>#VALUE!</v>
      </c>
      <c r="DH3" t="s">
        <v>1283</v>
      </c>
      <c r="DI3">
        <v>0.23462621808052064</v>
      </c>
      <c r="DJ3" t="e">
        <v>#VALUE!</v>
      </c>
      <c r="DK3" t="s">
        <v>1283</v>
      </c>
      <c r="DL3">
        <v>0.20529794082045552</v>
      </c>
      <c r="DM3">
        <v>-79792000</v>
      </c>
      <c r="DN3">
        <v>0.29328277260065078</v>
      </c>
      <c r="DO3">
        <v>6333485800</v>
      </c>
      <c r="DP3">
        <v>1014653200</v>
      </c>
      <c r="DQ3">
        <v>94</v>
      </c>
      <c r="DR3">
        <v>-0.43406159561530844</v>
      </c>
      <c r="DS3">
        <v>1.8715541939784983</v>
      </c>
      <c r="DT3" s="11">
        <v>5.9999999999999908E-2</v>
      </c>
      <c r="DU3">
        <v>-2.3149999999999999</v>
      </c>
      <c r="DV3">
        <v>-2.2549999999999999</v>
      </c>
      <c r="DW3">
        <v>1.0282</v>
      </c>
      <c r="DX3">
        <v>0.55041666666666789</v>
      </c>
      <c r="DY3">
        <v>1.00734375</v>
      </c>
      <c r="DZ3">
        <v>4531</v>
      </c>
      <c r="EA3">
        <v>1.0008295504600626</v>
      </c>
      <c r="EB3">
        <v>1</v>
      </c>
      <c r="EC3">
        <v>0.15241174206885366</v>
      </c>
      <c r="ED3">
        <v>0.58526108954439804</v>
      </c>
      <c r="EE3" s="12">
        <v>9.0899999999999995E-2</v>
      </c>
      <c r="EF3">
        <v>0.1278</v>
      </c>
      <c r="EG3">
        <v>29.260416666666668</v>
      </c>
      <c r="EH3" t="s">
        <v>1099</v>
      </c>
      <c r="EI3">
        <v>0</v>
      </c>
      <c r="EJ3">
        <v>0</v>
      </c>
      <c r="EK3" s="14">
        <v>45504</v>
      </c>
      <c r="EL3" s="15">
        <v>0.95</v>
      </c>
      <c r="EM3" s="15">
        <v>-4.42</v>
      </c>
      <c r="EN3" s="15">
        <v>-0.84</v>
      </c>
      <c r="EO3" s="15">
        <v>0.42</v>
      </c>
      <c r="EP3" s="15">
        <v>3.69</v>
      </c>
    </row>
    <row r="4" spans="1:146" ht="96" hidden="1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市值49.533119亿, 利润1.56亿; PE31.28; 平均PE48.58; 平均PEG1.75, PB1.89; ROIC3.9333%; ROE3.8067%; 股利率.9539%; 毛利14.04%; 净利1.9333%; 上一年度营收增6.67%, 利润增13.87%; 当季营收增5.38%, 利润增21.76%; 过往5年营收增27.76%, 利润增20.12%
Income profile:
</v>
      </c>
      <c r="D4" t="s">
        <v>87</v>
      </c>
      <c r="E4" t="s">
        <v>50</v>
      </c>
      <c r="F4">
        <v>12.58</v>
      </c>
      <c r="G4">
        <v>3.11</v>
      </c>
      <c r="H4" t="s">
        <v>3803</v>
      </c>
      <c r="I4">
        <v>4953311900</v>
      </c>
      <c r="J4">
        <v>31.28</v>
      </c>
      <c r="K4">
        <v>1.89</v>
      </c>
      <c r="L4" t="s">
        <v>1277</v>
      </c>
      <c r="M4" t="s">
        <v>1849</v>
      </c>
      <c r="N4" t="s">
        <v>1850</v>
      </c>
      <c r="O4" t="s">
        <v>1851</v>
      </c>
      <c r="P4">
        <v>5.35</v>
      </c>
      <c r="Q4" t="s">
        <v>1865</v>
      </c>
      <c r="R4">
        <v>-9142832</v>
      </c>
      <c r="S4" s="5">
        <v>0.21759999999999999</v>
      </c>
      <c r="T4" t="s">
        <v>430</v>
      </c>
      <c r="U4">
        <v>385944340</v>
      </c>
      <c r="V4">
        <v>393744990</v>
      </c>
      <c r="W4">
        <v>3.08</v>
      </c>
      <c r="X4">
        <v>0.22</v>
      </c>
      <c r="Y4">
        <v>-0.64</v>
      </c>
      <c r="Z4" t="s">
        <v>1852</v>
      </c>
      <c r="AA4" t="s">
        <v>1853</v>
      </c>
      <c r="AB4" t="s">
        <v>1854</v>
      </c>
      <c r="AC4" t="s">
        <v>1855</v>
      </c>
      <c r="AD4" t="s">
        <v>63</v>
      </c>
      <c r="AE4">
        <v>2775580</v>
      </c>
      <c r="AF4" t="s">
        <v>1856</v>
      </c>
      <c r="AG4" t="s">
        <v>1780</v>
      </c>
      <c r="AH4" t="s">
        <v>1857</v>
      </c>
      <c r="AI4" t="s">
        <v>983</v>
      </c>
      <c r="AJ4" t="s">
        <v>1858</v>
      </c>
      <c r="AK4" t="s">
        <v>1859</v>
      </c>
      <c r="AL4" t="s">
        <v>1860</v>
      </c>
      <c r="AM4" t="s">
        <v>63</v>
      </c>
      <c r="AN4">
        <v>0</v>
      </c>
      <c r="AO4" t="s">
        <v>339</v>
      </c>
      <c r="AP4" t="s">
        <v>1751</v>
      </c>
      <c r="AQ4" t="s">
        <v>1504</v>
      </c>
      <c r="AR4" t="s">
        <v>1861</v>
      </c>
      <c r="AS4" t="s">
        <v>1862</v>
      </c>
      <c r="AT4" t="s">
        <v>1405</v>
      </c>
      <c r="AU4" t="s">
        <v>1863</v>
      </c>
      <c r="AV4" t="s">
        <v>1864</v>
      </c>
      <c r="AW4" t="s">
        <v>1300</v>
      </c>
      <c r="AX4" t="s">
        <v>1434</v>
      </c>
      <c r="AY4" t="s">
        <v>1435</v>
      </c>
      <c r="AZ4" t="s">
        <v>692</v>
      </c>
      <c r="BA4" t="s">
        <v>197</v>
      </c>
      <c r="BB4" t="s">
        <v>694</v>
      </c>
      <c r="BC4" t="s">
        <v>322</v>
      </c>
      <c r="BD4" t="s">
        <v>1436</v>
      </c>
      <c r="BE4" t="s">
        <v>693</v>
      </c>
      <c r="BF4" t="s">
        <v>198</v>
      </c>
      <c r="BG4" t="s">
        <v>695</v>
      </c>
      <c r="BH4" t="s">
        <v>1865</v>
      </c>
      <c r="BI4" t="s">
        <v>3804</v>
      </c>
      <c r="BJ4" t="s">
        <v>1434</v>
      </c>
      <c r="BK4" t="s">
        <v>430</v>
      </c>
      <c r="BL4" t="s">
        <v>3805</v>
      </c>
      <c r="BM4" t="s">
        <v>322</v>
      </c>
      <c r="BN4">
        <v>1.9</v>
      </c>
      <c r="BO4">
        <v>5.49</v>
      </c>
      <c r="BP4">
        <v>4.41</v>
      </c>
      <c r="BQ4">
        <v>2.14</v>
      </c>
      <c r="BR4">
        <v>5.51</v>
      </c>
      <c r="BS4">
        <v>3.77</v>
      </c>
      <c r="BT4" t="s">
        <v>1414</v>
      </c>
      <c r="BU4" t="s">
        <v>1848</v>
      </c>
      <c r="BV4">
        <v>12.93</v>
      </c>
      <c r="BW4">
        <v>12.89</v>
      </c>
      <c r="BX4">
        <v>16.3</v>
      </c>
      <c r="BY4">
        <v>1.88</v>
      </c>
      <c r="BZ4">
        <v>1.78</v>
      </c>
      <c r="CA4">
        <v>2.14</v>
      </c>
      <c r="CB4">
        <v>5.89</v>
      </c>
      <c r="CC4">
        <v>-2.93</v>
      </c>
      <c r="CD4" t="s">
        <v>3806</v>
      </c>
      <c r="CE4" t="s">
        <v>207</v>
      </c>
      <c r="CF4" s="9">
        <v>5.3763440860215048E-2</v>
      </c>
      <c r="CG4" s="10">
        <v>0.21757162906924998</v>
      </c>
      <c r="CH4" s="9">
        <v>6.6651083528995514E-2</v>
      </c>
      <c r="CI4" s="9">
        <v>0.52112925052642822</v>
      </c>
      <c r="CJ4" s="9">
        <v>0.3286152184009552</v>
      </c>
      <c r="CK4" s="9">
        <v>0.28337875008583069</v>
      </c>
      <c r="CL4" s="9">
        <v>0.18812951445579529</v>
      </c>
      <c r="CM4" s="10">
        <v>0.13868613541126251</v>
      </c>
      <c r="CN4" s="10">
        <v>0.52443093061447144</v>
      </c>
      <c r="CO4" s="10">
        <v>-5.3969316184520721E-2</v>
      </c>
      <c r="CP4" s="10">
        <v>0.60526168346405029</v>
      </c>
      <c r="CQ4" s="10">
        <v>-0.20854498445987701</v>
      </c>
      <c r="CR4">
        <v>48.576509886882604</v>
      </c>
      <c r="CS4">
        <v>1.7499955433494003</v>
      </c>
      <c r="CT4">
        <v>0.95389507154213038</v>
      </c>
      <c r="CU4" s="9">
        <v>0.27758076339960097</v>
      </c>
      <c r="CV4" s="10">
        <v>0.2011728897690773</v>
      </c>
      <c r="CW4">
        <v>0.06</v>
      </c>
      <c r="CX4">
        <v>50.368287517664747</v>
      </c>
      <c r="CY4">
        <v>188021319.89654505</v>
      </c>
      <c r="CZ4">
        <v>0.27758076339960097</v>
      </c>
      <c r="DA4">
        <v>14.092226699905133</v>
      </c>
      <c r="DB4">
        <v>672023811.54312205</v>
      </c>
      <c r="DC4">
        <v>0.26370172522962093</v>
      </c>
      <c r="DD4">
        <v>5.5630480742476252</v>
      </c>
      <c r="DE4">
        <v>1702360248.1236534</v>
      </c>
      <c r="DF4">
        <v>0.24427107179164886</v>
      </c>
      <c r="DG4">
        <v>2.557058372163846</v>
      </c>
      <c r="DH4">
        <v>3703596289.8203173</v>
      </c>
      <c r="DI4">
        <v>0.22206461071968078</v>
      </c>
      <c r="DJ4">
        <v>0.69173166195717184</v>
      </c>
      <c r="DK4">
        <v>13690730699.249601</v>
      </c>
      <c r="DL4">
        <v>0.19430653437972067</v>
      </c>
      <c r="DM4">
        <v>156000000</v>
      </c>
      <c r="DN4">
        <v>0.27758076339960097</v>
      </c>
      <c r="DO4">
        <v>9470311900</v>
      </c>
      <c r="DP4">
        <v>2601689900</v>
      </c>
      <c r="DQ4">
        <v>387</v>
      </c>
      <c r="DR4">
        <v>-0.22381732253938591</v>
      </c>
      <c r="DS4">
        <v>1.6398739300172688E-2</v>
      </c>
      <c r="DT4" s="11">
        <v>5.9999999999999908E-2</v>
      </c>
      <c r="DU4">
        <v>4.4999999999999964E-2</v>
      </c>
      <c r="DV4">
        <v>0.10499999999999987</v>
      </c>
      <c r="DW4">
        <v>4.4974533106960948</v>
      </c>
      <c r="DX4">
        <v>0.55775061728395081</v>
      </c>
      <c r="DY4">
        <v>4.0635499675113707</v>
      </c>
      <c r="DZ4">
        <v>1555</v>
      </c>
      <c r="EA4">
        <v>4.0442038047313824</v>
      </c>
      <c r="EB4">
        <v>4</v>
      </c>
      <c r="EC4">
        <v>5.2560922743423354E-2</v>
      </c>
      <c r="ED4">
        <v>0.41143380643395616</v>
      </c>
      <c r="EE4" s="12">
        <v>-2.0569099999999998</v>
      </c>
      <c r="EF4">
        <v>-2.0258099999999999</v>
      </c>
      <c r="EG4">
        <v>43.127750617283951</v>
      </c>
      <c r="EH4" t="s">
        <v>1461</v>
      </c>
      <c r="EI4">
        <v>0</v>
      </c>
      <c r="EJ4">
        <v>0</v>
      </c>
      <c r="EK4" s="14">
        <v>45504</v>
      </c>
      <c r="EL4" s="15">
        <v>-2.62</v>
      </c>
      <c r="EM4" s="15">
        <v>-0.59</v>
      </c>
      <c r="EN4" s="15">
        <v>1.78</v>
      </c>
      <c r="EO4" s="15">
        <v>1.08</v>
      </c>
      <c r="EP4" s="15">
        <v>3.11</v>
      </c>
    </row>
    <row r="5" spans="1:146" ht="96" hidden="1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市值101.922636亿, 利润3.44亿; PE29.5; 平均PE36.91; 平均PEG2.75, PB2.97; ROIC8.55%; ROE8.8367%; 股利率.486%; 毛利57.27%; 净利15.89%; 上一年度营收增12.42%, 利润增6.5%; 当季营收增.88%, 利润增16.47%; 过往5年营收增13.43%, 利润增12.13%
Income profile:
</v>
      </c>
      <c r="D5" t="s">
        <v>132</v>
      </c>
      <c r="E5" t="s">
        <v>53</v>
      </c>
      <c r="F5">
        <v>5.35</v>
      </c>
      <c r="G5">
        <v>3.28</v>
      </c>
      <c r="H5" t="s">
        <v>3807</v>
      </c>
      <c r="I5">
        <v>10192263600</v>
      </c>
      <c r="J5">
        <v>29.5</v>
      </c>
      <c r="K5">
        <v>2.97</v>
      </c>
      <c r="L5" t="s">
        <v>1277</v>
      </c>
      <c r="M5" t="s">
        <v>1534</v>
      </c>
      <c r="N5" t="s">
        <v>1866</v>
      </c>
      <c r="O5" t="s">
        <v>450</v>
      </c>
      <c r="P5">
        <v>0.84</v>
      </c>
      <c r="Q5" t="s">
        <v>1713</v>
      </c>
      <c r="R5">
        <v>9145437</v>
      </c>
      <c r="S5" s="5">
        <v>0.16470000000000001</v>
      </c>
      <c r="T5" t="s">
        <v>529</v>
      </c>
      <c r="U5">
        <v>1758535600</v>
      </c>
      <c r="V5">
        <v>1905096000</v>
      </c>
      <c r="W5">
        <v>1.1599999999999999</v>
      </c>
      <c r="X5">
        <v>0.11</v>
      </c>
      <c r="Y5">
        <v>2.0499999999999998</v>
      </c>
      <c r="Z5" t="s">
        <v>389</v>
      </c>
      <c r="AA5" t="s">
        <v>262</v>
      </c>
      <c r="AB5" t="s">
        <v>1867</v>
      </c>
      <c r="AC5" t="s">
        <v>1868</v>
      </c>
      <c r="AD5" t="s">
        <v>63</v>
      </c>
      <c r="AE5">
        <v>-1033760</v>
      </c>
      <c r="AF5" t="s">
        <v>1869</v>
      </c>
      <c r="AG5" t="s">
        <v>1870</v>
      </c>
      <c r="AH5" t="s">
        <v>1871</v>
      </c>
      <c r="AI5" t="s">
        <v>1302</v>
      </c>
      <c r="AJ5" t="s">
        <v>1872</v>
      </c>
      <c r="AK5" t="s">
        <v>1873</v>
      </c>
      <c r="AL5" t="s">
        <v>1874</v>
      </c>
      <c r="AM5" t="s">
        <v>63</v>
      </c>
      <c r="AN5" t="s">
        <v>1875</v>
      </c>
      <c r="AO5" t="s">
        <v>1722</v>
      </c>
      <c r="AP5" t="s">
        <v>63</v>
      </c>
      <c r="AQ5" t="s">
        <v>274</v>
      </c>
      <c r="AR5" t="s">
        <v>63</v>
      </c>
      <c r="AS5" t="s">
        <v>423</v>
      </c>
      <c r="AT5" t="s">
        <v>63</v>
      </c>
      <c r="AU5" t="s">
        <v>1561</v>
      </c>
      <c r="AV5" t="s">
        <v>1876</v>
      </c>
      <c r="AW5" t="s">
        <v>1877</v>
      </c>
      <c r="AX5" t="s">
        <v>426</v>
      </c>
      <c r="AY5" t="s">
        <v>1112</v>
      </c>
      <c r="AZ5" t="s">
        <v>696</v>
      </c>
      <c r="BA5" t="s">
        <v>203</v>
      </c>
      <c r="BB5" t="s">
        <v>699</v>
      </c>
      <c r="BC5" t="s">
        <v>452</v>
      </c>
      <c r="BD5" t="s">
        <v>178</v>
      </c>
      <c r="BE5" t="s">
        <v>387</v>
      </c>
      <c r="BF5" t="s">
        <v>204</v>
      </c>
      <c r="BG5" t="s">
        <v>243</v>
      </c>
      <c r="BH5" t="s">
        <v>1713</v>
      </c>
      <c r="BI5" t="s">
        <v>309</v>
      </c>
      <c r="BJ5" t="s">
        <v>426</v>
      </c>
      <c r="BK5" t="s">
        <v>529</v>
      </c>
      <c r="BL5" t="s">
        <v>3808</v>
      </c>
      <c r="BM5" t="s">
        <v>452</v>
      </c>
      <c r="BN5">
        <v>4.49</v>
      </c>
      <c r="BO5">
        <v>10.28</v>
      </c>
      <c r="BP5">
        <v>10.88</v>
      </c>
      <c r="BQ5">
        <v>4.7300000000000004</v>
      </c>
      <c r="BR5">
        <v>10.75</v>
      </c>
      <c r="BS5">
        <v>11.03</v>
      </c>
      <c r="BT5" t="s">
        <v>1878</v>
      </c>
      <c r="BU5" t="s">
        <v>1848</v>
      </c>
      <c r="BV5">
        <v>57.21</v>
      </c>
      <c r="BW5">
        <v>55.69</v>
      </c>
      <c r="BX5">
        <v>58.91</v>
      </c>
      <c r="BY5">
        <v>15.05</v>
      </c>
      <c r="BZ5">
        <v>15.91</v>
      </c>
      <c r="CA5">
        <v>16.71</v>
      </c>
      <c r="CB5">
        <v>5.1100000000000003</v>
      </c>
      <c r="CC5">
        <v>-6.21</v>
      </c>
      <c r="CD5" t="s">
        <v>3809</v>
      </c>
      <c r="CE5" t="s">
        <v>1304</v>
      </c>
      <c r="CF5" s="9">
        <v>8.7719298245614048E-3</v>
      </c>
      <c r="CG5" s="10">
        <v>0.16471224258478623</v>
      </c>
      <c r="CH5" s="9">
        <v>0.12423529475927353</v>
      </c>
      <c r="CI5" s="9">
        <v>0.10966058075428009</v>
      </c>
      <c r="CJ5" s="9">
        <v>0.13179665803909302</v>
      </c>
      <c r="CK5" s="9">
        <v>8.1150203943252563E-2</v>
      </c>
      <c r="CL5" s="9">
        <v>0.22456958889961243</v>
      </c>
      <c r="CM5" s="10">
        <v>6.5015479922294617E-2</v>
      </c>
      <c r="CN5" s="10">
        <v>5.9016391634941101E-2</v>
      </c>
      <c r="CO5" s="10">
        <v>0.1596958190202713</v>
      </c>
      <c r="CP5" s="10">
        <v>0.15859030187129974</v>
      </c>
      <c r="CQ5" s="10">
        <v>0.16410256922245026</v>
      </c>
      <c r="CR5">
        <v>36.906204948702474</v>
      </c>
      <c r="CS5">
        <v>2.7484009078917317</v>
      </c>
      <c r="CT5">
        <v>0.48598130841121501</v>
      </c>
      <c r="CU5" s="9">
        <v>0.13428246527910231</v>
      </c>
      <c r="CV5" s="10">
        <v>0.1212841123342514</v>
      </c>
      <c r="CW5">
        <v>0.06</v>
      </c>
      <c r="CX5">
        <v>19.668923098362193</v>
      </c>
      <c r="CY5">
        <v>368106762.31699175</v>
      </c>
      <c r="CZ5">
        <v>0.13428246527910231</v>
      </c>
      <c r="DA5">
        <v>6.1922437863232691</v>
      </c>
      <c r="DB5">
        <v>1169247182.4173782</v>
      </c>
      <c r="DC5">
        <v>0.12756834201514719</v>
      </c>
      <c r="DD5">
        <v>2.8975685785073324</v>
      </c>
      <c r="DE5">
        <v>2498737615.2904668</v>
      </c>
      <c r="DF5">
        <v>0.11816856944561004</v>
      </c>
      <c r="DG5">
        <v>1.6414241071980584</v>
      </c>
      <c r="DH5">
        <v>4410964581.456809</v>
      </c>
      <c r="DI5">
        <v>0.10742597222328186</v>
      </c>
      <c r="DJ5">
        <v>0.74307560286918317</v>
      </c>
      <c r="DK5">
        <v>9743643274.0406265</v>
      </c>
      <c r="DL5">
        <v>9.3997725695371612E-2</v>
      </c>
      <c r="DM5">
        <v>344000000</v>
      </c>
      <c r="DN5">
        <v>0.13428246527910231</v>
      </c>
      <c r="DO5">
        <v>7240263600</v>
      </c>
      <c r="DP5">
        <v>2669033200</v>
      </c>
      <c r="DQ5">
        <v>579</v>
      </c>
      <c r="DR5">
        <v>-0.12551053545454091</v>
      </c>
      <c r="DS5">
        <v>4.3428130250534824E-2</v>
      </c>
      <c r="DT5" s="11">
        <v>-0.34</v>
      </c>
      <c r="DU5">
        <v>0.56999999999999995</v>
      </c>
      <c r="DV5">
        <v>0.22999999999999993</v>
      </c>
      <c r="DW5">
        <v>6.4514134275618371</v>
      </c>
      <c r="DX5">
        <v>0.57521757925072303</v>
      </c>
      <c r="DY5">
        <v>6.056524896640564</v>
      </c>
      <c r="DZ5">
        <v>1279</v>
      </c>
      <c r="EA5">
        <v>6.0423715405710103</v>
      </c>
      <c r="EB5">
        <v>6</v>
      </c>
      <c r="EC5">
        <v>4.5615024124768519E-2</v>
      </c>
      <c r="ED5">
        <v>0.36428610421732027</v>
      </c>
      <c r="EE5" s="12">
        <v>1.0024999999999999</v>
      </c>
      <c r="EF5">
        <v>1.0352999999999999</v>
      </c>
      <c r="EG5">
        <v>45.125217579250723</v>
      </c>
      <c r="EH5" t="s">
        <v>1286</v>
      </c>
      <c r="EI5">
        <v>0</v>
      </c>
      <c r="EJ5">
        <v>1</v>
      </c>
      <c r="EK5" s="14">
        <v>45504</v>
      </c>
      <c r="EL5" s="15">
        <v>-0.97</v>
      </c>
      <c r="EM5" s="15">
        <v>0.2</v>
      </c>
      <c r="EN5" s="15">
        <v>0.78</v>
      </c>
      <c r="EO5" s="15">
        <v>0.57999999999999996</v>
      </c>
      <c r="EP5" s="15">
        <v>3.28</v>
      </c>
    </row>
    <row r="6" spans="1:146" ht="96" hidden="1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市值152.83486亿, 利润-1.05亿; PE; 平均PE-153.2; 平均PEG-100.35, PB2.08; ROIC-.68%; ROE-5.2233%; 股利率.1786%; 毛利37.4933%; 净利-14.4167%; 上一年度营收增5.93%, 利润增86.52%; 当季营收增12.48%, 利润增10.96%; 过往5年营收增-1.53%, 利润增-144.53%
Income profile:
</v>
      </c>
      <c r="D6" t="s">
        <v>97</v>
      </c>
      <c r="E6" t="s">
        <v>29</v>
      </c>
      <c r="F6">
        <v>5.6</v>
      </c>
      <c r="G6">
        <v>6.06</v>
      </c>
      <c r="H6" t="s">
        <v>3810</v>
      </c>
      <c r="I6">
        <v>15283486000</v>
      </c>
      <c r="K6">
        <v>2.08</v>
      </c>
      <c r="L6" t="s">
        <v>1277</v>
      </c>
      <c r="M6" t="s">
        <v>1879</v>
      </c>
      <c r="N6" t="s">
        <v>1880</v>
      </c>
      <c r="O6" t="s">
        <v>1740</v>
      </c>
      <c r="P6">
        <v>12.56</v>
      </c>
      <c r="Q6" t="s">
        <v>1893</v>
      </c>
      <c r="R6">
        <v>11389736</v>
      </c>
      <c r="S6" s="5">
        <v>0.1096</v>
      </c>
      <c r="T6" t="s">
        <v>652</v>
      </c>
      <c r="U6">
        <v>1599763800</v>
      </c>
      <c r="V6">
        <v>2729193800</v>
      </c>
      <c r="W6">
        <v>1.18</v>
      </c>
      <c r="X6">
        <v>7.0000000000000007E-2</v>
      </c>
      <c r="Y6">
        <v>1.84</v>
      </c>
      <c r="Z6" t="s">
        <v>1222</v>
      </c>
      <c r="AA6" t="s">
        <v>221</v>
      </c>
      <c r="AB6" t="s">
        <v>1881</v>
      </c>
      <c r="AC6" t="s">
        <v>294</v>
      </c>
      <c r="AD6" t="s">
        <v>63</v>
      </c>
      <c r="AE6">
        <v>-10944626</v>
      </c>
      <c r="AF6" t="s">
        <v>1882</v>
      </c>
      <c r="AG6" t="s">
        <v>1883</v>
      </c>
      <c r="AH6" t="s">
        <v>1884</v>
      </c>
      <c r="AI6" t="s">
        <v>1885</v>
      </c>
      <c r="AJ6" t="s">
        <v>1886</v>
      </c>
      <c r="AK6" t="s">
        <v>1887</v>
      </c>
      <c r="AL6" t="s">
        <v>1888</v>
      </c>
      <c r="AM6" t="s">
        <v>63</v>
      </c>
      <c r="AN6" t="s">
        <v>1889</v>
      </c>
      <c r="AO6" t="s">
        <v>1890</v>
      </c>
      <c r="AP6" t="s">
        <v>63</v>
      </c>
      <c r="AQ6" t="s">
        <v>454</v>
      </c>
      <c r="AR6" t="s">
        <v>63</v>
      </c>
      <c r="AS6" t="s">
        <v>1891</v>
      </c>
      <c r="AT6" t="s">
        <v>63</v>
      </c>
      <c r="AU6" t="s">
        <v>1730</v>
      </c>
      <c r="AV6" t="s">
        <v>1728</v>
      </c>
      <c r="AW6" t="s">
        <v>1892</v>
      </c>
      <c r="AX6" t="s">
        <v>1378</v>
      </c>
      <c r="AY6" t="s">
        <v>1113</v>
      </c>
      <c r="AZ6" t="s">
        <v>701</v>
      </c>
      <c r="BA6" t="s">
        <v>217</v>
      </c>
      <c r="BB6" t="s">
        <v>703</v>
      </c>
      <c r="BC6" t="s">
        <v>1437</v>
      </c>
      <c r="BD6" t="s">
        <v>1114</v>
      </c>
      <c r="BE6" t="s">
        <v>702</v>
      </c>
      <c r="BF6" t="s">
        <v>218</v>
      </c>
      <c r="BG6" t="s">
        <v>280</v>
      </c>
      <c r="BH6" t="s">
        <v>1893</v>
      </c>
      <c r="BI6" t="s">
        <v>887</v>
      </c>
      <c r="BJ6" t="s">
        <v>1378</v>
      </c>
      <c r="BK6" t="s">
        <v>652</v>
      </c>
      <c r="BL6" t="s">
        <v>3811</v>
      </c>
      <c r="BM6" t="s">
        <v>1437</v>
      </c>
      <c r="BN6">
        <v>-0.68</v>
      </c>
      <c r="BO6" t="s">
        <v>63</v>
      </c>
      <c r="BP6" t="s">
        <v>63</v>
      </c>
      <c r="BQ6">
        <v>0.19</v>
      </c>
      <c r="BR6">
        <v>-10.06</v>
      </c>
      <c r="BS6">
        <v>-5.8</v>
      </c>
      <c r="BT6" t="s">
        <v>1415</v>
      </c>
      <c r="BU6" t="s">
        <v>1848</v>
      </c>
      <c r="BV6">
        <v>37.72</v>
      </c>
      <c r="BW6">
        <v>36.17</v>
      </c>
      <c r="BX6">
        <v>38.590000000000003</v>
      </c>
      <c r="BY6">
        <v>-1.8</v>
      </c>
      <c r="BZ6">
        <v>-28.59</v>
      </c>
      <c r="CA6">
        <v>-12.86</v>
      </c>
      <c r="CB6">
        <v>9.3699999999999992</v>
      </c>
      <c r="CC6">
        <v>-11.11</v>
      </c>
      <c r="CD6" t="s">
        <v>3812</v>
      </c>
      <c r="CE6" t="s">
        <v>3813</v>
      </c>
      <c r="CF6" s="9">
        <v>0.12477718360071301</v>
      </c>
      <c r="CG6" s="10">
        <v>0.10958080448908417</v>
      </c>
      <c r="CH6" s="9">
        <v>5.9344843029975891E-2</v>
      </c>
      <c r="CI6" s="9">
        <v>-0.19284602999687195</v>
      </c>
      <c r="CJ6" s="9">
        <v>-3.0750639736652374E-2</v>
      </c>
      <c r="CK6" s="9">
        <v>-9.4458125531673431E-2</v>
      </c>
      <c r="CL6" s="9">
        <v>0.18237578868865967</v>
      </c>
      <c r="CM6" s="10">
        <v>0.86521178483963013</v>
      </c>
      <c r="CN6" s="10">
        <v>-0.62970709800720215</v>
      </c>
      <c r="CO6" s="10">
        <v>-6.0730986595153809</v>
      </c>
      <c r="CP6" s="10">
        <v>-1.1836413145065308</v>
      </c>
      <c r="CQ6" s="10">
        <v>-0.20518358051776886</v>
      </c>
      <c r="CR6">
        <v>-153.1974272444786</v>
      </c>
      <c r="CS6">
        <v>-100.34656838221034</v>
      </c>
      <c r="CT6">
        <v>0.1785714285714286</v>
      </c>
      <c r="CU6" s="9">
        <v>-1.526683270931244E-2</v>
      </c>
      <c r="CV6" s="10">
        <v>-1.4452837735414505</v>
      </c>
      <c r="CW6">
        <v>0.06</v>
      </c>
      <c r="CX6" t="e">
        <v>#VALUE!</v>
      </c>
      <c r="CY6" t="s">
        <v>1283</v>
      </c>
      <c r="CZ6">
        <v>-1.526683270931244E-2</v>
      </c>
      <c r="DA6" t="e">
        <v>#VALUE!</v>
      </c>
      <c r="DB6" t="s">
        <v>1283</v>
      </c>
      <c r="DC6">
        <v>-1.4503491073846818E-2</v>
      </c>
      <c r="DD6" t="e">
        <v>#VALUE!</v>
      </c>
      <c r="DE6" t="s">
        <v>1283</v>
      </c>
      <c r="DF6">
        <v>-1.3434812784194948E-2</v>
      </c>
      <c r="DG6" t="e">
        <v>#VALUE!</v>
      </c>
      <c r="DH6" t="s">
        <v>1283</v>
      </c>
      <c r="DI6">
        <v>-1.2213466167449952E-2</v>
      </c>
      <c r="DJ6" t="e">
        <v>#VALUE!</v>
      </c>
      <c r="DK6" t="s">
        <v>1283</v>
      </c>
      <c r="DL6">
        <v>-1.0686782896518707E-2</v>
      </c>
      <c r="DM6">
        <v>-105000000</v>
      </c>
      <c r="DN6">
        <v>-1.526683270931244E-2</v>
      </c>
      <c r="DO6">
        <v>8612486000</v>
      </c>
      <c r="DP6">
        <v>4272054600</v>
      </c>
      <c r="DQ6">
        <v>661</v>
      </c>
      <c r="DR6">
        <v>0.14004401631002544</v>
      </c>
      <c r="DS6">
        <v>1.5548645780305348</v>
      </c>
      <c r="DT6" s="11">
        <v>-0.49</v>
      </c>
      <c r="DU6">
        <v>-1.7933333333333332</v>
      </c>
      <c r="DV6">
        <v>-2.2833333333333332</v>
      </c>
      <c r="DW6">
        <v>7.45751953125</v>
      </c>
      <c r="DX6">
        <v>0.58153121387282902</v>
      </c>
      <c r="DY6">
        <v>7.0693284899408422</v>
      </c>
      <c r="DZ6">
        <v>4548</v>
      </c>
      <c r="EA6">
        <v>7.0076006175346262</v>
      </c>
      <c r="EB6">
        <v>7</v>
      </c>
      <c r="EC6">
        <v>1.9210728091204075E-2</v>
      </c>
      <c r="ED6">
        <v>0.12677736553556584</v>
      </c>
      <c r="EE6" s="12">
        <v>-2.0249100000000002</v>
      </c>
      <c r="EF6">
        <v>-2.0356999999999998</v>
      </c>
      <c r="EG6">
        <v>43.151531213872829</v>
      </c>
      <c r="EH6" t="s">
        <v>1431</v>
      </c>
      <c r="EI6">
        <v>1</v>
      </c>
      <c r="EJ6">
        <v>0</v>
      </c>
      <c r="EK6" s="14">
        <v>45504</v>
      </c>
      <c r="EL6" s="15">
        <v>-2.66</v>
      </c>
      <c r="EM6" s="15">
        <v>0.78</v>
      </c>
      <c r="EN6" s="15">
        <v>0.78</v>
      </c>
      <c r="EO6" s="15">
        <v>0.38</v>
      </c>
      <c r="EP6" s="15">
        <v>6.06</v>
      </c>
    </row>
    <row r="7" spans="1:146" ht="96" hidden="1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市值24.925355亿, 利润2250.64万; PE159.7; 平均PE-23.03; 平均PEG-2.96, PB5.6; ROIC1.885%; ROE-8.6433%; 股利率0%; 毛利20.94%; 净利-6.6033%; 上一年度营收增7.99%, 利润增115.42%; 当季营收增7.14%, 利润增-689.9%; 过往5年营收增-7.78%, 利润增-534.53%
Income profile:
</v>
      </c>
      <c r="D7" t="s">
        <v>1037</v>
      </c>
      <c r="E7" t="s">
        <v>1038</v>
      </c>
      <c r="F7">
        <v>3.5</v>
      </c>
      <c r="G7">
        <v>2.94</v>
      </c>
      <c r="H7" t="s">
        <v>3814</v>
      </c>
      <c r="I7">
        <v>2492535500</v>
      </c>
      <c r="J7">
        <v>159.69999999999999</v>
      </c>
      <c r="K7">
        <v>5.6</v>
      </c>
      <c r="L7" t="s">
        <v>1277</v>
      </c>
      <c r="M7" t="s">
        <v>830</v>
      </c>
      <c r="N7" t="s">
        <v>1511</v>
      </c>
      <c r="O7" t="s">
        <v>235</v>
      </c>
      <c r="P7">
        <v>7.13</v>
      </c>
      <c r="Q7" t="s">
        <v>1682</v>
      </c>
      <c r="R7">
        <v>-11250000</v>
      </c>
      <c r="S7" s="5">
        <v>-3.6179999999999999</v>
      </c>
      <c r="T7" t="s">
        <v>1907</v>
      </c>
      <c r="U7">
        <v>711783160</v>
      </c>
      <c r="V7">
        <v>712153000</v>
      </c>
      <c r="W7">
        <v>2.4500000000000002</v>
      </c>
      <c r="X7">
        <v>0.1</v>
      </c>
      <c r="Y7">
        <v>-3.84</v>
      </c>
      <c r="Z7" t="s">
        <v>180</v>
      </c>
      <c r="AA7" t="s">
        <v>463</v>
      </c>
      <c r="AB7" t="s">
        <v>1894</v>
      </c>
      <c r="AC7" t="s">
        <v>1895</v>
      </c>
      <c r="AD7" t="s">
        <v>63</v>
      </c>
      <c r="AE7">
        <v>1176047</v>
      </c>
      <c r="AF7" t="s">
        <v>1896</v>
      </c>
      <c r="AG7">
        <v>54.27</v>
      </c>
      <c r="AH7" t="s">
        <v>1897</v>
      </c>
      <c r="AI7" t="s">
        <v>645</v>
      </c>
      <c r="AJ7" t="s">
        <v>1898</v>
      </c>
      <c r="AK7" t="s">
        <v>1899</v>
      </c>
      <c r="AL7" t="s">
        <v>1900</v>
      </c>
      <c r="AM7" t="s">
        <v>63</v>
      </c>
      <c r="AN7" t="s">
        <v>1901</v>
      </c>
      <c r="AO7" t="s">
        <v>318</v>
      </c>
      <c r="AP7" t="s">
        <v>1902</v>
      </c>
      <c r="AQ7" t="s">
        <v>825</v>
      </c>
      <c r="AR7" t="s">
        <v>63</v>
      </c>
      <c r="AS7" t="s">
        <v>934</v>
      </c>
      <c r="AT7" t="s">
        <v>1903</v>
      </c>
      <c r="AU7" t="s">
        <v>1904</v>
      </c>
      <c r="AV7" t="s">
        <v>1905</v>
      </c>
      <c r="AW7" t="s">
        <v>1906</v>
      </c>
      <c r="AX7" t="s">
        <v>804</v>
      </c>
      <c r="AY7" t="s">
        <v>755</v>
      </c>
      <c r="AZ7" t="s">
        <v>246</v>
      </c>
      <c r="BA7" t="s">
        <v>955</v>
      </c>
      <c r="BB7" t="s">
        <v>885</v>
      </c>
      <c r="BC7" t="s">
        <v>1360</v>
      </c>
      <c r="BD7" t="s">
        <v>1115</v>
      </c>
      <c r="BE7" t="s">
        <v>1039</v>
      </c>
      <c r="BF7" t="s">
        <v>1041</v>
      </c>
      <c r="BG7" t="s">
        <v>1042</v>
      </c>
      <c r="BH7" t="s">
        <v>1682</v>
      </c>
      <c r="BI7" t="s">
        <v>252</v>
      </c>
      <c r="BJ7" t="s">
        <v>804</v>
      </c>
      <c r="BK7" t="s">
        <v>1907</v>
      </c>
      <c r="BL7" t="s">
        <v>3815</v>
      </c>
      <c r="BM7" t="s">
        <v>1360</v>
      </c>
      <c r="BN7">
        <v>2.12</v>
      </c>
      <c r="BO7" t="s">
        <v>63</v>
      </c>
      <c r="BP7">
        <v>1.65</v>
      </c>
      <c r="BQ7">
        <v>1.95</v>
      </c>
      <c r="BR7">
        <v>-29.46</v>
      </c>
      <c r="BS7">
        <v>1.58</v>
      </c>
      <c r="BT7" t="s">
        <v>1409</v>
      </c>
      <c r="BU7" t="s">
        <v>1848</v>
      </c>
      <c r="BV7">
        <v>25.52</v>
      </c>
      <c r="BW7">
        <v>17.87</v>
      </c>
      <c r="BX7">
        <v>19.43</v>
      </c>
      <c r="BY7">
        <v>3.81</v>
      </c>
      <c r="BZ7">
        <v>-24.71</v>
      </c>
      <c r="CA7">
        <v>1.0900000000000001</v>
      </c>
      <c r="CB7">
        <v>6.06</v>
      </c>
      <c r="CC7">
        <v>-5.15</v>
      </c>
      <c r="CD7" t="s">
        <v>319</v>
      </c>
      <c r="CE7" t="s">
        <v>3816</v>
      </c>
      <c r="CF7" s="9">
        <v>7.1428571428571425E-2</v>
      </c>
      <c r="CG7" s="10">
        <v>-6.8990089664936294</v>
      </c>
      <c r="CH7" s="9">
        <v>7.9872205853462219E-2</v>
      </c>
      <c r="CI7" s="9">
        <v>-0.23378212749958038</v>
      </c>
      <c r="CJ7" s="9">
        <v>0.23787878453731537</v>
      </c>
      <c r="CK7" s="9">
        <v>-0.28104576468467712</v>
      </c>
      <c r="CL7" s="9">
        <v>-0.19190141558647156</v>
      </c>
      <c r="CM7" s="10">
        <v>1.1541534662246704</v>
      </c>
      <c r="CN7" s="10">
        <v>-17.216455459594727</v>
      </c>
      <c r="CO7" s="10">
        <v>1.0331000089645386</v>
      </c>
      <c r="CP7" s="10">
        <v>-12.777849197387695</v>
      </c>
      <c r="CQ7" s="10">
        <v>1.0807490348815918</v>
      </c>
      <c r="CR7">
        <v>-23.02941255276825</v>
      </c>
      <c r="CS7">
        <v>-2.9602437364488461</v>
      </c>
      <c r="CT7">
        <v>0</v>
      </c>
      <c r="CU7" s="9">
        <v>-7.779566347599029E-2</v>
      </c>
      <c r="CV7" s="10">
        <v>-5.345260429382324</v>
      </c>
      <c r="CW7">
        <v>0.06</v>
      </c>
      <c r="CX7" t="e">
        <v>#VALUE!</v>
      </c>
      <c r="CY7" t="s">
        <v>3817</v>
      </c>
      <c r="CZ7">
        <v>-7.779566347599029E-2</v>
      </c>
      <c r="DA7">
        <v>42.01079840993377</v>
      </c>
      <c r="DB7" t="s">
        <v>3818</v>
      </c>
      <c r="DC7">
        <v>-7.3905880302190766E-2</v>
      </c>
      <c r="DD7">
        <v>21.005399204966885</v>
      </c>
      <c r="DE7" t="s">
        <v>3819</v>
      </c>
      <c r="DF7">
        <v>-6.8460183858871454E-2</v>
      </c>
      <c r="DG7">
        <v>12.603239522980131</v>
      </c>
      <c r="DH7" t="s">
        <v>3820</v>
      </c>
      <c r="DI7">
        <v>-6.2236530780792235E-2</v>
      </c>
      <c r="DJ7">
        <v>6.3016197614900653</v>
      </c>
      <c r="DK7" t="s">
        <v>3821</v>
      </c>
      <c r="DL7">
        <v>-5.44569644331932E-2</v>
      </c>
      <c r="DM7">
        <v>22506400</v>
      </c>
      <c r="DN7">
        <v>-7.779566347599029E-2</v>
      </c>
      <c r="DO7">
        <v>2836535500</v>
      </c>
      <c r="DP7">
        <v>196107819.99999988</v>
      </c>
      <c r="DQ7">
        <v>686</v>
      </c>
      <c r="DR7">
        <v>0.14922423490456171</v>
      </c>
      <c r="DS7">
        <v>-1.5537485371113053</v>
      </c>
      <c r="DT7" s="11">
        <v>-0.67333333333333334</v>
      </c>
      <c r="DU7">
        <v>-1.4650000000000001</v>
      </c>
      <c r="DV7">
        <v>-2.1383333333333336</v>
      </c>
      <c r="DW7">
        <v>5.8498349834983498</v>
      </c>
      <c r="DX7">
        <v>0.42682492581602077</v>
      </c>
      <c r="DY7">
        <v>5.0907835590680728</v>
      </c>
      <c r="DZ7">
        <v>4465</v>
      </c>
      <c r="EA7">
        <v>5.0114279225686706</v>
      </c>
      <c r="EB7">
        <v>5</v>
      </c>
      <c r="EC7">
        <v>0.20220373992667307</v>
      </c>
      <c r="ED7">
        <v>1.8928516765358006</v>
      </c>
      <c r="EE7" s="12">
        <v>9.6500000000000002E-2</v>
      </c>
      <c r="EF7">
        <v>0.12590000000000001</v>
      </c>
      <c r="EG7">
        <v>32.106824925816021</v>
      </c>
      <c r="EH7" t="s">
        <v>1099</v>
      </c>
      <c r="EI7">
        <v>1</v>
      </c>
      <c r="EJ7">
        <v>0</v>
      </c>
      <c r="EK7" s="14">
        <v>45504</v>
      </c>
      <c r="EL7" s="15">
        <v>-4.9000000000000004</v>
      </c>
      <c r="EM7" s="15">
        <v>-1.21</v>
      </c>
      <c r="EN7" s="15">
        <v>2.4500000000000002</v>
      </c>
      <c r="EO7" s="15">
        <v>1.8</v>
      </c>
      <c r="EP7" s="15">
        <v>2.94</v>
      </c>
    </row>
    <row r="8" spans="1:146" ht="96" x14ac:dyDescent="0.25">
      <c r="A8" s="7"/>
      <c r="B8" s="7"/>
      <c r="C8" s="7" t="str">
        <f>""&amp;CHAR(10)&amp;Basic_Fundamental_Information_Constructure(F8)&amp;CHAR(10)&amp;Basic_Fundamental_Information_Concatenate("")</f>
        <v xml:space="preserve">
市值56.377895亿, 利润-3.71亿; PE; 平均PE25.06; 平均PEG2.3, PB.606; ROIC2.185%; ROE.6833%; 股利率0%; 毛利59.7733%; 净利.2167%; 上一年度营收增-11.83%, 利润增-280.98%; 当季营收增-10.02%, 利润增-119.17%; 过往5年营收增-10.87%, 利润增-70.38%
Income profile:
</v>
      </c>
      <c r="D8" t="s">
        <v>122</v>
      </c>
      <c r="E8" t="s">
        <v>706</v>
      </c>
      <c r="F8">
        <v>4.78</v>
      </c>
      <c r="G8">
        <v>4.1399999999999997</v>
      </c>
      <c r="H8" t="s">
        <v>3822</v>
      </c>
      <c r="I8">
        <v>5637789500</v>
      </c>
      <c r="K8">
        <v>0.60599999999999998</v>
      </c>
      <c r="L8" t="s">
        <v>1277</v>
      </c>
      <c r="M8" t="s">
        <v>1749</v>
      </c>
      <c r="N8" t="s">
        <v>1908</v>
      </c>
      <c r="O8" t="s">
        <v>442</v>
      </c>
      <c r="P8">
        <v>-9.93</v>
      </c>
      <c r="Q8" t="s">
        <v>1919</v>
      </c>
      <c r="R8">
        <v>-200000000</v>
      </c>
      <c r="S8" s="5">
        <v>2.12E-2</v>
      </c>
      <c r="T8" t="s">
        <v>1759</v>
      </c>
      <c r="U8">
        <v>1167376930</v>
      </c>
      <c r="V8">
        <v>1179453880</v>
      </c>
      <c r="W8">
        <v>1.17</v>
      </c>
      <c r="X8">
        <v>0.04</v>
      </c>
      <c r="Y8">
        <v>-21.26</v>
      </c>
      <c r="Z8" t="s">
        <v>807</v>
      </c>
      <c r="AA8" t="s">
        <v>565</v>
      </c>
      <c r="AB8" t="s">
        <v>524</v>
      </c>
      <c r="AC8" t="s">
        <v>1909</v>
      </c>
      <c r="AD8" t="s">
        <v>63</v>
      </c>
      <c r="AE8">
        <v>-2317056</v>
      </c>
      <c r="AF8" t="s">
        <v>1910</v>
      </c>
      <c r="AG8" t="s">
        <v>1736</v>
      </c>
      <c r="AH8" t="s">
        <v>1911</v>
      </c>
      <c r="AI8" t="s">
        <v>1065</v>
      </c>
      <c r="AJ8" t="s">
        <v>1912</v>
      </c>
      <c r="AK8" t="s">
        <v>1913</v>
      </c>
      <c r="AL8" t="s">
        <v>1914</v>
      </c>
      <c r="AM8" t="s">
        <v>63</v>
      </c>
      <c r="AN8">
        <v>0</v>
      </c>
      <c r="AO8" t="s">
        <v>63</v>
      </c>
      <c r="AP8" t="s">
        <v>1915</v>
      </c>
      <c r="AQ8" t="s">
        <v>1357</v>
      </c>
      <c r="AR8" t="s">
        <v>1916</v>
      </c>
      <c r="AS8" t="s">
        <v>1917</v>
      </c>
      <c r="AT8" t="s">
        <v>63</v>
      </c>
      <c r="AU8" t="s">
        <v>1362</v>
      </c>
      <c r="AV8" t="s">
        <v>1289</v>
      </c>
      <c r="AW8" t="s">
        <v>1918</v>
      </c>
      <c r="AX8" t="s">
        <v>1440</v>
      </c>
      <c r="AY8" t="s">
        <v>1117</v>
      </c>
      <c r="AZ8" t="s">
        <v>707</v>
      </c>
      <c r="BA8" t="s">
        <v>232</v>
      </c>
      <c r="BB8" t="s">
        <v>708</v>
      </c>
      <c r="BC8" t="s">
        <v>554</v>
      </c>
      <c r="BD8" t="s">
        <v>380</v>
      </c>
      <c r="BE8" t="s">
        <v>497</v>
      </c>
      <c r="BF8" t="s">
        <v>233</v>
      </c>
      <c r="BG8" t="s">
        <v>709</v>
      </c>
      <c r="BH8" t="s">
        <v>1919</v>
      </c>
      <c r="BI8" t="s">
        <v>840</v>
      </c>
      <c r="BJ8" t="s">
        <v>1440</v>
      </c>
      <c r="BK8" t="s">
        <v>1759</v>
      </c>
      <c r="BL8" t="s">
        <v>3823</v>
      </c>
      <c r="BM8" t="s">
        <v>554</v>
      </c>
      <c r="BN8" t="s">
        <v>63</v>
      </c>
      <c r="BO8">
        <v>2.09</v>
      </c>
      <c r="BP8">
        <v>2.2799999999999998</v>
      </c>
      <c r="BQ8">
        <v>-2.56</v>
      </c>
      <c r="BR8">
        <v>2.13</v>
      </c>
      <c r="BS8">
        <v>2.48</v>
      </c>
      <c r="BT8" t="s">
        <v>1409</v>
      </c>
      <c r="BU8" t="s">
        <v>1830</v>
      </c>
      <c r="BV8">
        <v>60.19</v>
      </c>
      <c r="BW8">
        <v>59.72</v>
      </c>
      <c r="BX8">
        <v>59.41</v>
      </c>
      <c r="BY8">
        <v>-11.89</v>
      </c>
      <c r="BZ8">
        <v>5.79</v>
      </c>
      <c r="CA8">
        <v>6.75</v>
      </c>
      <c r="CB8">
        <v>10.14</v>
      </c>
      <c r="CC8">
        <v>-8.08</v>
      </c>
      <c r="CD8" t="s">
        <v>3824</v>
      </c>
      <c r="CE8" t="s">
        <v>602</v>
      </c>
      <c r="CF8" s="9">
        <v>-0.1002132196162048</v>
      </c>
      <c r="CG8" s="10">
        <v>-1.1917351857879124</v>
      </c>
      <c r="CH8" s="9">
        <v>-0.11826137453317642</v>
      </c>
      <c r="CI8" s="9">
        <v>5.6980926543474197E-2</v>
      </c>
      <c r="CJ8" s="9">
        <v>-0.41234222054481506</v>
      </c>
      <c r="CK8" s="9">
        <v>-0.19560003280639648</v>
      </c>
      <c r="CL8" s="9">
        <v>0.12555548548698425</v>
      </c>
      <c r="CM8" s="10">
        <v>-2.8097560405731201</v>
      </c>
      <c r="CN8" s="10">
        <v>-0.10869564861059189</v>
      </c>
      <c r="CO8" s="10">
        <v>-0.42500001192092896</v>
      </c>
      <c r="CP8" s="10">
        <v>-2.4937656708061695E-3</v>
      </c>
      <c r="CQ8" s="10">
        <v>-0.17319588363170624</v>
      </c>
      <c r="CR8">
        <v>25.056842222222222</v>
      </c>
      <c r="CS8">
        <v>2.3044282873362003</v>
      </c>
      <c r="CT8">
        <v>0</v>
      </c>
      <c r="CU8" s="9">
        <v>-0.1087334431707859</v>
      </c>
      <c r="CV8" s="10">
        <v>-0.70382827008143067</v>
      </c>
      <c r="CW8">
        <v>0.06</v>
      </c>
      <c r="CX8" t="s">
        <v>1807</v>
      </c>
      <c r="CY8" t="s">
        <v>1282</v>
      </c>
      <c r="CZ8">
        <v>-0.1087334431707859</v>
      </c>
      <c r="DA8" t="s">
        <v>1807</v>
      </c>
      <c r="DB8" t="s">
        <v>1283</v>
      </c>
      <c r="DC8">
        <v>-0.1032967710122466</v>
      </c>
      <c r="DD8" t="s">
        <v>1807</v>
      </c>
      <c r="DE8" t="s">
        <v>1283</v>
      </c>
      <c r="DF8">
        <v>-9.5685429990291587E-2</v>
      </c>
      <c r="DG8" t="s">
        <v>1807</v>
      </c>
      <c r="DH8" t="s">
        <v>1283</v>
      </c>
      <c r="DI8">
        <v>-8.6986754536628727E-2</v>
      </c>
      <c r="DJ8" t="s">
        <v>1807</v>
      </c>
      <c r="DK8" t="s">
        <v>1283</v>
      </c>
      <c r="DL8">
        <v>-7.6113410219550121E-2</v>
      </c>
      <c r="DM8">
        <v>-371000000</v>
      </c>
      <c r="DN8">
        <v>-0.1087334431707859</v>
      </c>
      <c r="DO8">
        <v>-1938210500</v>
      </c>
      <c r="DP8">
        <v>2713382400</v>
      </c>
      <c r="DQ8">
        <v>720</v>
      </c>
      <c r="DR8">
        <v>8.5202235545810967E-3</v>
      </c>
      <c r="DS8">
        <v>-0.4879069157064817</v>
      </c>
      <c r="DT8" s="11">
        <v>-0.69</v>
      </c>
      <c r="DU8">
        <v>-1.8816666666666668</v>
      </c>
      <c r="DV8">
        <v>-2.5716666666666668</v>
      </c>
      <c r="DW8">
        <v>5.7968441814595657</v>
      </c>
      <c r="DX8">
        <v>0.50809337748344119</v>
      </c>
      <c r="DY8">
        <v>5.1180073461603772</v>
      </c>
      <c r="DZ8">
        <v>4692</v>
      </c>
      <c r="EA8">
        <v>5.0096106217703049</v>
      </c>
      <c r="EB8">
        <v>5</v>
      </c>
      <c r="EC8">
        <v>7.5838828051504645E-2</v>
      </c>
      <c r="ED8">
        <v>0.51210141425792755</v>
      </c>
      <c r="EE8" s="12">
        <v>-4.0193099999999999</v>
      </c>
      <c r="EF8">
        <v>-4.0221</v>
      </c>
      <c r="EG8">
        <v>36.148093377483441</v>
      </c>
      <c r="EH8" t="s">
        <v>1719</v>
      </c>
      <c r="EI8">
        <v>1</v>
      </c>
      <c r="EJ8">
        <v>0</v>
      </c>
      <c r="EK8" s="14">
        <v>45504</v>
      </c>
      <c r="EL8" s="15">
        <v>-2.0299999999999998</v>
      </c>
      <c r="EM8" s="15">
        <v>0.92</v>
      </c>
      <c r="EN8" s="15">
        <v>1.83</v>
      </c>
      <c r="EO8" s="15">
        <v>0.9</v>
      </c>
      <c r="EP8" s="15">
        <v>4.1399999999999997</v>
      </c>
    </row>
    <row r="9" spans="1:146" ht="96" x14ac:dyDescent="0.25">
      <c r="A9" s="7"/>
      <c r="B9" s="7"/>
      <c r="C9" s="7" t="str">
        <f>""&amp;CHAR(10)&amp;Basic_Fundamental_Information_Constructure(F9)&amp;CHAR(10)&amp;Basic_Fundamental_Information_Concatenate("")</f>
        <v xml:space="preserve">
市值918.22082亿, 利润6.57亿; PE221.4; 平均PE100.19; 平均PEG4.8, PB5.5; ROIC5.86%; ROE4.97%; 股利率.2518%; 毛利41.54%; 净利4.8567%; 上一年度营收增4.41%, 利润增17.11%; 当季营收增26.25%, 利润增-625.45%; 过往5年营收增20.86%, 利润增16.98%
Income profile:
</v>
      </c>
      <c r="D9" t="s">
        <v>86</v>
      </c>
      <c r="E9" t="s">
        <v>11</v>
      </c>
      <c r="F9">
        <v>39.72</v>
      </c>
      <c r="G9">
        <v>2.48</v>
      </c>
      <c r="H9" t="s">
        <v>3825</v>
      </c>
      <c r="I9">
        <v>91822082000</v>
      </c>
      <c r="J9">
        <v>221.4</v>
      </c>
      <c r="K9">
        <v>5.5</v>
      </c>
      <c r="L9" t="s">
        <v>1277</v>
      </c>
      <c r="M9" t="s">
        <v>1920</v>
      </c>
      <c r="N9" t="s">
        <v>1921</v>
      </c>
      <c r="O9" t="s">
        <v>1922</v>
      </c>
      <c r="P9">
        <v>26.27</v>
      </c>
      <c r="Q9" t="s">
        <v>1937</v>
      </c>
      <c r="R9">
        <v>-420000000</v>
      </c>
      <c r="S9" s="5">
        <v>-4.1900000000000004</v>
      </c>
      <c r="T9" t="s">
        <v>1003</v>
      </c>
      <c r="U9">
        <v>2184485900</v>
      </c>
      <c r="V9">
        <v>2311734200</v>
      </c>
      <c r="W9">
        <v>2.14</v>
      </c>
      <c r="X9">
        <v>0.1</v>
      </c>
      <c r="Y9">
        <v>-9.52</v>
      </c>
      <c r="Z9" t="s">
        <v>1923</v>
      </c>
      <c r="AA9" t="s">
        <v>1924</v>
      </c>
      <c r="AB9" t="s">
        <v>866</v>
      </c>
      <c r="AC9" t="s">
        <v>558</v>
      </c>
      <c r="AD9" t="s">
        <v>63</v>
      </c>
      <c r="AE9">
        <v>34546033</v>
      </c>
      <c r="AF9" t="s">
        <v>1925</v>
      </c>
      <c r="AG9" t="s">
        <v>1926</v>
      </c>
      <c r="AH9" t="s">
        <v>1927</v>
      </c>
      <c r="AI9" t="s">
        <v>1928</v>
      </c>
      <c r="AJ9" t="s">
        <v>1929</v>
      </c>
      <c r="AK9" t="s">
        <v>552</v>
      </c>
      <c r="AL9" t="s">
        <v>1930</v>
      </c>
      <c r="AM9" t="s">
        <v>63</v>
      </c>
      <c r="AN9" t="s">
        <v>678</v>
      </c>
      <c r="AO9" t="s">
        <v>204</v>
      </c>
      <c r="AP9" t="s">
        <v>1931</v>
      </c>
      <c r="AQ9" t="s">
        <v>1932</v>
      </c>
      <c r="AR9" t="s">
        <v>63</v>
      </c>
      <c r="AS9" t="s">
        <v>1933</v>
      </c>
      <c r="AT9" t="s">
        <v>1934</v>
      </c>
      <c r="AU9" t="s">
        <v>1935</v>
      </c>
      <c r="AV9" t="s">
        <v>1936</v>
      </c>
      <c r="AW9" t="s">
        <v>596</v>
      </c>
      <c r="AX9" t="s">
        <v>1441</v>
      </c>
      <c r="AY9" t="s">
        <v>1118</v>
      </c>
      <c r="AZ9" t="s">
        <v>712</v>
      </c>
      <c r="BA9" t="s">
        <v>239</v>
      </c>
      <c r="BB9" t="s">
        <v>713</v>
      </c>
      <c r="BC9" t="s">
        <v>887</v>
      </c>
      <c r="BD9" t="s">
        <v>1085</v>
      </c>
      <c r="BE9" t="s">
        <v>678</v>
      </c>
      <c r="BF9" t="s">
        <v>240</v>
      </c>
      <c r="BG9" t="s">
        <v>471</v>
      </c>
      <c r="BH9" t="s">
        <v>1937</v>
      </c>
      <c r="BI9" t="s">
        <v>3826</v>
      </c>
      <c r="BJ9" t="s">
        <v>1441</v>
      </c>
      <c r="BK9" t="s">
        <v>1003</v>
      </c>
      <c r="BL9" t="s">
        <v>3827</v>
      </c>
      <c r="BM9" t="s">
        <v>887</v>
      </c>
      <c r="BN9" t="s">
        <v>63</v>
      </c>
      <c r="BO9">
        <v>1.92</v>
      </c>
      <c r="BP9">
        <v>9.8000000000000007</v>
      </c>
      <c r="BQ9">
        <v>0.6</v>
      </c>
      <c r="BR9">
        <v>3.38</v>
      </c>
      <c r="BS9">
        <v>10.93</v>
      </c>
      <c r="BT9" t="s">
        <v>1410</v>
      </c>
      <c r="BU9" t="s">
        <v>1830</v>
      </c>
      <c r="BV9">
        <v>42.66</v>
      </c>
      <c r="BW9">
        <v>40.83</v>
      </c>
      <c r="BX9">
        <v>41.13</v>
      </c>
      <c r="BY9">
        <v>3.12</v>
      </c>
      <c r="BZ9">
        <v>2.65</v>
      </c>
      <c r="CA9">
        <v>8.8000000000000007</v>
      </c>
      <c r="CB9">
        <v>3.6</v>
      </c>
      <c r="CC9">
        <v>-7.5</v>
      </c>
      <c r="CD9" t="s">
        <v>3828</v>
      </c>
      <c r="CE9" t="s">
        <v>3829</v>
      </c>
      <c r="CF9" s="9">
        <v>0.26246537396121883</v>
      </c>
      <c r="CG9" s="10">
        <v>-6.2544748882897228</v>
      </c>
      <c r="CH9" s="9">
        <v>4.4102080166339874E-2</v>
      </c>
      <c r="CI9" s="9">
        <v>2.7629099786281586E-2</v>
      </c>
      <c r="CJ9" s="9">
        <v>0.40606522560119629</v>
      </c>
      <c r="CK9" s="9">
        <v>0.29229101538658142</v>
      </c>
      <c r="CL9" s="9">
        <v>0.2730831503868103</v>
      </c>
      <c r="CM9" s="10">
        <v>0.17112299799919128</v>
      </c>
      <c r="CN9" s="10">
        <v>-0.63946014642715454</v>
      </c>
      <c r="CO9" s="10">
        <v>0.14076246321201324</v>
      </c>
      <c r="CP9" s="10">
        <v>0.66544568538665771</v>
      </c>
      <c r="CQ9" s="10">
        <v>0.5110701322555542</v>
      </c>
      <c r="CR9">
        <v>100.18775995635571</v>
      </c>
      <c r="CS9">
        <v>4.8020794829789146</v>
      </c>
      <c r="CT9">
        <v>0.25176233635448136</v>
      </c>
      <c r="CU9" s="9">
        <v>0.2086341142654419</v>
      </c>
      <c r="CV9" s="10">
        <v>0.16978822648525238</v>
      </c>
      <c r="CW9">
        <v>0.06</v>
      </c>
      <c r="CX9">
        <v>126.19531925711189</v>
      </c>
      <c r="CY9">
        <v>749125106.67207098</v>
      </c>
      <c r="CZ9">
        <v>0.2086341142654419</v>
      </c>
      <c r="DA9">
        <v>37.350013934557786</v>
      </c>
      <c r="DB9">
        <v>2531085588.4991059</v>
      </c>
      <c r="DC9">
        <v>0.19820240855216981</v>
      </c>
      <c r="DD9">
        <v>16.016272135803636</v>
      </c>
      <c r="DE9">
        <v>5902502230.1331263</v>
      </c>
      <c r="DF9">
        <v>0.18359802055358887</v>
      </c>
      <c r="DG9">
        <v>8.1677193530768175</v>
      </c>
      <c r="DH9">
        <v>11574354836.811064</v>
      </c>
      <c r="DI9">
        <v>0.16690729141235353</v>
      </c>
      <c r="DJ9">
        <v>2.8706650777974838</v>
      </c>
      <c r="DK9">
        <v>32931769968.976234</v>
      </c>
      <c r="DL9">
        <v>0.14604387998580931</v>
      </c>
      <c r="DM9">
        <v>657000000</v>
      </c>
      <c r="DN9">
        <v>0.2086341142654419</v>
      </c>
      <c r="DO9">
        <v>94536082000</v>
      </c>
      <c r="DP9">
        <v>8352546000</v>
      </c>
      <c r="DQ9">
        <v>737</v>
      </c>
      <c r="DR9">
        <v>5.3831259695776928E-2</v>
      </c>
      <c r="DS9">
        <v>-6.4242631147749751</v>
      </c>
      <c r="DT9" s="11">
        <v>-9.000000000000008E-2</v>
      </c>
      <c r="DU9">
        <v>-0.69833333333333336</v>
      </c>
      <c r="DV9">
        <v>-0.78833333333333344</v>
      </c>
      <c r="DW9">
        <v>6.3243243243243246</v>
      </c>
      <c r="DX9">
        <v>0.59624890426758981</v>
      </c>
      <c r="DY9">
        <v>6.0312158608435427</v>
      </c>
      <c r="DZ9">
        <v>3381</v>
      </c>
      <c r="EA9">
        <v>6.0105539921058728</v>
      </c>
      <c r="EB9">
        <v>6</v>
      </c>
      <c r="EC9">
        <v>3.609748906254015E-2</v>
      </c>
      <c r="ED9">
        <v>0.37504311698118237</v>
      </c>
      <c r="EE9" s="12">
        <v>4.5710000000000008E-2</v>
      </c>
      <c r="EF9">
        <v>2.0909999999999998E-2</v>
      </c>
      <c r="EG9">
        <v>50.09624890426759</v>
      </c>
      <c r="EH9">
        <v>-1</v>
      </c>
      <c r="EI9">
        <v>0</v>
      </c>
      <c r="EJ9">
        <v>0</v>
      </c>
      <c r="EK9" s="14">
        <v>45504</v>
      </c>
      <c r="EL9" s="15">
        <v>-0.62</v>
      </c>
      <c r="EM9" s="15">
        <v>0.21</v>
      </c>
      <c r="EN9" s="15">
        <v>0.62</v>
      </c>
      <c r="EO9" s="15">
        <v>-0.13</v>
      </c>
      <c r="EP9" s="15">
        <v>2.48</v>
      </c>
    </row>
    <row r="10" spans="1:146" ht="96" hidden="1" x14ac:dyDescent="0.25">
      <c r="A10" s="7"/>
      <c r="B10" s="7"/>
      <c r="C10" s="7" t="str">
        <f>""&amp;CHAR(10)&amp;Basic_Fundamental_Information_Constructure(F10)&amp;CHAR(10)&amp;Basic_Fundamental_Information_Concatenate("")</f>
        <v xml:space="preserve">
市值24.480431亿, 利润-1.72亿; PE; 平均PE-479.49; 平均PEG-42.95, PB2.05; ROIC1.6%; ROE-1.42%; 股利率0%; 毛利16.1567%; 净利-40.7733%; 上一年度营收增-26.83%, 利润增-196.87%; 当季营收增-26.43%, 利润增-1470.33%; 过往5年营收增-11.16%, 利润增-112.98%
Income profile:
</v>
      </c>
      <c r="D10" t="s">
        <v>118</v>
      </c>
      <c r="E10" t="s">
        <v>28</v>
      </c>
      <c r="F10">
        <v>10.85</v>
      </c>
      <c r="G10">
        <v>6.06</v>
      </c>
      <c r="H10" t="s">
        <v>3830</v>
      </c>
      <c r="I10">
        <v>2448043100</v>
      </c>
      <c r="K10">
        <v>2.0499999999999998</v>
      </c>
      <c r="L10" t="s">
        <v>1277</v>
      </c>
      <c r="M10" t="s">
        <v>242</v>
      </c>
      <c r="N10" t="s">
        <v>1356</v>
      </c>
      <c r="O10" t="s">
        <v>1938</v>
      </c>
      <c r="P10">
        <v>-26.43</v>
      </c>
      <c r="Q10" t="s">
        <v>262</v>
      </c>
      <c r="R10">
        <v>-20000000</v>
      </c>
      <c r="S10" s="5">
        <v>-6.516</v>
      </c>
      <c r="T10" t="s">
        <v>720</v>
      </c>
      <c r="U10">
        <v>207178100</v>
      </c>
      <c r="V10">
        <v>225626100</v>
      </c>
      <c r="W10">
        <v>1.26</v>
      </c>
      <c r="X10">
        <v>0.02</v>
      </c>
      <c r="Y10">
        <v>-29.1</v>
      </c>
      <c r="Z10" t="s">
        <v>1939</v>
      </c>
      <c r="AA10" t="s">
        <v>1940</v>
      </c>
      <c r="AB10" t="s">
        <v>1941</v>
      </c>
      <c r="AC10" t="s">
        <v>1942</v>
      </c>
      <c r="AD10" t="s">
        <v>63</v>
      </c>
      <c r="AE10">
        <v>1005572</v>
      </c>
      <c r="AF10" t="s">
        <v>1943</v>
      </c>
      <c r="AG10" t="s">
        <v>1944</v>
      </c>
      <c r="AH10" t="s">
        <v>1945</v>
      </c>
      <c r="AI10" t="s">
        <v>182</v>
      </c>
      <c r="AJ10" t="s">
        <v>1946</v>
      </c>
      <c r="AK10" t="s">
        <v>1947</v>
      </c>
      <c r="AL10" t="s">
        <v>1948</v>
      </c>
      <c r="AM10" t="s">
        <v>63</v>
      </c>
      <c r="AN10" t="s">
        <v>1949</v>
      </c>
      <c r="AO10" t="s">
        <v>1950</v>
      </c>
      <c r="AP10" t="s">
        <v>1951</v>
      </c>
      <c r="AQ10" t="s">
        <v>1952</v>
      </c>
      <c r="AR10" t="s">
        <v>1953</v>
      </c>
      <c r="AS10" t="s">
        <v>794</v>
      </c>
      <c r="AT10" t="s">
        <v>1954</v>
      </c>
      <c r="AU10" t="s">
        <v>1955</v>
      </c>
      <c r="AV10" t="s">
        <v>1956</v>
      </c>
      <c r="AW10" t="s">
        <v>1957</v>
      </c>
      <c r="AX10" t="s">
        <v>355</v>
      </c>
      <c r="AY10" t="s">
        <v>310</v>
      </c>
      <c r="AZ10" t="s">
        <v>625</v>
      </c>
      <c r="BA10" t="s">
        <v>250</v>
      </c>
      <c r="BB10" t="s">
        <v>407</v>
      </c>
      <c r="BC10" t="s">
        <v>1443</v>
      </c>
      <c r="BD10" t="s">
        <v>1120</v>
      </c>
      <c r="BE10" t="s">
        <v>716</v>
      </c>
      <c r="BF10" t="s">
        <v>251</v>
      </c>
      <c r="BG10" t="s">
        <v>717</v>
      </c>
      <c r="BH10" t="s">
        <v>262</v>
      </c>
      <c r="BI10" t="s">
        <v>3831</v>
      </c>
      <c r="BJ10" t="s">
        <v>355</v>
      </c>
      <c r="BK10" t="s">
        <v>720</v>
      </c>
      <c r="BL10" t="s">
        <v>3832</v>
      </c>
      <c r="BM10" t="s">
        <v>1443</v>
      </c>
      <c r="BN10" t="s">
        <v>63</v>
      </c>
      <c r="BO10" t="s">
        <v>63</v>
      </c>
      <c r="BP10">
        <v>1.6</v>
      </c>
      <c r="BQ10">
        <v>-1.89</v>
      </c>
      <c r="BR10">
        <v>-4.13</v>
      </c>
      <c r="BS10">
        <v>1.76</v>
      </c>
      <c r="BT10" t="s">
        <v>1409</v>
      </c>
      <c r="BU10" t="s">
        <v>1848</v>
      </c>
      <c r="BV10">
        <v>4.2300000000000004</v>
      </c>
      <c r="BW10">
        <v>14.85</v>
      </c>
      <c r="BX10">
        <v>29.39</v>
      </c>
      <c r="BY10">
        <v>-105.52</v>
      </c>
      <c r="BZ10">
        <v>-24.88</v>
      </c>
      <c r="CA10">
        <v>8.08</v>
      </c>
      <c r="CB10">
        <v>8.5</v>
      </c>
      <c r="CC10">
        <v>-5.82</v>
      </c>
      <c r="CD10" t="s">
        <v>3833</v>
      </c>
      <c r="CE10" t="s">
        <v>324</v>
      </c>
      <c r="CF10" s="9">
        <v>-0.26434413384678696</v>
      </c>
      <c r="CG10" s="10">
        <v>-14.703323055841041</v>
      </c>
      <c r="CH10" s="9">
        <v>-0.26829269528388977</v>
      </c>
      <c r="CI10" s="9">
        <v>-0.1827242523431778</v>
      </c>
      <c r="CJ10" s="9">
        <v>-0.15686275064945221</v>
      </c>
      <c r="CK10" s="9">
        <v>4.0816325694322586E-2</v>
      </c>
      <c r="CL10" s="9">
        <v>8.8235298171639442E-3</v>
      </c>
      <c r="CM10" s="10">
        <v>-1.9687008857727051</v>
      </c>
      <c r="CN10" s="10">
        <v>-3.2982800006866455</v>
      </c>
      <c r="CO10" s="10">
        <v>-0.62590795755386353</v>
      </c>
      <c r="CP10" s="10">
        <v>0.30174002051353455</v>
      </c>
      <c r="CQ10" s="10">
        <v>-5.7758636772632599E-2</v>
      </c>
      <c r="CR10">
        <v>-479.49448303778951</v>
      </c>
      <c r="CS10">
        <v>-42.946995744946484</v>
      </c>
      <c r="CT10">
        <v>0</v>
      </c>
      <c r="CU10" s="9">
        <v>-0.11164796855300665</v>
      </c>
      <c r="CV10" s="10">
        <v>-1.1297814920544624</v>
      </c>
      <c r="CW10">
        <v>0.06</v>
      </c>
      <c r="CX10" t="e">
        <v>#VALUE!</v>
      </c>
      <c r="CY10" t="s">
        <v>1282</v>
      </c>
      <c r="CZ10">
        <v>-0.11164796855300665</v>
      </c>
      <c r="DA10" t="e">
        <v>#VALUE!</v>
      </c>
      <c r="DB10" t="s">
        <v>1283</v>
      </c>
      <c r="DC10">
        <v>-0.10606557012535632</v>
      </c>
      <c r="DD10" t="e">
        <v>#VALUE!</v>
      </c>
      <c r="DE10" t="s">
        <v>1283</v>
      </c>
      <c r="DF10">
        <v>-9.8250212326645853E-2</v>
      </c>
      <c r="DG10" t="e">
        <v>#VALUE!</v>
      </c>
      <c r="DH10" t="s">
        <v>1283</v>
      </c>
      <c r="DI10">
        <v>-8.9318374842405332E-2</v>
      </c>
      <c r="DJ10" t="e">
        <v>#VALUE!</v>
      </c>
      <c r="DK10" t="s">
        <v>1283</v>
      </c>
      <c r="DL10">
        <v>-7.815357798710465E-2</v>
      </c>
      <c r="DM10">
        <v>-172000000</v>
      </c>
      <c r="DN10">
        <v>-0.11164796855300665</v>
      </c>
      <c r="DO10">
        <v>1539043100</v>
      </c>
      <c r="DP10">
        <v>345570500</v>
      </c>
      <c r="DQ10">
        <v>760</v>
      </c>
      <c r="DR10">
        <v>-0.1526961652937803</v>
      </c>
      <c r="DS10">
        <v>-13.573541563786579</v>
      </c>
      <c r="DT10" s="11">
        <v>-0.89</v>
      </c>
      <c r="DU10">
        <v>-2.5150000000000001</v>
      </c>
      <c r="DV10">
        <v>-3.4050000000000002</v>
      </c>
      <c r="DW10">
        <v>5.6847058823529411</v>
      </c>
      <c r="DX10">
        <v>0.85609377682403021</v>
      </c>
      <c r="DY10">
        <v>5.0794900918959858</v>
      </c>
      <c r="DZ10">
        <v>4999</v>
      </c>
      <c r="EA10">
        <v>5.0016962451089784</v>
      </c>
      <c r="EB10">
        <v>5</v>
      </c>
      <c r="EC10">
        <v>0.23977589472139971</v>
      </c>
      <c r="ED10">
        <v>2.0653638918547101</v>
      </c>
      <c r="EE10" s="12">
        <v>-2.0064000000000002</v>
      </c>
      <c r="EF10">
        <v>-2.0670000000000002</v>
      </c>
      <c r="EG10">
        <v>74.11609377682403</v>
      </c>
      <c r="EH10" t="s">
        <v>1431</v>
      </c>
      <c r="EI10">
        <v>1</v>
      </c>
      <c r="EJ10">
        <v>0</v>
      </c>
      <c r="EK10" s="14">
        <v>45504</v>
      </c>
      <c r="EL10" s="15">
        <v>-0.7</v>
      </c>
      <c r="EM10" s="15">
        <v>-1.1000000000000001</v>
      </c>
      <c r="EN10" s="15">
        <v>1.31</v>
      </c>
      <c r="EO10" s="15">
        <v>2.59</v>
      </c>
      <c r="EP10" s="15">
        <v>6.06</v>
      </c>
    </row>
    <row r="11" spans="1:146" ht="96" hidden="1" x14ac:dyDescent="0.25">
      <c r="A11" s="7"/>
      <c r="B11" s="7"/>
      <c r="C11" s="7" t="str">
        <f>""&amp;CHAR(10)&amp;Basic_Fundamental_Information_Constructure(F11)&amp;CHAR(10)&amp;Basic_Fundamental_Information_Concatenate("")</f>
        <v xml:space="preserve">
市值135.14736亿, 利润4496.31万; PE1469; 平均PE-37.08; 平均PEG-1.6, PB5.27; ROIC2.44%; ROE-9.29%; 股利率0%; 毛利25.3933%; 净利-13.05%; 上一年度营收增40.99%, 利润增104.44%; 当季营收增16.81%, 利润增-88.04%; 过往5年营收增23.16%, 利润增-186.88%
Income profile:
</v>
      </c>
      <c r="D11" t="s">
        <v>1121</v>
      </c>
      <c r="E11" t="s">
        <v>1122</v>
      </c>
      <c r="F11">
        <v>10.76</v>
      </c>
      <c r="G11">
        <v>3.76</v>
      </c>
      <c r="H11" t="s">
        <v>3834</v>
      </c>
      <c r="I11">
        <v>13514736000</v>
      </c>
      <c r="J11">
        <v>1469</v>
      </c>
      <c r="K11">
        <v>5.27</v>
      </c>
      <c r="L11" t="s">
        <v>1277</v>
      </c>
      <c r="M11" t="s">
        <v>1958</v>
      </c>
      <c r="N11" t="s">
        <v>1959</v>
      </c>
      <c r="O11" t="s">
        <v>1750</v>
      </c>
      <c r="P11">
        <v>16.71</v>
      </c>
      <c r="Q11" t="s">
        <v>656</v>
      </c>
      <c r="R11">
        <v>5000000</v>
      </c>
      <c r="S11" s="5">
        <v>-0.85529999999999995</v>
      </c>
      <c r="T11" t="s">
        <v>1973</v>
      </c>
      <c r="U11">
        <v>1125431870</v>
      </c>
      <c r="V11">
        <v>1256016320</v>
      </c>
      <c r="W11">
        <v>1.96</v>
      </c>
      <c r="X11">
        <v>0.15</v>
      </c>
      <c r="Y11">
        <v>0.44</v>
      </c>
      <c r="Z11" t="s">
        <v>240</v>
      </c>
      <c r="AA11" t="s">
        <v>366</v>
      </c>
      <c r="AB11" t="s">
        <v>1960</v>
      </c>
      <c r="AC11" t="s">
        <v>1961</v>
      </c>
      <c r="AD11" t="s">
        <v>63</v>
      </c>
      <c r="AE11">
        <v>7017324</v>
      </c>
      <c r="AF11" t="s">
        <v>1962</v>
      </c>
      <c r="AG11" t="s">
        <v>1963</v>
      </c>
      <c r="AH11" t="s">
        <v>1964</v>
      </c>
      <c r="AI11" t="s">
        <v>585</v>
      </c>
      <c r="AJ11" t="s">
        <v>1965</v>
      </c>
      <c r="AK11" t="s">
        <v>1966</v>
      </c>
      <c r="AL11" t="s">
        <v>1967</v>
      </c>
      <c r="AM11" t="s">
        <v>63</v>
      </c>
      <c r="AN11">
        <v>0</v>
      </c>
      <c r="AO11" t="s">
        <v>1968</v>
      </c>
      <c r="AP11" t="s">
        <v>1969</v>
      </c>
      <c r="AQ11" t="s">
        <v>455</v>
      </c>
      <c r="AR11" t="s">
        <v>63</v>
      </c>
      <c r="AS11" t="s">
        <v>1734</v>
      </c>
      <c r="AT11" t="s">
        <v>645</v>
      </c>
      <c r="AU11" t="s">
        <v>1970</v>
      </c>
      <c r="AV11" t="s">
        <v>1971</v>
      </c>
      <c r="AW11" t="s">
        <v>1972</v>
      </c>
      <c r="AX11" t="s">
        <v>1054</v>
      </c>
      <c r="AY11" t="s">
        <v>1123</v>
      </c>
      <c r="AZ11" t="s">
        <v>718</v>
      </c>
      <c r="BA11" t="s">
        <v>1125</v>
      </c>
      <c r="BB11" t="s">
        <v>1126</v>
      </c>
      <c r="BC11" t="s">
        <v>1691</v>
      </c>
      <c r="BD11" t="s">
        <v>1694</v>
      </c>
      <c r="BE11" t="s">
        <v>1695</v>
      </c>
      <c r="BF11" t="s">
        <v>1696</v>
      </c>
      <c r="BG11" t="s">
        <v>1697</v>
      </c>
      <c r="BH11" t="s">
        <v>656</v>
      </c>
      <c r="BI11" t="s">
        <v>236</v>
      </c>
      <c r="BJ11" t="s">
        <v>1054</v>
      </c>
      <c r="BK11" t="s">
        <v>1973</v>
      </c>
      <c r="BL11" t="s">
        <v>3835</v>
      </c>
      <c r="BM11" t="s">
        <v>1691</v>
      </c>
      <c r="BN11">
        <v>1.85</v>
      </c>
      <c r="BO11" t="s">
        <v>63</v>
      </c>
      <c r="BP11">
        <v>3.03</v>
      </c>
      <c r="BQ11">
        <v>2.87</v>
      </c>
      <c r="BR11">
        <v>-33.69</v>
      </c>
      <c r="BS11">
        <v>2.95</v>
      </c>
      <c r="BT11" t="s">
        <v>1409</v>
      </c>
      <c r="BU11" t="s">
        <v>1848</v>
      </c>
      <c r="BV11">
        <v>20.52</v>
      </c>
      <c r="BW11">
        <v>23.92</v>
      </c>
      <c r="BX11">
        <v>31.74</v>
      </c>
      <c r="BY11">
        <v>1.51</v>
      </c>
      <c r="BZ11">
        <v>-45.1</v>
      </c>
      <c r="CA11">
        <v>4.4400000000000004</v>
      </c>
      <c r="CB11">
        <v>4.47</v>
      </c>
      <c r="CC11">
        <v>-11.88</v>
      </c>
      <c r="CD11" t="s">
        <v>228</v>
      </c>
      <c r="CE11" t="s">
        <v>3836</v>
      </c>
      <c r="CF11" s="9">
        <v>0.16810344827586224</v>
      </c>
      <c r="CG11" s="10">
        <v>-0.88042968787365727</v>
      </c>
      <c r="CH11" s="9">
        <v>0.40992400050163269</v>
      </c>
      <c r="CI11" s="9">
        <v>3.1389272771775723E-3</v>
      </c>
      <c r="CJ11" s="9">
        <v>0.49764958024024963</v>
      </c>
      <c r="CK11" s="9">
        <v>0.2008063942193985</v>
      </c>
      <c r="CL11" s="9">
        <v>4.6413559466600418E-2</v>
      </c>
      <c r="CM11" s="10">
        <v>1.0443860292434692</v>
      </c>
      <c r="CN11" s="10">
        <v>-13.375178337097168</v>
      </c>
      <c r="CO11" s="10">
        <v>0.80980724096298218</v>
      </c>
      <c r="CP11" s="10">
        <v>1.1619170904159546</v>
      </c>
      <c r="CQ11" s="10">
        <v>1.0153044462203979</v>
      </c>
      <c r="CR11">
        <v>-37.076983545343992</v>
      </c>
      <c r="CS11">
        <v>-1.6009994007227344</v>
      </c>
      <c r="CT11">
        <v>0</v>
      </c>
      <c r="CU11" s="9">
        <v>0.23158649234101175</v>
      </c>
      <c r="CV11" s="10">
        <v>-1.8687527060508728</v>
      </c>
      <c r="CW11">
        <v>0.06</v>
      </c>
      <c r="CX11">
        <v>256.0367998562084</v>
      </c>
      <c r="CY11">
        <v>52241459.069602035</v>
      </c>
      <c r="CZ11">
        <v>0.23158649234101175</v>
      </c>
      <c r="DA11">
        <v>74.365342968283628</v>
      </c>
      <c r="DB11">
        <v>179865182.7062059</v>
      </c>
      <c r="DC11">
        <v>0.22000716772396114</v>
      </c>
      <c r="DD11">
        <v>31.027507463276336</v>
      </c>
      <c r="DE11">
        <v>431092829.99387908</v>
      </c>
      <c r="DF11">
        <v>0.20379611326009034</v>
      </c>
      <c r="DG11">
        <v>15.294246919106035</v>
      </c>
      <c r="DH11">
        <v>874559961.71283376</v>
      </c>
      <c r="DI11">
        <v>0.18526919387280941</v>
      </c>
      <c r="DJ11">
        <v>4.9387136806667717</v>
      </c>
      <c r="DK11">
        <v>2708344088.1298776</v>
      </c>
      <c r="DL11">
        <v>0.16211054463870822</v>
      </c>
      <c r="DM11">
        <v>44963100.000000007</v>
      </c>
      <c r="DN11">
        <v>0.23158649234101175</v>
      </c>
      <c r="DO11">
        <v>13375736000</v>
      </c>
      <c r="DP11">
        <v>1890941699.9999998</v>
      </c>
      <c r="DQ11">
        <v>766</v>
      </c>
      <c r="DR11">
        <v>-6.3483044065149513E-2</v>
      </c>
      <c r="DS11">
        <v>0.98832301817721557</v>
      </c>
      <c r="DT11" s="11">
        <v>-2.3333333333333355E-2</v>
      </c>
      <c r="DU11">
        <v>-0.12333333333333348</v>
      </c>
      <c r="DV11">
        <v>-0.14666666666666683</v>
      </c>
      <c r="DW11">
        <v>6.2733944954128438</v>
      </c>
      <c r="DX11">
        <v>0.58128834355828185</v>
      </c>
      <c r="DY11">
        <v>6.0358935104407045</v>
      </c>
      <c r="DZ11">
        <v>2152</v>
      </c>
      <c r="EA11">
        <v>6.0207715773028037</v>
      </c>
      <c r="EB11">
        <v>6</v>
      </c>
      <c r="EC11">
        <v>8.5189975875472695E-2</v>
      </c>
      <c r="ED11">
        <v>0.64887691905149769</v>
      </c>
      <c r="EE11" s="12">
        <v>1.0081</v>
      </c>
      <c r="EF11">
        <v>1.0457000000000001</v>
      </c>
      <c r="EG11">
        <v>45.131288343558282</v>
      </c>
      <c r="EH11" t="s">
        <v>1286</v>
      </c>
      <c r="EI11">
        <v>0</v>
      </c>
      <c r="EJ11">
        <v>0</v>
      </c>
      <c r="EK11" s="14">
        <v>45504</v>
      </c>
      <c r="EL11" s="15">
        <v>-3.47</v>
      </c>
      <c r="EM11" s="15">
        <v>-0.87</v>
      </c>
      <c r="EN11" s="15">
        <v>1.18</v>
      </c>
      <c r="EO11" s="15">
        <v>0.1</v>
      </c>
      <c r="EP11" s="15">
        <v>3.76</v>
      </c>
    </row>
    <row r="12" spans="1:146" ht="96" x14ac:dyDescent="0.25">
      <c r="A12" s="7"/>
      <c r="B12" s="7"/>
      <c r="C12" s="7" t="str">
        <f>""&amp;CHAR(10)&amp;Basic_Fundamental_Information_Constructure(F12)&amp;CHAR(10)&amp;Basic_Fundamental_Information_Concatenate("")</f>
        <v xml:space="preserve">
市值43.07928亿, 利润-1.42亿; PE; 平均PE-27.52; 平均PEG-5.35, PB2.93; ROIC5.22%; ROE-4.3433%; 股利率0%; 毛利30.1233%; 净利-2.45%; 上一年度营收增17.74%, 利润增-373.55%; 当季营收增73.32%, 利润增-83.05%; 过往5年营收增5.15%, 利润增-75.05%
Income profile:
</v>
      </c>
      <c r="D12" t="s">
        <v>148</v>
      </c>
      <c r="E12" t="s">
        <v>58</v>
      </c>
      <c r="F12">
        <v>4.9800000000000004</v>
      </c>
      <c r="G12">
        <v>3.75</v>
      </c>
      <c r="H12" t="s">
        <v>3837</v>
      </c>
      <c r="I12">
        <v>4307928000</v>
      </c>
      <c r="K12">
        <v>2.93</v>
      </c>
      <c r="L12" t="s">
        <v>1277</v>
      </c>
      <c r="M12" t="s">
        <v>1449</v>
      </c>
      <c r="N12" t="s">
        <v>1472</v>
      </c>
      <c r="O12" t="s">
        <v>1376</v>
      </c>
      <c r="P12">
        <v>73.38</v>
      </c>
      <c r="Q12" t="s">
        <v>1987</v>
      </c>
      <c r="R12">
        <v>-150000000</v>
      </c>
      <c r="S12" s="5">
        <v>-0.4516</v>
      </c>
      <c r="T12" t="s">
        <v>601</v>
      </c>
      <c r="U12">
        <v>797670600</v>
      </c>
      <c r="V12">
        <v>865045780</v>
      </c>
      <c r="W12">
        <v>1.61</v>
      </c>
      <c r="X12">
        <v>0.27</v>
      </c>
      <c r="Y12">
        <v>-17.63</v>
      </c>
      <c r="Z12" t="s">
        <v>1974</v>
      </c>
      <c r="AA12" t="s">
        <v>1510</v>
      </c>
      <c r="AB12" t="s">
        <v>1975</v>
      </c>
      <c r="AC12" t="s">
        <v>446</v>
      </c>
      <c r="AD12" t="s">
        <v>63</v>
      </c>
      <c r="AE12">
        <v>-1611284</v>
      </c>
      <c r="AF12" t="s">
        <v>1976</v>
      </c>
      <c r="AG12" t="s">
        <v>1977</v>
      </c>
      <c r="AH12" t="s">
        <v>1978</v>
      </c>
      <c r="AI12" t="s">
        <v>442</v>
      </c>
      <c r="AJ12" t="s">
        <v>1979</v>
      </c>
      <c r="AK12" t="s">
        <v>1980</v>
      </c>
      <c r="AL12" t="s">
        <v>1981</v>
      </c>
      <c r="AM12" t="s">
        <v>63</v>
      </c>
      <c r="AN12" t="s">
        <v>195</v>
      </c>
      <c r="AO12" t="s">
        <v>63</v>
      </c>
      <c r="AP12" t="s">
        <v>1982</v>
      </c>
      <c r="AQ12" t="s">
        <v>675</v>
      </c>
      <c r="AR12" t="s">
        <v>1983</v>
      </c>
      <c r="AS12" t="s">
        <v>414</v>
      </c>
      <c r="AT12" t="s">
        <v>63</v>
      </c>
      <c r="AU12" t="s">
        <v>1984</v>
      </c>
      <c r="AV12" t="s">
        <v>433</v>
      </c>
      <c r="AW12" t="s">
        <v>1985</v>
      </c>
      <c r="AX12" t="s">
        <v>1444</v>
      </c>
      <c r="AY12" t="s">
        <v>1127</v>
      </c>
      <c r="AZ12" t="s">
        <v>721</v>
      </c>
      <c r="BA12" t="s">
        <v>257</v>
      </c>
      <c r="BB12" t="s">
        <v>723</v>
      </c>
      <c r="BC12" t="s">
        <v>1986</v>
      </c>
      <c r="BD12" t="s">
        <v>831</v>
      </c>
      <c r="BE12" t="s">
        <v>722</v>
      </c>
      <c r="BF12" t="s">
        <v>258</v>
      </c>
      <c r="BG12" t="s">
        <v>725</v>
      </c>
      <c r="BH12" t="s">
        <v>1987</v>
      </c>
      <c r="BI12" t="s">
        <v>667</v>
      </c>
      <c r="BJ12" t="s">
        <v>1444</v>
      </c>
      <c r="BK12" t="s">
        <v>601</v>
      </c>
      <c r="BL12" t="s">
        <v>3838</v>
      </c>
      <c r="BM12" t="s">
        <v>1986</v>
      </c>
      <c r="BN12" t="s">
        <v>63</v>
      </c>
      <c r="BO12">
        <v>5.22</v>
      </c>
      <c r="BP12" t="s">
        <v>63</v>
      </c>
      <c r="BQ12">
        <v>-4.6900000000000004</v>
      </c>
      <c r="BR12">
        <v>5.04</v>
      </c>
      <c r="BS12">
        <v>-13.38</v>
      </c>
      <c r="BT12" t="s">
        <v>1409</v>
      </c>
      <c r="BU12" t="s">
        <v>1830</v>
      </c>
      <c r="BV12">
        <v>28.53</v>
      </c>
      <c r="BW12">
        <v>30.53</v>
      </c>
      <c r="BX12">
        <v>31.31</v>
      </c>
      <c r="BY12">
        <v>-4.4800000000000004</v>
      </c>
      <c r="BZ12">
        <v>2.0099999999999998</v>
      </c>
      <c r="CA12">
        <v>-4.88</v>
      </c>
      <c r="CB12">
        <v>4.4000000000000004</v>
      </c>
      <c r="CC12">
        <v>8.5</v>
      </c>
      <c r="CD12" t="s">
        <v>433</v>
      </c>
      <c r="CE12" t="s">
        <v>3839</v>
      </c>
      <c r="CF12" s="9">
        <v>0.73317307692307687</v>
      </c>
      <c r="CG12" s="10">
        <v>-0.8304982982467487</v>
      </c>
      <c r="CH12" s="9">
        <v>0.17736375331878662</v>
      </c>
      <c r="CI12" s="9">
        <v>6.976742297410965E-2</v>
      </c>
      <c r="CJ12" s="9">
        <v>-3.9702232927083969E-2</v>
      </c>
      <c r="CK12" s="9">
        <v>-9.0586774051189423E-2</v>
      </c>
      <c r="CL12" s="9">
        <v>0.14044122397899628</v>
      </c>
      <c r="CM12" s="10">
        <v>-3.7354934215545654</v>
      </c>
      <c r="CN12" s="10">
        <v>1.3932591676712036</v>
      </c>
      <c r="CO12" s="10">
        <v>-2.842890739440918</v>
      </c>
      <c r="CP12" s="10">
        <v>0.37045320868492126</v>
      </c>
      <c r="CQ12" s="10">
        <v>1.0621461868286133</v>
      </c>
      <c r="CR12">
        <v>-27.520884567188848</v>
      </c>
      <c r="CS12">
        <v>-5.348360073862449</v>
      </c>
      <c r="CT12">
        <v>0</v>
      </c>
      <c r="CU12" s="9">
        <v>5.1456678658723831E-2</v>
      </c>
      <c r="CV12" s="10">
        <v>-0.75050511956214905</v>
      </c>
      <c r="CW12">
        <v>0.06</v>
      </c>
      <c r="CX12" t="e">
        <v>#VALUE!</v>
      </c>
      <c r="CY12" t="s">
        <v>1282</v>
      </c>
      <c r="CZ12">
        <v>5.1456678658723831E-2</v>
      </c>
      <c r="DA12" t="e">
        <v>#VALUE!</v>
      </c>
      <c r="DB12" t="s">
        <v>1283</v>
      </c>
      <c r="DC12">
        <v>4.8883844725787634E-2</v>
      </c>
      <c r="DD12" t="e">
        <v>#VALUE!</v>
      </c>
      <c r="DE12" t="s">
        <v>1283</v>
      </c>
      <c r="DF12">
        <v>4.5281877219676969E-2</v>
      </c>
      <c r="DG12" t="e">
        <v>#VALUE!</v>
      </c>
      <c r="DH12" t="s">
        <v>1283</v>
      </c>
      <c r="DI12">
        <v>4.116534292697907E-2</v>
      </c>
      <c r="DJ12" t="e">
        <v>#VALUE!</v>
      </c>
      <c r="DK12" t="s">
        <v>1283</v>
      </c>
      <c r="DL12">
        <v>3.6019675061106676E-2</v>
      </c>
      <c r="DM12">
        <v>-142000000</v>
      </c>
      <c r="DN12">
        <v>5.1456678658723831E-2</v>
      </c>
      <c r="DO12">
        <v>4049928000</v>
      </c>
      <c r="DP12">
        <v>727162500</v>
      </c>
      <c r="DQ12">
        <v>784</v>
      </c>
      <c r="DR12">
        <v>0.68171639826435304</v>
      </c>
      <c r="DS12">
        <v>-7.9993178684599653E-2</v>
      </c>
      <c r="DT12" s="11">
        <v>-0.27333333333333337</v>
      </c>
      <c r="DU12">
        <v>-1.7150000000000001</v>
      </c>
      <c r="DV12">
        <v>-1.9883333333333335</v>
      </c>
      <c r="DW12">
        <v>8.5176470588235293</v>
      </c>
      <c r="DX12">
        <v>0.47151702786377425</v>
      </c>
      <c r="DY12">
        <v>8.0629029320706618</v>
      </c>
      <c r="DZ12">
        <v>4371</v>
      </c>
      <c r="EA12">
        <v>8.009075853746296</v>
      </c>
      <c r="EB12">
        <v>8</v>
      </c>
      <c r="EC12">
        <v>0.18149328466754672</v>
      </c>
      <c r="ED12">
        <v>1.4935625719138241</v>
      </c>
      <c r="EE12" s="12">
        <v>4.4110000000000003E-2</v>
      </c>
      <c r="EF12">
        <v>6.6100000000000013E-3</v>
      </c>
      <c r="EG12">
        <v>35.121517027863774</v>
      </c>
      <c r="EH12">
        <v>-1</v>
      </c>
      <c r="EI12">
        <v>0</v>
      </c>
      <c r="EJ12">
        <v>0</v>
      </c>
      <c r="EK12" s="14">
        <v>45504</v>
      </c>
      <c r="EL12" s="15">
        <v>-3.25</v>
      </c>
      <c r="EM12" s="15">
        <v>-0.63</v>
      </c>
      <c r="EN12" s="15">
        <v>1.9</v>
      </c>
      <c r="EO12" s="15">
        <v>-0.41</v>
      </c>
      <c r="EP12" s="15">
        <v>3.75</v>
      </c>
    </row>
    <row r="13" spans="1:146" ht="96" hidden="1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市值55.16603亿, 利润2.46亿; PE20.43; 平均PE24.79; 平均PEG10.14, PB1.72; ROIC4.3967%; ROE4.6033%; 股利率5.8419%; 毛利61.24%; 净利16.9933%; 上一年度营收增12.99%, 利润增14.42%; 当季营收增16.9%, 利润增731.84%; 过往5年营收增2.45%, 利润增28.76%
Income profile:
</v>
      </c>
      <c r="D13" t="s">
        <v>147</v>
      </c>
      <c r="E13" t="s">
        <v>1129</v>
      </c>
      <c r="F13">
        <v>14.55</v>
      </c>
      <c r="G13">
        <v>4.1500000000000004</v>
      </c>
      <c r="H13" t="s">
        <v>3840</v>
      </c>
      <c r="I13">
        <v>5516603000</v>
      </c>
      <c r="J13">
        <v>20.43</v>
      </c>
      <c r="K13">
        <v>1.72</v>
      </c>
      <c r="L13" t="s">
        <v>1277</v>
      </c>
      <c r="M13" t="s">
        <v>339</v>
      </c>
      <c r="N13" t="s">
        <v>705</v>
      </c>
      <c r="O13" t="s">
        <v>189</v>
      </c>
      <c r="P13">
        <v>16.18</v>
      </c>
      <c r="Q13" t="s">
        <v>1363</v>
      </c>
      <c r="R13">
        <v>140456400</v>
      </c>
      <c r="S13" s="5">
        <v>1.4259999999999999</v>
      </c>
      <c r="T13" t="s">
        <v>355</v>
      </c>
      <c r="U13">
        <v>365019680</v>
      </c>
      <c r="V13">
        <v>379147970</v>
      </c>
      <c r="W13">
        <v>1.1000000000000001</v>
      </c>
      <c r="X13">
        <v>0.05</v>
      </c>
      <c r="Y13">
        <v>24.66</v>
      </c>
      <c r="Z13" t="s">
        <v>268</v>
      </c>
      <c r="AA13" t="s">
        <v>1988</v>
      </c>
      <c r="AB13" t="s">
        <v>1989</v>
      </c>
      <c r="AC13" t="s">
        <v>1990</v>
      </c>
      <c r="AD13" t="s">
        <v>63</v>
      </c>
      <c r="AE13">
        <v>-5208305</v>
      </c>
      <c r="AF13" t="s">
        <v>1991</v>
      </c>
      <c r="AG13">
        <v>1727.48</v>
      </c>
      <c r="AH13" t="s">
        <v>1992</v>
      </c>
      <c r="AI13" t="s">
        <v>1993</v>
      </c>
      <c r="AJ13" t="s">
        <v>1994</v>
      </c>
      <c r="AK13" t="s">
        <v>1995</v>
      </c>
      <c r="AL13" t="s">
        <v>1996</v>
      </c>
      <c r="AM13" t="s">
        <v>63</v>
      </c>
      <c r="AN13">
        <v>0</v>
      </c>
      <c r="AO13" t="s">
        <v>63</v>
      </c>
      <c r="AP13" t="s">
        <v>63</v>
      </c>
      <c r="AQ13" t="s">
        <v>184</v>
      </c>
      <c r="AR13" t="s">
        <v>63</v>
      </c>
      <c r="AS13" t="s">
        <v>379</v>
      </c>
      <c r="AT13" t="s">
        <v>63</v>
      </c>
      <c r="AU13" t="s">
        <v>1997</v>
      </c>
      <c r="AV13" t="s">
        <v>1998</v>
      </c>
      <c r="AW13" t="s">
        <v>1743</v>
      </c>
      <c r="AX13" t="s">
        <v>1999</v>
      </c>
      <c r="AY13" t="s">
        <v>1089</v>
      </c>
      <c r="AZ13" t="s">
        <v>1108</v>
      </c>
      <c r="BA13" t="s">
        <v>730</v>
      </c>
      <c r="BB13" t="s">
        <v>731</v>
      </c>
      <c r="BC13" t="s">
        <v>627</v>
      </c>
      <c r="BD13" t="s">
        <v>1130</v>
      </c>
      <c r="BE13" t="s">
        <v>515</v>
      </c>
      <c r="BF13" t="s">
        <v>273</v>
      </c>
      <c r="BG13" t="s">
        <v>491</v>
      </c>
      <c r="BH13" t="s">
        <v>1363</v>
      </c>
      <c r="BI13" t="s">
        <v>3841</v>
      </c>
      <c r="BJ13" t="s">
        <v>1999</v>
      </c>
      <c r="BK13" t="s">
        <v>355</v>
      </c>
      <c r="BL13" t="s">
        <v>3842</v>
      </c>
      <c r="BM13" t="s">
        <v>627</v>
      </c>
      <c r="BN13">
        <v>4.04</v>
      </c>
      <c r="BO13">
        <v>6.92</v>
      </c>
      <c r="BP13">
        <v>2.23</v>
      </c>
      <c r="BQ13">
        <v>4.26</v>
      </c>
      <c r="BR13">
        <v>7.17</v>
      </c>
      <c r="BS13">
        <v>2.38</v>
      </c>
      <c r="BT13" t="s">
        <v>2000</v>
      </c>
      <c r="BU13" t="s">
        <v>1848</v>
      </c>
      <c r="BV13">
        <v>60.66</v>
      </c>
      <c r="BW13">
        <v>63.02</v>
      </c>
      <c r="BX13">
        <v>60.04</v>
      </c>
      <c r="BY13">
        <v>22.44</v>
      </c>
      <c r="BZ13">
        <v>22.13</v>
      </c>
      <c r="CA13">
        <v>6.41</v>
      </c>
      <c r="CB13">
        <v>4.9800000000000004</v>
      </c>
      <c r="CC13">
        <v>-5.4</v>
      </c>
      <c r="CD13" t="s">
        <v>3843</v>
      </c>
      <c r="CE13" t="s">
        <v>510</v>
      </c>
      <c r="CF13" s="9">
        <v>0.16901408450704225</v>
      </c>
      <c r="CG13" s="10">
        <v>7.3183635276071799</v>
      </c>
      <c r="CH13" s="9">
        <v>0.12989690899848938</v>
      </c>
      <c r="CI13" s="9">
        <v>-0.12533809244632721</v>
      </c>
      <c r="CJ13" s="9">
        <v>-2.2907599806785583E-2</v>
      </c>
      <c r="CK13" s="9">
        <v>0.13160525262355804</v>
      </c>
      <c r="CL13" s="9">
        <v>9.0543255209922791E-3</v>
      </c>
      <c r="CM13" s="10">
        <v>0.14418604969978333</v>
      </c>
      <c r="CN13" s="10">
        <v>2.0260293483734131</v>
      </c>
      <c r="CO13" s="10">
        <v>-0.69636660814285278</v>
      </c>
      <c r="CP13" s="10">
        <v>-0.25</v>
      </c>
      <c r="CQ13" s="10">
        <v>0.21400777995586395</v>
      </c>
      <c r="CR13">
        <v>24.792789065160246</v>
      </c>
      <c r="CS13">
        <v>10.135159814582357</v>
      </c>
      <c r="CT13">
        <v>5.8419243986254292</v>
      </c>
      <c r="CU13" s="9">
        <v>2.4462158977985381E-2</v>
      </c>
      <c r="CV13" s="10">
        <v>0.28757131397724151</v>
      </c>
      <c r="CW13">
        <v>0.06</v>
      </c>
      <c r="CX13">
        <v>11.388324237775061</v>
      </c>
      <c r="CY13">
        <v>237752538.78168339</v>
      </c>
      <c r="CZ13">
        <v>2.4462158977985381E-2</v>
      </c>
      <c r="DA13">
        <v>3.9355534470237981</v>
      </c>
      <c r="DB13">
        <v>687985320.6027689</v>
      </c>
      <c r="DC13">
        <v>2.3239051029086112E-2</v>
      </c>
      <c r="DD13">
        <v>2.083674220648891</v>
      </c>
      <c r="DE13">
        <v>1299436818.4661839</v>
      </c>
      <c r="DF13">
        <v>2.1526699900627135E-2</v>
      </c>
      <c r="DG13">
        <v>1.3546691282605468</v>
      </c>
      <c r="DH13">
        <v>1998719055.0925734</v>
      </c>
      <c r="DI13">
        <v>1.9569727182388308E-2</v>
      </c>
      <c r="DJ13">
        <v>0.82540575447088282</v>
      </c>
      <c r="DK13">
        <v>3280329686.7437987</v>
      </c>
      <c r="DL13">
        <v>1.7123511284589766E-2</v>
      </c>
      <c r="DM13">
        <v>246000000</v>
      </c>
      <c r="DN13">
        <v>2.4462158977985381E-2</v>
      </c>
      <c r="DO13">
        <v>2707603000</v>
      </c>
      <c r="DP13">
        <v>1136111400</v>
      </c>
      <c r="DQ13">
        <v>827</v>
      </c>
      <c r="DR13">
        <v>0.14455192552905688</v>
      </c>
      <c r="DS13">
        <v>7.0307922136299386</v>
      </c>
      <c r="DT13" s="11">
        <v>-0.44</v>
      </c>
      <c r="DU13">
        <v>0.28666666666666663</v>
      </c>
      <c r="DV13">
        <v>-0.15333333333333338</v>
      </c>
      <c r="DW13">
        <v>6.4797687861271678</v>
      </c>
      <c r="DX13">
        <v>0.3409722943722937</v>
      </c>
      <c r="DY13">
        <v>6.0580387308260137</v>
      </c>
      <c r="DZ13">
        <v>2162</v>
      </c>
      <c r="EA13">
        <v>6.0334733948734218</v>
      </c>
      <c r="EB13">
        <v>6</v>
      </c>
      <c r="EC13">
        <v>7.3703678276320461E-2</v>
      </c>
      <c r="ED13">
        <v>0.60926081181444802</v>
      </c>
      <c r="EE13" s="12">
        <v>-2.0291999999999999</v>
      </c>
      <c r="EF13">
        <v>-2.0707</v>
      </c>
      <c r="EG13">
        <v>22.120972294372294</v>
      </c>
      <c r="EH13" t="s">
        <v>1431</v>
      </c>
      <c r="EI13">
        <v>0</v>
      </c>
      <c r="EJ13">
        <v>0</v>
      </c>
      <c r="EK13" s="14">
        <v>45504</v>
      </c>
      <c r="EL13" s="15">
        <v>-3.41</v>
      </c>
      <c r="EM13" s="15">
        <v>-1.1499999999999999</v>
      </c>
      <c r="EN13" s="15">
        <v>4.53</v>
      </c>
      <c r="EO13" s="15">
        <v>-0.98</v>
      </c>
      <c r="EP13" s="15">
        <v>4.1500000000000004</v>
      </c>
    </row>
    <row r="14" spans="1:146" ht="96" hidden="1" x14ac:dyDescent="0.25">
      <c r="A14" s="7"/>
      <c r="B14" s="7"/>
      <c r="C14" s="7" t="str">
        <f>""&amp;CHAR(10)&amp;Basic_Fundamental_Information_Constructure(F14)&amp;CHAR(10)&amp;Basic_Fundamental_Information_Concatenate("")</f>
        <v xml:space="preserve">
市值39.552762亿, 利润-1.35亿; PE; 平均PE-398.13; 平均PEG-24.06, PB3.19; ROIC5.65%; ROE-4.1333%; 股利率0%; 毛利43.7833%; 净利-5.8167%; 上一年度营收增3.5%, 利润增.74%; 当季营收增10.06%, 利润增-75.52%; 过往5年营收增16.55%, 利润增-16.98%
Income profile:
</v>
      </c>
      <c r="D14" t="s">
        <v>77</v>
      </c>
      <c r="E14" t="s">
        <v>26</v>
      </c>
      <c r="F14">
        <v>16.18</v>
      </c>
      <c r="G14">
        <v>4.12</v>
      </c>
      <c r="H14" t="s">
        <v>3844</v>
      </c>
      <c r="I14">
        <v>3955276200</v>
      </c>
      <c r="K14">
        <v>3.19</v>
      </c>
      <c r="L14" t="s">
        <v>1277</v>
      </c>
      <c r="M14" t="s">
        <v>689</v>
      </c>
      <c r="N14" t="s">
        <v>2001</v>
      </c>
      <c r="O14" t="s">
        <v>312</v>
      </c>
      <c r="P14">
        <v>10.07</v>
      </c>
      <c r="Q14" t="s">
        <v>2013</v>
      </c>
      <c r="R14">
        <v>-52500000</v>
      </c>
      <c r="S14" s="5">
        <v>0.49230000000000002</v>
      </c>
      <c r="T14" t="s">
        <v>1718</v>
      </c>
      <c r="U14">
        <v>207161620</v>
      </c>
      <c r="V14">
        <v>244454650</v>
      </c>
      <c r="W14">
        <v>1.33</v>
      </c>
      <c r="X14">
        <v>0.18</v>
      </c>
      <c r="Y14">
        <v>-5.76</v>
      </c>
      <c r="Z14" t="s">
        <v>552</v>
      </c>
      <c r="AA14" t="s">
        <v>333</v>
      </c>
      <c r="AB14" t="s">
        <v>2002</v>
      </c>
      <c r="AC14" t="s">
        <v>2003</v>
      </c>
      <c r="AD14" t="s">
        <v>63</v>
      </c>
      <c r="AE14">
        <v>-4803970</v>
      </c>
      <c r="AF14" t="s">
        <v>2004</v>
      </c>
      <c r="AG14" t="s">
        <v>2005</v>
      </c>
      <c r="AH14" t="s">
        <v>2006</v>
      </c>
      <c r="AI14" t="s">
        <v>604</v>
      </c>
      <c r="AJ14" t="s">
        <v>2007</v>
      </c>
      <c r="AK14" t="s">
        <v>2008</v>
      </c>
      <c r="AL14" t="s">
        <v>2009</v>
      </c>
      <c r="AM14" t="s">
        <v>63</v>
      </c>
      <c r="AN14">
        <v>0</v>
      </c>
      <c r="AO14" t="s">
        <v>2010</v>
      </c>
      <c r="AP14" t="s">
        <v>63</v>
      </c>
      <c r="AQ14" t="s">
        <v>401</v>
      </c>
      <c r="AR14" t="s">
        <v>63</v>
      </c>
      <c r="AS14" t="s">
        <v>746</v>
      </c>
      <c r="AT14" t="s">
        <v>63</v>
      </c>
      <c r="AU14" t="s">
        <v>1843</v>
      </c>
      <c r="AV14" t="s">
        <v>2011</v>
      </c>
      <c r="AW14" t="s">
        <v>2012</v>
      </c>
      <c r="AX14" t="s">
        <v>1447</v>
      </c>
      <c r="AY14" t="s">
        <v>1131</v>
      </c>
      <c r="AZ14" t="s">
        <v>354</v>
      </c>
      <c r="BA14" t="s">
        <v>291</v>
      </c>
      <c r="BB14" t="s">
        <v>734</v>
      </c>
      <c r="BC14" t="s">
        <v>1448</v>
      </c>
      <c r="BD14" t="s">
        <v>1132</v>
      </c>
      <c r="BE14" t="s">
        <v>446</v>
      </c>
      <c r="BF14" t="s">
        <v>292</v>
      </c>
      <c r="BG14" t="s">
        <v>735</v>
      </c>
      <c r="BH14" t="s">
        <v>2013</v>
      </c>
      <c r="BI14" t="s">
        <v>606</v>
      </c>
      <c r="BJ14" t="s">
        <v>1447</v>
      </c>
      <c r="BK14" t="s">
        <v>1718</v>
      </c>
      <c r="BL14" t="s">
        <v>3845</v>
      </c>
      <c r="BM14" t="s">
        <v>1448</v>
      </c>
      <c r="BN14" t="s">
        <v>63</v>
      </c>
      <c r="BO14" t="s">
        <v>63</v>
      </c>
      <c r="BP14">
        <v>5.65</v>
      </c>
      <c r="BQ14">
        <v>-6.68</v>
      </c>
      <c r="BR14">
        <v>-9.25</v>
      </c>
      <c r="BS14">
        <v>3.53</v>
      </c>
      <c r="BT14" t="s">
        <v>1409</v>
      </c>
      <c r="BU14" t="s">
        <v>1848</v>
      </c>
      <c r="BV14">
        <v>41.65</v>
      </c>
      <c r="BW14">
        <v>40.32</v>
      </c>
      <c r="BX14">
        <v>49.38</v>
      </c>
      <c r="BY14">
        <v>-11.71</v>
      </c>
      <c r="BZ14">
        <v>-12.34</v>
      </c>
      <c r="CA14">
        <v>6.6</v>
      </c>
      <c r="CB14">
        <v>6.87</v>
      </c>
      <c r="CC14">
        <v>-7.44</v>
      </c>
      <c r="CD14" t="s">
        <v>3846</v>
      </c>
      <c r="CE14" t="s">
        <v>463</v>
      </c>
      <c r="CF14" s="9">
        <v>0.10064935064935066</v>
      </c>
      <c r="CG14" s="10">
        <v>-0.75524819209436189</v>
      </c>
      <c r="CH14" s="9">
        <v>3.4975066781044006E-2</v>
      </c>
      <c r="CI14" s="9">
        <v>-0.13143211603164673</v>
      </c>
      <c r="CJ14" s="9">
        <v>3.7298951297998428E-2</v>
      </c>
      <c r="CK14" s="9">
        <v>0.40723994374275208</v>
      </c>
      <c r="CL14" s="9">
        <v>0.47925025224685669</v>
      </c>
      <c r="CM14" s="10">
        <v>7.3529412038624287E-3</v>
      </c>
      <c r="CN14" s="10">
        <v>-3.5141000747680664</v>
      </c>
      <c r="CO14" s="10">
        <v>-0.47985672950744629</v>
      </c>
      <c r="CP14" s="10">
        <v>1.7783046960830688</v>
      </c>
      <c r="CQ14" s="10">
        <v>1.3595237731933594</v>
      </c>
      <c r="CR14">
        <v>-398.13139935176054</v>
      </c>
      <c r="CS14">
        <v>-24.061159980157878</v>
      </c>
      <c r="CT14">
        <v>0</v>
      </c>
      <c r="CU14" s="9">
        <v>0.16546641960740088</v>
      </c>
      <c r="CV14" s="10">
        <v>-0.16975507875904441</v>
      </c>
      <c r="CW14">
        <v>0.06</v>
      </c>
      <c r="CX14" t="e">
        <v>#VALUE!</v>
      </c>
      <c r="CY14" t="s">
        <v>1282</v>
      </c>
      <c r="CZ14">
        <v>0.16546641960740088</v>
      </c>
      <c r="DA14" t="e">
        <v>#VALUE!</v>
      </c>
      <c r="DB14" t="s">
        <v>1283</v>
      </c>
      <c r="DC14">
        <v>0.15719309862703082</v>
      </c>
      <c r="DD14" t="e">
        <v>#VALUE!</v>
      </c>
      <c r="DE14" t="s">
        <v>1283</v>
      </c>
      <c r="DF14">
        <v>0.14561044925451277</v>
      </c>
      <c r="DG14" t="e">
        <v>#VALUE!</v>
      </c>
      <c r="DH14" t="s">
        <v>1283</v>
      </c>
      <c r="DI14">
        <v>0.13237313568592071</v>
      </c>
      <c r="DJ14" t="e">
        <v>#VALUE!</v>
      </c>
      <c r="DK14" t="s">
        <v>1283</v>
      </c>
      <c r="DL14">
        <v>0.11582649372518061</v>
      </c>
      <c r="DM14">
        <v>-135000000</v>
      </c>
      <c r="DN14">
        <v>0.16546641960740088</v>
      </c>
      <c r="DO14">
        <v>3109276200</v>
      </c>
      <c r="DP14">
        <v>909745600</v>
      </c>
      <c r="DQ14">
        <v>866</v>
      </c>
      <c r="DR14">
        <v>-6.4817068958050228E-2</v>
      </c>
      <c r="DS14">
        <v>-0.58549311333531751</v>
      </c>
      <c r="DT14" s="11">
        <v>-0.22333333333333338</v>
      </c>
      <c r="DU14">
        <v>-1.7316666666666667</v>
      </c>
      <c r="DV14">
        <v>-1.9550000000000001</v>
      </c>
      <c r="DW14">
        <v>7.4800838574423478</v>
      </c>
      <c r="DX14">
        <v>0.54603709677419177</v>
      </c>
      <c r="DY14">
        <v>7.0749108913234595</v>
      </c>
      <c r="DZ14">
        <v>4350</v>
      </c>
      <c r="EA14">
        <v>7.011116377373372</v>
      </c>
      <c r="EB14">
        <v>7</v>
      </c>
      <c r="EC14">
        <v>7.9150059121395319E-2</v>
      </c>
      <c r="ED14">
        <v>0.50725154952053475</v>
      </c>
      <c r="EE14" s="12">
        <v>-1.0127999999999999</v>
      </c>
      <c r="EF14">
        <v>-1.054</v>
      </c>
      <c r="EG14">
        <v>39.156037096774192</v>
      </c>
      <c r="EH14" t="s">
        <v>1284</v>
      </c>
      <c r="EI14">
        <v>1</v>
      </c>
      <c r="EJ14">
        <v>0</v>
      </c>
      <c r="EK14" s="14">
        <v>45504</v>
      </c>
      <c r="EL14" s="15">
        <v>-2.3199999999999998</v>
      </c>
      <c r="EM14" s="15">
        <v>-7.0000000000000007E-2</v>
      </c>
      <c r="EN14" s="15">
        <v>0.66</v>
      </c>
      <c r="EO14" s="15">
        <v>1.64</v>
      </c>
      <c r="EP14" s="15">
        <v>4.12</v>
      </c>
    </row>
    <row r="15" spans="1:146" ht="96" hidden="1" x14ac:dyDescent="0.25">
      <c r="A15" s="7"/>
      <c r="B15" s="7"/>
      <c r="C15" s="7" t="str">
        <f>""&amp;CHAR(10)&amp;Basic_Fundamental_Information_Constructure(F15)&amp;CHAR(10)&amp;Basic_Fundamental_Information_Concatenate("")</f>
        <v xml:space="preserve">
市值167.6314亿, 利润-13.14亿; PE; 平均PE-98.7; 平均PEG-10.65, PB1.7; ROIC.13%; ROE-2.0067%; 股利率0%; 毛利47.6833%; 净利-18.5133%; 上一年度营收增-6.72%, 利润增-291.07%; 当季营收增0%, 利润增-229.22%; 过往5年营收增9.27%, 利润增-149.48%
Income profile:
</v>
      </c>
      <c r="D15" t="s">
        <v>85</v>
      </c>
      <c r="E15" t="s">
        <v>23</v>
      </c>
      <c r="F15">
        <v>7.05</v>
      </c>
      <c r="G15">
        <v>0.86</v>
      </c>
      <c r="H15" t="s">
        <v>2849</v>
      </c>
      <c r="I15">
        <v>16763140000</v>
      </c>
      <c r="K15">
        <v>1.7</v>
      </c>
      <c r="L15" t="s">
        <v>1277</v>
      </c>
      <c r="M15" t="s">
        <v>2014</v>
      </c>
      <c r="N15" t="s">
        <v>2015</v>
      </c>
      <c r="O15" t="s">
        <v>792</v>
      </c>
      <c r="P15">
        <v>0.04</v>
      </c>
      <c r="Q15" t="s">
        <v>2028</v>
      </c>
      <c r="R15">
        <v>-339098650</v>
      </c>
      <c r="S15" s="5">
        <v>-0.6512</v>
      </c>
      <c r="T15" t="s">
        <v>2029</v>
      </c>
      <c r="U15">
        <v>2330425000</v>
      </c>
      <c r="V15">
        <v>2377750300</v>
      </c>
      <c r="W15">
        <v>1.23</v>
      </c>
      <c r="X15">
        <v>0.06</v>
      </c>
      <c r="Y15">
        <v>-24.4</v>
      </c>
      <c r="Z15" t="s">
        <v>2016</v>
      </c>
      <c r="AA15" t="s">
        <v>1290</v>
      </c>
      <c r="AB15" t="s">
        <v>2017</v>
      </c>
      <c r="AC15" t="s">
        <v>2018</v>
      </c>
      <c r="AD15" t="s">
        <v>63</v>
      </c>
      <c r="AE15">
        <v>-19090227</v>
      </c>
      <c r="AF15" t="s">
        <v>2019</v>
      </c>
      <c r="AG15" t="s">
        <v>2020</v>
      </c>
      <c r="AH15" t="s">
        <v>2021</v>
      </c>
      <c r="AI15" t="s">
        <v>1767</v>
      </c>
      <c r="AJ15" t="s">
        <v>2022</v>
      </c>
      <c r="AK15" t="s">
        <v>2023</v>
      </c>
      <c r="AL15" t="s">
        <v>2024</v>
      </c>
      <c r="AM15" t="s">
        <v>63</v>
      </c>
      <c r="AN15" t="s">
        <v>189</v>
      </c>
      <c r="AO15" t="s">
        <v>534</v>
      </c>
      <c r="AP15" t="s">
        <v>173</v>
      </c>
      <c r="AQ15" t="s">
        <v>1062</v>
      </c>
      <c r="AR15" t="s">
        <v>63</v>
      </c>
      <c r="AS15" t="s">
        <v>858</v>
      </c>
      <c r="AT15" t="s">
        <v>173</v>
      </c>
      <c r="AU15" t="s">
        <v>2025</v>
      </c>
      <c r="AV15" t="s">
        <v>2026</v>
      </c>
      <c r="AW15" t="s">
        <v>2027</v>
      </c>
      <c r="AX15" t="s">
        <v>1452</v>
      </c>
      <c r="AY15" t="s">
        <v>1134</v>
      </c>
      <c r="AZ15" t="s">
        <v>739</v>
      </c>
      <c r="BA15" t="s">
        <v>311</v>
      </c>
      <c r="BB15" t="s">
        <v>743</v>
      </c>
      <c r="BC15" t="s">
        <v>1453</v>
      </c>
      <c r="BD15" t="s">
        <v>182</v>
      </c>
      <c r="BE15" t="s">
        <v>740</v>
      </c>
      <c r="BF15" t="s">
        <v>312</v>
      </c>
      <c r="BG15" t="s">
        <v>594</v>
      </c>
      <c r="BH15" t="s">
        <v>2028</v>
      </c>
      <c r="BI15" t="s">
        <v>792</v>
      </c>
      <c r="BJ15" t="s">
        <v>1452</v>
      </c>
      <c r="BK15" t="s">
        <v>2029</v>
      </c>
      <c r="BL15" t="s">
        <v>1446</v>
      </c>
      <c r="BM15" t="s">
        <v>1453</v>
      </c>
      <c r="BN15" t="s">
        <v>63</v>
      </c>
      <c r="BO15" t="s">
        <v>63</v>
      </c>
      <c r="BP15">
        <v>0.13</v>
      </c>
      <c r="BQ15">
        <v>-4.3099999999999996</v>
      </c>
      <c r="BR15">
        <v>-2.8</v>
      </c>
      <c r="BS15">
        <v>1.0900000000000001</v>
      </c>
      <c r="BT15" t="s">
        <v>1409</v>
      </c>
      <c r="BU15" t="s">
        <v>1848</v>
      </c>
      <c r="BV15">
        <v>34.01</v>
      </c>
      <c r="BW15">
        <v>49.15</v>
      </c>
      <c r="BX15">
        <v>59.89</v>
      </c>
      <c r="BY15">
        <v>-44.38</v>
      </c>
      <c r="BZ15">
        <v>-15.27</v>
      </c>
      <c r="CA15">
        <v>4.1100000000000003</v>
      </c>
      <c r="CB15">
        <v>11.55</v>
      </c>
      <c r="CC15">
        <v>2.17</v>
      </c>
      <c r="CD15" t="s">
        <v>589</v>
      </c>
      <c r="CE15" t="s">
        <v>3847</v>
      </c>
      <c r="CF15" s="9">
        <v>0</v>
      </c>
      <c r="CG15" s="10">
        <v>-2.2922199029126213</v>
      </c>
      <c r="CH15" s="9">
        <v>-6.722443550825119E-2</v>
      </c>
      <c r="CI15" s="9">
        <v>9.3790873885154724E-2</v>
      </c>
      <c r="CJ15" s="9">
        <v>0.42458099126815796</v>
      </c>
      <c r="CK15" s="9">
        <v>-7.0129923522472382E-2</v>
      </c>
      <c r="CL15" s="9">
        <v>8.2474283874034882E-2</v>
      </c>
      <c r="CM15" s="10">
        <v>-2.9107143878936768</v>
      </c>
      <c r="CN15" s="10">
        <v>-3.7540984153747559</v>
      </c>
      <c r="CO15" s="10">
        <v>1.3948220014572144</v>
      </c>
      <c r="CP15" s="10">
        <v>-1.9115043878555298</v>
      </c>
      <c r="CQ15" s="10">
        <v>-0.29227557778358459</v>
      </c>
      <c r="CR15">
        <v>-98.703473994111874</v>
      </c>
      <c r="CS15">
        <v>-10.64781255292902</v>
      </c>
      <c r="CT15">
        <v>0</v>
      </c>
      <c r="CU15" s="9">
        <v>9.2698357999324799E-2</v>
      </c>
      <c r="CV15" s="10">
        <v>-1.4947541534900666</v>
      </c>
      <c r="CW15">
        <v>0.06</v>
      </c>
      <c r="CX15" t="e">
        <v>#VALUE!</v>
      </c>
      <c r="CY15" t="s">
        <v>1282</v>
      </c>
      <c r="CZ15">
        <v>9.2698357999324799E-2</v>
      </c>
      <c r="DA15" t="e">
        <v>#VALUE!</v>
      </c>
      <c r="DB15" t="s">
        <v>1283</v>
      </c>
      <c r="DC15">
        <v>8.8063440099358556E-2</v>
      </c>
      <c r="DD15" t="e">
        <v>#VALUE!</v>
      </c>
      <c r="DE15" t="s">
        <v>1283</v>
      </c>
      <c r="DF15">
        <v>8.1574555039405819E-2</v>
      </c>
      <c r="DG15" t="e">
        <v>#VALUE!</v>
      </c>
      <c r="DH15" t="s">
        <v>1283</v>
      </c>
      <c r="DI15">
        <v>7.4158686399459842E-2</v>
      </c>
      <c r="DJ15" t="e">
        <v>#VALUE!</v>
      </c>
      <c r="DK15" t="s">
        <v>1283</v>
      </c>
      <c r="DL15">
        <v>6.4888850599527356E-2</v>
      </c>
      <c r="DM15">
        <v>-1314000000</v>
      </c>
      <c r="DN15">
        <v>9.2698357999324799E-2</v>
      </c>
      <c r="DO15">
        <v>9415140000</v>
      </c>
      <c r="DP15">
        <v>3172076000</v>
      </c>
      <c r="DQ15">
        <v>909</v>
      </c>
      <c r="DR15">
        <v>-9.2698357999324799E-2</v>
      </c>
      <c r="DS15">
        <v>-0.79746574942255477</v>
      </c>
      <c r="DT15" s="11">
        <v>-0.3066666666666667</v>
      </c>
      <c r="DU15">
        <v>-2.8483333333333332</v>
      </c>
      <c r="DV15">
        <v>-3.1549999999999998</v>
      </c>
      <c r="DW15">
        <v>5.1878787878787875</v>
      </c>
      <c r="DX15">
        <v>0.65719008264463064</v>
      </c>
      <c r="DY15">
        <v>5.0445629852241423</v>
      </c>
      <c r="DZ15">
        <v>4930</v>
      </c>
      <c r="EA15">
        <v>5.0015528996417187</v>
      </c>
      <c r="EB15">
        <v>5</v>
      </c>
      <c r="EC15">
        <v>0.12070232942458256</v>
      </c>
      <c r="ED15">
        <v>0.50888438537890202</v>
      </c>
      <c r="EE15" s="12">
        <v>1.1465000000000001</v>
      </c>
      <c r="EF15">
        <v>2.0051000000000001</v>
      </c>
      <c r="EG15">
        <v>42.237190082644631</v>
      </c>
      <c r="EH15" t="s">
        <v>1439</v>
      </c>
      <c r="EI15">
        <v>1</v>
      </c>
      <c r="EJ15">
        <v>0</v>
      </c>
      <c r="EK15" s="14">
        <v>45504</v>
      </c>
      <c r="EL15" s="15">
        <v>-2.77</v>
      </c>
      <c r="EM15" s="15">
        <v>2.2200000000000002</v>
      </c>
      <c r="EN15" s="15">
        <v>0.46</v>
      </c>
      <c r="EO15" s="15">
        <v>2.93</v>
      </c>
      <c r="EP15" s="15">
        <v>0.86</v>
      </c>
    </row>
    <row r="16" spans="1:146" ht="96" hidden="1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市值181.1378亿, 利润1.16亿; PE8417; 平均PE39.55; 平均PEG2.12, PB3.08; ROIC9.6533%; ROE10.44%; 股利率.6434%; 毛利83.1067%; 净利10.0667%; 上一年度营收增-.41%, 利润增-88%; 当季营收增-1.08%, 利润增-94.93%; 过往5年营收增18.66%, 利润增10.51%
Income profile:
</v>
      </c>
      <c r="D16" t="s">
        <v>82</v>
      </c>
      <c r="E16" t="s">
        <v>34</v>
      </c>
      <c r="F16">
        <v>10.88</v>
      </c>
      <c r="G16">
        <v>4.62</v>
      </c>
      <c r="H16" t="s">
        <v>3848</v>
      </c>
      <c r="I16">
        <v>18113780000</v>
      </c>
      <c r="J16">
        <v>8417</v>
      </c>
      <c r="K16">
        <v>3.08</v>
      </c>
      <c r="L16" t="s">
        <v>1277</v>
      </c>
      <c r="M16" t="s">
        <v>2030</v>
      </c>
      <c r="N16" t="s">
        <v>2031</v>
      </c>
      <c r="O16" t="s">
        <v>612</v>
      </c>
      <c r="P16">
        <v>-1.08</v>
      </c>
      <c r="Q16" t="s">
        <v>2047</v>
      </c>
      <c r="R16">
        <v>6078079</v>
      </c>
      <c r="S16" s="5">
        <v>-0.94920000000000004</v>
      </c>
      <c r="T16" t="s">
        <v>505</v>
      </c>
      <c r="U16">
        <v>1588835000</v>
      </c>
      <c r="V16">
        <v>1664869500</v>
      </c>
      <c r="W16">
        <v>1.57</v>
      </c>
      <c r="X16">
        <v>0.12</v>
      </c>
      <c r="Y16">
        <v>1.0900000000000001</v>
      </c>
      <c r="Z16" t="s">
        <v>2032</v>
      </c>
      <c r="AA16" t="s">
        <v>195</v>
      </c>
      <c r="AB16" t="s">
        <v>682</v>
      </c>
      <c r="AC16" t="s">
        <v>481</v>
      </c>
      <c r="AD16" t="s">
        <v>63</v>
      </c>
      <c r="AE16">
        <v>-7259791</v>
      </c>
      <c r="AF16" t="s">
        <v>2033</v>
      </c>
      <c r="AG16" t="s">
        <v>2034</v>
      </c>
      <c r="AH16" t="s">
        <v>2035</v>
      </c>
      <c r="AI16" t="s">
        <v>2036</v>
      </c>
      <c r="AJ16" t="s">
        <v>2037</v>
      </c>
      <c r="AK16" t="s">
        <v>2038</v>
      </c>
      <c r="AL16" t="s">
        <v>2039</v>
      </c>
      <c r="AM16" t="s">
        <v>63</v>
      </c>
      <c r="AN16" t="s">
        <v>191</v>
      </c>
      <c r="AO16" t="s">
        <v>2040</v>
      </c>
      <c r="AP16" t="s">
        <v>2041</v>
      </c>
      <c r="AQ16" t="s">
        <v>586</v>
      </c>
      <c r="AR16" t="s">
        <v>63</v>
      </c>
      <c r="AS16" t="s">
        <v>2042</v>
      </c>
      <c r="AT16" t="s">
        <v>63</v>
      </c>
      <c r="AU16" t="s">
        <v>2043</v>
      </c>
      <c r="AV16" t="s">
        <v>2044</v>
      </c>
      <c r="AW16" t="s">
        <v>2045</v>
      </c>
      <c r="AX16" t="s">
        <v>2046</v>
      </c>
      <c r="AY16" t="s">
        <v>1454</v>
      </c>
      <c r="AZ16" t="s">
        <v>1455</v>
      </c>
      <c r="BA16" t="s">
        <v>744</v>
      </c>
      <c r="BB16" t="s">
        <v>745</v>
      </c>
      <c r="BC16" t="s">
        <v>432</v>
      </c>
      <c r="BD16" t="s">
        <v>605</v>
      </c>
      <c r="BE16" t="s">
        <v>727</v>
      </c>
      <c r="BF16" t="s">
        <v>214</v>
      </c>
      <c r="BG16" t="s">
        <v>746</v>
      </c>
      <c r="BH16" t="s">
        <v>2047</v>
      </c>
      <c r="BI16" t="s">
        <v>3849</v>
      </c>
      <c r="BJ16" t="s">
        <v>2046</v>
      </c>
      <c r="BK16" t="s">
        <v>505</v>
      </c>
      <c r="BL16" t="s">
        <v>421</v>
      </c>
      <c r="BM16" t="s">
        <v>432</v>
      </c>
      <c r="BN16">
        <v>3.82</v>
      </c>
      <c r="BO16">
        <v>14.81</v>
      </c>
      <c r="BP16">
        <v>10.33</v>
      </c>
      <c r="BQ16">
        <v>4.16</v>
      </c>
      <c r="BR16">
        <v>16.57</v>
      </c>
      <c r="BS16">
        <v>10.59</v>
      </c>
      <c r="BT16" t="s">
        <v>1421</v>
      </c>
      <c r="BU16" t="s">
        <v>1848</v>
      </c>
      <c r="BV16">
        <v>82.52</v>
      </c>
      <c r="BW16">
        <v>82.85</v>
      </c>
      <c r="BX16">
        <v>83.95</v>
      </c>
      <c r="BY16">
        <v>1.83</v>
      </c>
      <c r="BZ16">
        <v>15.45</v>
      </c>
      <c r="CA16">
        <v>12.92</v>
      </c>
      <c r="CB16">
        <v>7.19</v>
      </c>
      <c r="CC16">
        <v>3.52</v>
      </c>
      <c r="CD16" t="s">
        <v>319</v>
      </c>
      <c r="CE16" t="s">
        <v>288</v>
      </c>
      <c r="CF16" s="9">
        <v>-1.0769230769230769E-2</v>
      </c>
      <c r="CG16" s="10">
        <v>-0.94934934166666662</v>
      </c>
      <c r="CH16" s="9">
        <v>-4.1208500042557716E-3</v>
      </c>
      <c r="CI16" s="9">
        <v>0.17799355089664459</v>
      </c>
      <c r="CJ16" s="9">
        <v>0.409171462059021</v>
      </c>
      <c r="CK16" s="9">
        <v>0.13943420350551605</v>
      </c>
      <c r="CL16" s="9">
        <v>0.21034236252307892</v>
      </c>
      <c r="CM16" s="10">
        <v>-0.88004136085510254</v>
      </c>
      <c r="CN16" s="10">
        <v>0.4629349410533905</v>
      </c>
      <c r="CO16" s="10">
        <v>1.0030303001403809</v>
      </c>
      <c r="CP16" s="10">
        <v>0.40425533056259155</v>
      </c>
      <c r="CQ16" s="10">
        <v>-0.46469247341156006</v>
      </c>
      <c r="CR16">
        <v>39.549737991266376</v>
      </c>
      <c r="CS16">
        <v>2.119900253209003</v>
      </c>
      <c r="CT16">
        <v>0.64338235294117641</v>
      </c>
      <c r="CU16" s="9">
        <v>0.18656414579600095</v>
      </c>
      <c r="CV16" s="10">
        <v>0.10509734749794006</v>
      </c>
      <c r="CW16">
        <v>0.06</v>
      </c>
      <c r="CX16">
        <v>123.59436727224299</v>
      </c>
      <c r="CY16">
        <v>129850415.95503405</v>
      </c>
      <c r="CZ16">
        <v>0.18656414579600095</v>
      </c>
      <c r="DA16">
        <v>37.252544387032586</v>
      </c>
      <c r="DB16">
        <v>430810304.74757308</v>
      </c>
      <c r="DC16">
        <v>0.1772359385062009</v>
      </c>
      <c r="DD16">
        <v>16.39783681471588</v>
      </c>
      <c r="DE16">
        <v>978713240.12673271</v>
      </c>
      <c r="DF16">
        <v>0.16417644830048084</v>
      </c>
      <c r="DG16">
        <v>8.6345468209002689</v>
      </c>
      <c r="DH16">
        <v>1858670794.5289357</v>
      </c>
      <c r="DI16">
        <v>0.14925131663680077</v>
      </c>
      <c r="DJ16">
        <v>3.2834754817292193</v>
      </c>
      <c r="DK16">
        <v>4887741689.9571371</v>
      </c>
      <c r="DL16">
        <v>0.13059490205720065</v>
      </c>
      <c r="DM16">
        <v>115999999.99999999</v>
      </c>
      <c r="DN16">
        <v>0.18656414579600095</v>
      </c>
      <c r="DO16">
        <v>16048780000</v>
      </c>
      <c r="DP16">
        <v>591342000</v>
      </c>
      <c r="DQ16">
        <v>914</v>
      </c>
      <c r="DR16">
        <v>-0.19733337656523173</v>
      </c>
      <c r="DS16">
        <v>-1.0544466891646067</v>
      </c>
      <c r="DT16" s="11">
        <v>-5.6666666666666719E-2</v>
      </c>
      <c r="DU16">
        <v>-0.34</v>
      </c>
      <c r="DV16">
        <v>-0.39666666666666672</v>
      </c>
      <c r="DW16">
        <v>5.4895688456189156</v>
      </c>
      <c r="DX16">
        <v>0.47035087719297936</v>
      </c>
      <c r="DY16">
        <v>5.0687114169289709</v>
      </c>
      <c r="DZ16">
        <v>2743</v>
      </c>
      <c r="EA16">
        <v>5.0318133322312093</v>
      </c>
      <c r="EB16">
        <v>5</v>
      </c>
      <c r="EC16">
        <v>8.6493265688391788E-2</v>
      </c>
      <c r="ED16">
        <v>0.61626451802979154</v>
      </c>
      <c r="EE16" s="12">
        <v>3.0604</v>
      </c>
      <c r="EF16">
        <v>3.1065999999999998</v>
      </c>
      <c r="EG16">
        <v>33.140350877192979</v>
      </c>
      <c r="EH16" t="s">
        <v>1451</v>
      </c>
      <c r="EI16">
        <v>1</v>
      </c>
      <c r="EJ16">
        <v>0</v>
      </c>
      <c r="EK16" s="14">
        <v>45504</v>
      </c>
      <c r="EL16" s="15">
        <v>-1.55</v>
      </c>
      <c r="EM16" s="15">
        <v>1.38</v>
      </c>
      <c r="EN16" s="15">
        <v>-0.49</v>
      </c>
      <c r="EO16" s="15">
        <v>1.86</v>
      </c>
      <c r="EP16" s="15">
        <v>4.62</v>
      </c>
    </row>
    <row r="17" spans="1:146" ht="96" x14ac:dyDescent="0.25">
      <c r="A17" s="7"/>
      <c r="B17" s="7"/>
      <c r="C17" s="7" t="str">
        <f>""&amp;CHAR(10)&amp;Basic_Fundamental_Information_Constructure(F17)&amp;CHAR(10)&amp;Basic_Fundamental_Information_Concatenate("")</f>
        <v xml:space="preserve">
市值187.99439亿, 利润7.41亿; PE27.1; 平均PE26.29; 平均PEG2.07, PB1.59; ROIC8.39%; ROE8.54%; 股利率1.7498%; 毛利62.1367%; 净利16.7333%; 上一年度营收增1.58%, 利润增18.37%; 当季营收增17.13%, 利润增-186.03%; 过往5年营收增12.71%, 利润增7.2%
Income profile:
</v>
      </c>
      <c r="D17" t="s">
        <v>127</v>
      </c>
      <c r="E17" t="s">
        <v>48</v>
      </c>
      <c r="F17">
        <v>15.43</v>
      </c>
      <c r="G17">
        <v>6.12</v>
      </c>
      <c r="H17" t="s">
        <v>3850</v>
      </c>
      <c r="I17">
        <v>18799439000</v>
      </c>
      <c r="J17">
        <v>27.1</v>
      </c>
      <c r="K17">
        <v>1.59</v>
      </c>
      <c r="L17" t="s">
        <v>1277</v>
      </c>
      <c r="M17" t="s">
        <v>2048</v>
      </c>
      <c r="N17" t="s">
        <v>2049</v>
      </c>
      <c r="O17" t="s">
        <v>1124</v>
      </c>
      <c r="P17">
        <v>17.13</v>
      </c>
      <c r="Q17" t="s">
        <v>2062</v>
      </c>
      <c r="R17">
        <v>-188000000</v>
      </c>
      <c r="S17" s="5">
        <v>-0.7218</v>
      </c>
      <c r="T17" t="s">
        <v>1087</v>
      </c>
      <c r="U17">
        <v>725510160</v>
      </c>
      <c r="V17">
        <v>1218369380</v>
      </c>
      <c r="W17">
        <v>1.22</v>
      </c>
      <c r="X17">
        <v>0.06</v>
      </c>
      <c r="Y17">
        <v>-12.46</v>
      </c>
      <c r="Z17" t="s">
        <v>2050</v>
      </c>
      <c r="AA17" t="s">
        <v>1473</v>
      </c>
      <c r="AB17" t="s">
        <v>286</v>
      </c>
      <c r="AC17" t="s">
        <v>2051</v>
      </c>
      <c r="AD17" t="s">
        <v>63</v>
      </c>
      <c r="AE17">
        <v>-26569963</v>
      </c>
      <c r="AF17" t="s">
        <v>2052</v>
      </c>
      <c r="AG17" t="s">
        <v>2053</v>
      </c>
      <c r="AH17" t="s">
        <v>2054</v>
      </c>
      <c r="AI17" t="s">
        <v>2055</v>
      </c>
      <c r="AJ17" t="s">
        <v>2056</v>
      </c>
      <c r="AK17" t="s">
        <v>186</v>
      </c>
      <c r="AL17" t="s">
        <v>2057</v>
      </c>
      <c r="AM17" t="s">
        <v>63</v>
      </c>
      <c r="AN17">
        <v>0</v>
      </c>
      <c r="AO17" t="s">
        <v>63</v>
      </c>
      <c r="AP17" t="s">
        <v>63</v>
      </c>
      <c r="AQ17" t="s">
        <v>945</v>
      </c>
      <c r="AR17" t="s">
        <v>2058</v>
      </c>
      <c r="AS17" t="s">
        <v>2059</v>
      </c>
      <c r="AT17" t="s">
        <v>63</v>
      </c>
      <c r="AU17" t="s">
        <v>1359</v>
      </c>
      <c r="AV17" t="s">
        <v>2060</v>
      </c>
      <c r="AW17" t="s">
        <v>2061</v>
      </c>
      <c r="AX17" t="s">
        <v>1458</v>
      </c>
      <c r="AY17" t="s">
        <v>1136</v>
      </c>
      <c r="AZ17" t="s">
        <v>188</v>
      </c>
      <c r="BA17" t="s">
        <v>327</v>
      </c>
      <c r="BB17" t="s">
        <v>749</v>
      </c>
      <c r="BC17" t="s">
        <v>804</v>
      </c>
      <c r="BD17" t="s">
        <v>1137</v>
      </c>
      <c r="BE17" t="s">
        <v>503</v>
      </c>
      <c r="BF17" t="s">
        <v>328</v>
      </c>
      <c r="BG17" t="s">
        <v>205</v>
      </c>
      <c r="BH17" t="s">
        <v>2062</v>
      </c>
      <c r="BI17" t="s">
        <v>751</v>
      </c>
      <c r="BJ17" t="s">
        <v>1458</v>
      </c>
      <c r="BK17" t="s">
        <v>1087</v>
      </c>
      <c r="BL17" t="s">
        <v>3851</v>
      </c>
      <c r="BM17" t="s">
        <v>804</v>
      </c>
      <c r="BN17">
        <v>3.02</v>
      </c>
      <c r="BO17">
        <v>8.77</v>
      </c>
      <c r="BP17">
        <v>13.38</v>
      </c>
      <c r="BQ17">
        <v>3.23</v>
      </c>
      <c r="BR17">
        <v>8.8800000000000008</v>
      </c>
      <c r="BS17">
        <v>13.51</v>
      </c>
      <c r="BT17" t="s">
        <v>2063</v>
      </c>
      <c r="BU17" t="s">
        <v>1830</v>
      </c>
      <c r="BV17">
        <v>57.76</v>
      </c>
      <c r="BW17">
        <v>62.66</v>
      </c>
      <c r="BX17">
        <v>65.989999999999995</v>
      </c>
      <c r="BY17">
        <v>16.41</v>
      </c>
      <c r="BZ17">
        <v>14.12</v>
      </c>
      <c r="CA17">
        <v>19.670000000000002</v>
      </c>
      <c r="CB17">
        <v>5.9</v>
      </c>
      <c r="CC17">
        <v>-14.7</v>
      </c>
      <c r="CD17" t="s">
        <v>3852</v>
      </c>
      <c r="CE17" t="s">
        <v>817</v>
      </c>
      <c r="CF17" s="9">
        <v>0.17131979695431471</v>
      </c>
      <c r="CG17" s="10">
        <v>-1.8603248598745108</v>
      </c>
      <c r="CH17" s="9">
        <v>1.5776338055729866E-2</v>
      </c>
      <c r="CI17" s="9">
        <v>1.1627980507910252E-2</v>
      </c>
      <c r="CJ17" s="9">
        <v>0.20263224840164185</v>
      </c>
      <c r="CK17" s="9">
        <v>0.18064102530479431</v>
      </c>
      <c r="CL17" s="9">
        <v>0.22482161223888397</v>
      </c>
      <c r="CM17" s="10">
        <v>0.18370607495307922</v>
      </c>
      <c r="CN17" s="10">
        <v>-0.27378189563751221</v>
      </c>
      <c r="CO17" s="10">
        <v>7.2139300405979156E-2</v>
      </c>
      <c r="CP17" s="10">
        <v>0.16860465705394745</v>
      </c>
      <c r="CQ17" s="10">
        <v>0.20913884043693542</v>
      </c>
      <c r="CR17">
        <v>26.292921678321679</v>
      </c>
      <c r="CS17">
        <v>2.0686825012344263</v>
      </c>
      <c r="CT17">
        <v>1.7498379779650033</v>
      </c>
      <c r="CU17" s="9">
        <v>0.12709984090179205</v>
      </c>
      <c r="CV17" s="10">
        <v>7.1961395442485809E-2</v>
      </c>
      <c r="CW17">
        <v>0.06</v>
      </c>
      <c r="CX17">
        <v>12.381466486338145</v>
      </c>
      <c r="CY17">
        <v>787906586.8945545</v>
      </c>
      <c r="CZ17">
        <v>0.12709984090179205</v>
      </c>
      <c r="DA17">
        <v>3.9215356786333131</v>
      </c>
      <c r="DB17">
        <v>2487657846.1731219</v>
      </c>
      <c r="DC17">
        <v>0.12074484885670245</v>
      </c>
      <c r="DD17">
        <v>1.8503155029269682</v>
      </c>
      <c r="DE17">
        <v>5272311119.1405535</v>
      </c>
      <c r="DF17">
        <v>0.11184785999357701</v>
      </c>
      <c r="DG17">
        <v>1.058387564322351</v>
      </c>
      <c r="DH17">
        <v>9217265327.7970715</v>
      </c>
      <c r="DI17">
        <v>0.10167987272143364</v>
      </c>
      <c r="DJ17">
        <v>0.49001239432445698</v>
      </c>
      <c r="DK17">
        <v>19908555605.923164</v>
      </c>
      <c r="DL17">
        <v>8.8969888631254435E-2</v>
      </c>
      <c r="DM17">
        <v>741000000</v>
      </c>
      <c r="DN17">
        <v>0.12709984090179205</v>
      </c>
      <c r="DO17">
        <v>9755439000</v>
      </c>
      <c r="DP17">
        <v>9095604500</v>
      </c>
      <c r="DQ17">
        <v>940</v>
      </c>
      <c r="DR17">
        <v>4.4219956052522658E-2</v>
      </c>
      <c r="DS17">
        <v>-1.9322862553169966</v>
      </c>
      <c r="DT17" s="11">
        <v>-9.000000000000008E-2</v>
      </c>
      <c r="DU17">
        <v>-0.66500000000000004</v>
      </c>
      <c r="DV17">
        <v>-0.75500000000000012</v>
      </c>
      <c r="DW17">
        <v>6.2864077669902914</v>
      </c>
      <c r="DX17">
        <v>0.70110079365079603</v>
      </c>
      <c r="DY17">
        <v>6.0461405185698878</v>
      </c>
      <c r="DZ17">
        <v>3340</v>
      </c>
      <c r="EA17">
        <v>6.0159703282755599</v>
      </c>
      <c r="EB17">
        <v>6</v>
      </c>
      <c r="EC17">
        <v>4.9981640214891154E-2</v>
      </c>
      <c r="ED17">
        <v>0.31025073857322316</v>
      </c>
      <c r="EE17" s="12">
        <v>1.0032099999999999</v>
      </c>
      <c r="EF17">
        <v>1.0580000000000001</v>
      </c>
      <c r="EG17">
        <v>54.161100793650796</v>
      </c>
      <c r="EH17" t="s">
        <v>1286</v>
      </c>
      <c r="EI17">
        <v>0</v>
      </c>
      <c r="EJ17">
        <v>0</v>
      </c>
      <c r="EK17" s="14">
        <v>45504</v>
      </c>
      <c r="EL17" s="15">
        <v>-1.82</v>
      </c>
      <c r="EM17" s="15">
        <v>1.03</v>
      </c>
      <c r="EN17" s="15">
        <v>-0.14000000000000001</v>
      </c>
      <c r="EO17" s="15">
        <v>-1.22</v>
      </c>
      <c r="EP17" s="15">
        <v>6.12</v>
      </c>
    </row>
    <row r="18" spans="1:146" ht="96" hidden="1" x14ac:dyDescent="0.25">
      <c r="A18" s="7"/>
      <c r="B18" s="7"/>
      <c r="C18" s="7" t="str">
        <f>""&amp;CHAR(10)&amp;Basic_Fundamental_Information_Constructure(F18)&amp;CHAR(10)&amp;Basic_Fundamental_Information_Concatenate("")</f>
        <v xml:space="preserve">
市值61.728969亿, 利润3.48亿; PE18.43; 平均PE26.74; 平均PEG.94, PB2.38; ROIC11.8667%; ROE12.0733%; 股利率1.7017%; 毛利23.1333%; 净利7.76%; 上一年度营收增15.49%, 利润增25.63%; 当季营收增11.5%, 利润增-20.82%; 过往5年营收增28.49%, 利润增42.25%
Income profile:
</v>
      </c>
      <c r="D18" t="s">
        <v>157</v>
      </c>
      <c r="E18" t="s">
        <v>158</v>
      </c>
      <c r="F18">
        <v>9.99</v>
      </c>
      <c r="G18">
        <v>5.05</v>
      </c>
      <c r="H18" t="s">
        <v>3853</v>
      </c>
      <c r="I18">
        <v>6172896900</v>
      </c>
      <c r="J18">
        <v>18.43</v>
      </c>
      <c r="K18">
        <v>2.38</v>
      </c>
      <c r="L18" t="s">
        <v>1277</v>
      </c>
      <c r="M18" t="s">
        <v>697</v>
      </c>
      <c r="N18" t="s">
        <v>2064</v>
      </c>
      <c r="O18" t="s">
        <v>1379</v>
      </c>
      <c r="P18">
        <v>11.55</v>
      </c>
      <c r="Q18" t="s">
        <v>2078</v>
      </c>
      <c r="R18">
        <v>48531782</v>
      </c>
      <c r="S18" s="5">
        <v>-0.2082</v>
      </c>
      <c r="T18" t="s">
        <v>67</v>
      </c>
      <c r="U18">
        <v>600472170</v>
      </c>
      <c r="V18">
        <v>617907600</v>
      </c>
      <c r="W18">
        <v>1.2</v>
      </c>
      <c r="X18">
        <v>0.36</v>
      </c>
      <c r="Y18">
        <v>4.3499999999999996</v>
      </c>
      <c r="Z18" t="s">
        <v>2065</v>
      </c>
      <c r="AA18" t="s">
        <v>1716</v>
      </c>
      <c r="AB18" t="s">
        <v>2066</v>
      </c>
      <c r="AC18" t="s">
        <v>2067</v>
      </c>
      <c r="AD18" t="s">
        <v>63</v>
      </c>
      <c r="AE18">
        <v>-2160106</v>
      </c>
      <c r="AF18" t="s">
        <v>2068</v>
      </c>
      <c r="AG18" t="s">
        <v>2069</v>
      </c>
      <c r="AH18" t="s">
        <v>2070</v>
      </c>
      <c r="AI18" t="s">
        <v>302</v>
      </c>
      <c r="AJ18" t="s">
        <v>2071</v>
      </c>
      <c r="AK18" t="s">
        <v>63</v>
      </c>
      <c r="AL18" t="s">
        <v>2072</v>
      </c>
      <c r="AM18" t="s">
        <v>63</v>
      </c>
      <c r="AN18" t="s">
        <v>2073</v>
      </c>
      <c r="AO18" t="s">
        <v>63</v>
      </c>
      <c r="AP18" t="s">
        <v>63</v>
      </c>
      <c r="AQ18" t="s">
        <v>2074</v>
      </c>
      <c r="AR18" t="s">
        <v>63</v>
      </c>
      <c r="AS18" t="s">
        <v>542</v>
      </c>
      <c r="AT18" t="s">
        <v>63</v>
      </c>
      <c r="AU18" t="s">
        <v>2075</v>
      </c>
      <c r="AV18" t="s">
        <v>2076</v>
      </c>
      <c r="AW18" t="s">
        <v>2077</v>
      </c>
      <c r="AX18" t="s">
        <v>1462</v>
      </c>
      <c r="AY18" t="s">
        <v>1140</v>
      </c>
      <c r="AZ18" t="s">
        <v>767</v>
      </c>
      <c r="BA18" t="s">
        <v>375</v>
      </c>
      <c r="BB18" t="s">
        <v>704</v>
      </c>
      <c r="BC18" t="s">
        <v>350</v>
      </c>
      <c r="BD18" t="s">
        <v>510</v>
      </c>
      <c r="BE18" t="s">
        <v>201</v>
      </c>
      <c r="BF18" t="s">
        <v>256</v>
      </c>
      <c r="BG18" t="s">
        <v>769</v>
      </c>
      <c r="BH18" t="s">
        <v>2078</v>
      </c>
      <c r="BI18" t="s">
        <v>1459</v>
      </c>
      <c r="BJ18" t="s">
        <v>1462</v>
      </c>
      <c r="BK18" t="s">
        <v>67</v>
      </c>
      <c r="BL18" t="s">
        <v>3854</v>
      </c>
      <c r="BM18" t="s">
        <v>350</v>
      </c>
      <c r="BN18">
        <v>10.199999999999999</v>
      </c>
      <c r="BO18">
        <v>13.19</v>
      </c>
      <c r="BP18">
        <v>12.21</v>
      </c>
      <c r="BQ18">
        <v>10.66</v>
      </c>
      <c r="BR18">
        <v>13.22</v>
      </c>
      <c r="BS18">
        <v>12.34</v>
      </c>
      <c r="BT18" t="s">
        <v>2079</v>
      </c>
      <c r="BU18" t="s">
        <v>1848</v>
      </c>
      <c r="BV18">
        <v>23.32</v>
      </c>
      <c r="BW18">
        <v>22.5</v>
      </c>
      <c r="BX18">
        <v>23.58</v>
      </c>
      <c r="BY18">
        <v>8.19</v>
      </c>
      <c r="BZ18">
        <v>7.54</v>
      </c>
      <c r="CA18">
        <v>7.55</v>
      </c>
      <c r="CB18">
        <v>9.42</v>
      </c>
      <c r="CC18">
        <v>-10.8</v>
      </c>
      <c r="CD18" t="s">
        <v>3855</v>
      </c>
      <c r="CE18" t="s">
        <v>212</v>
      </c>
      <c r="CF18" s="9">
        <v>0.115</v>
      </c>
      <c r="CG18" s="10">
        <v>-0.20818216525592415</v>
      </c>
      <c r="CH18" s="9">
        <v>0.15491423010826111</v>
      </c>
      <c r="CI18" s="9">
        <v>0.20268493890762329</v>
      </c>
      <c r="CJ18" s="9">
        <v>0.33187973499298096</v>
      </c>
      <c r="CK18" s="9">
        <v>0.35921746492385864</v>
      </c>
      <c r="CL18" s="9">
        <v>0.37601962685585022</v>
      </c>
      <c r="CM18" s="10">
        <v>0.25631767511367798</v>
      </c>
      <c r="CN18" s="10">
        <v>0.19913420081138611</v>
      </c>
      <c r="CO18" s="10">
        <v>-0.16304348409175873</v>
      </c>
      <c r="CP18" s="10">
        <v>0.57714283466339111</v>
      </c>
      <c r="CQ18" s="10">
        <v>1.2427501678466797</v>
      </c>
      <c r="CR18">
        <v>26.741227838373373</v>
      </c>
      <c r="CS18">
        <v>0.93847573542445628</v>
      </c>
      <c r="CT18">
        <v>1.7017017017017015</v>
      </c>
      <c r="CU18" s="9">
        <v>0.28494319915771482</v>
      </c>
      <c r="CV18" s="10">
        <v>0.42246027886867521</v>
      </c>
      <c r="CW18">
        <v>0.06</v>
      </c>
      <c r="CX18">
        <v>9.7212372438689112</v>
      </c>
      <c r="CY18">
        <v>421849276.70460826</v>
      </c>
      <c r="CZ18">
        <v>0.28494319915771482</v>
      </c>
      <c r="DA18">
        <v>2.7037189281945633</v>
      </c>
      <c r="DB18">
        <v>1516761545.4534016</v>
      </c>
      <c r="DC18">
        <v>0.27069603919982904</v>
      </c>
      <c r="DD18">
        <v>1.0578499792664238</v>
      </c>
      <c r="DE18">
        <v>3876633719.6922822</v>
      </c>
      <c r="DF18">
        <v>0.25075001525878904</v>
      </c>
      <c r="DG18">
        <v>0.48073659271242791</v>
      </c>
      <c r="DH18">
        <v>8530444659.6456985</v>
      </c>
      <c r="DI18">
        <v>0.22795455932617187</v>
      </c>
      <c r="DJ18">
        <v>0.12631760306794804</v>
      </c>
      <c r="DK18">
        <v>32464967671.956768</v>
      </c>
      <c r="DL18">
        <v>0.19946023941040036</v>
      </c>
      <c r="DM18">
        <v>348000000</v>
      </c>
      <c r="DN18">
        <v>0.28494319915771482</v>
      </c>
      <c r="DO18">
        <v>4100896900</v>
      </c>
      <c r="DP18">
        <v>2163667200</v>
      </c>
      <c r="DQ18">
        <v>1443</v>
      </c>
      <c r="DR18">
        <v>-0.16994319915771483</v>
      </c>
      <c r="DS18">
        <v>-0.63064244412459936</v>
      </c>
      <c r="DT18" s="11">
        <v>0.22666666666666657</v>
      </c>
      <c r="DU18">
        <v>0.27999999999999997</v>
      </c>
      <c r="DV18">
        <v>0.5066666666666666</v>
      </c>
      <c r="DW18">
        <v>7.4658753709198811</v>
      </c>
      <c r="DX18">
        <v>0.60397826086956852</v>
      </c>
      <c r="DY18">
        <v>7.0624171719778097</v>
      </c>
      <c r="DZ18">
        <v>764</v>
      </c>
      <c r="EA18">
        <v>7.0530814790664849</v>
      </c>
      <c r="EB18">
        <v>7</v>
      </c>
      <c r="EC18">
        <v>3.9895932660481921E-2</v>
      </c>
      <c r="ED18">
        <v>0.29777915015125239</v>
      </c>
      <c r="EE18" s="12">
        <v>1.0105999999999999</v>
      </c>
      <c r="EF18">
        <v>1.0610999999999999</v>
      </c>
      <c r="EG18">
        <v>47.133978260869569</v>
      </c>
      <c r="EH18" t="s">
        <v>1286</v>
      </c>
      <c r="EI18">
        <v>1</v>
      </c>
      <c r="EJ18">
        <v>1</v>
      </c>
      <c r="EK18" s="14">
        <v>45504</v>
      </c>
      <c r="EL18" s="15">
        <v>-2.98</v>
      </c>
      <c r="EM18" s="15">
        <v>1.97</v>
      </c>
      <c r="EN18" s="15">
        <v>0.75</v>
      </c>
      <c r="EO18" s="15">
        <v>1.07</v>
      </c>
      <c r="EP18" s="15">
        <v>5.05</v>
      </c>
    </row>
    <row r="19" spans="1:146" ht="96" hidden="1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市值25.1888亿, 利润7786.18万; PE28.23; 平均PE56.64; 平均PEG9.04, PB2.91; ROIC4.25%; ROE-3.1267%; 股利率.8258%; 毛利53.49%; 净利1.2167%; 上一年度营收增-11.2%, 利润增101.85%; 当季营收增19.87%, 利润增11%; 过往5年营收增6.27%, 利润增10.4%
Income profile:
</v>
      </c>
      <c r="D19" t="s">
        <v>664</v>
      </c>
      <c r="E19" t="s">
        <v>665</v>
      </c>
      <c r="F19">
        <v>24.22</v>
      </c>
      <c r="G19">
        <v>2.98</v>
      </c>
      <c r="H19" t="s">
        <v>3856</v>
      </c>
      <c r="I19">
        <v>2518880000</v>
      </c>
      <c r="J19">
        <v>28.23</v>
      </c>
      <c r="K19">
        <v>2.91</v>
      </c>
      <c r="L19" t="s">
        <v>1277</v>
      </c>
      <c r="M19" t="s">
        <v>319</v>
      </c>
      <c r="N19" t="s">
        <v>2080</v>
      </c>
      <c r="O19" t="s">
        <v>2081</v>
      </c>
      <c r="P19">
        <v>19.87</v>
      </c>
      <c r="Q19" t="s">
        <v>467</v>
      </c>
      <c r="R19">
        <v>-23000000</v>
      </c>
      <c r="S19" s="5">
        <v>0.44030000000000002</v>
      </c>
      <c r="T19" t="s">
        <v>2097</v>
      </c>
      <c r="U19">
        <v>73603196</v>
      </c>
      <c r="V19">
        <v>104000000</v>
      </c>
      <c r="W19">
        <v>1.1299999999999999</v>
      </c>
      <c r="X19">
        <v>0.06</v>
      </c>
      <c r="Y19">
        <v>-28.7</v>
      </c>
      <c r="Z19" t="s">
        <v>2082</v>
      </c>
      <c r="AA19" t="s">
        <v>2083</v>
      </c>
      <c r="AB19" t="s">
        <v>2084</v>
      </c>
      <c r="AC19" t="s">
        <v>2085</v>
      </c>
      <c r="AD19" t="s">
        <v>63</v>
      </c>
      <c r="AE19">
        <v>-178783</v>
      </c>
      <c r="AF19" t="s">
        <v>2086</v>
      </c>
      <c r="AG19">
        <v>1.38</v>
      </c>
      <c r="AH19" t="s">
        <v>2087</v>
      </c>
      <c r="AI19" t="s">
        <v>2088</v>
      </c>
      <c r="AJ19" t="s">
        <v>2089</v>
      </c>
      <c r="AK19" t="s">
        <v>2090</v>
      </c>
      <c r="AL19" t="s">
        <v>2091</v>
      </c>
      <c r="AM19" t="s">
        <v>63</v>
      </c>
      <c r="AN19">
        <v>0</v>
      </c>
      <c r="AO19" t="s">
        <v>320</v>
      </c>
      <c r="AP19" t="s">
        <v>63</v>
      </c>
      <c r="AQ19" t="s">
        <v>2092</v>
      </c>
      <c r="AR19" t="s">
        <v>63</v>
      </c>
      <c r="AS19" t="s">
        <v>285</v>
      </c>
      <c r="AT19" t="s">
        <v>63</v>
      </c>
      <c r="AU19" t="s">
        <v>2093</v>
      </c>
      <c r="AV19" t="s">
        <v>2094</v>
      </c>
      <c r="AW19" t="s">
        <v>2095</v>
      </c>
      <c r="AX19" t="s">
        <v>364</v>
      </c>
      <c r="AY19" t="s">
        <v>649</v>
      </c>
      <c r="AZ19" t="s">
        <v>238</v>
      </c>
      <c r="BA19" t="s">
        <v>540</v>
      </c>
      <c r="BB19" t="s">
        <v>622</v>
      </c>
      <c r="BC19" t="s">
        <v>2096</v>
      </c>
      <c r="BD19" t="s">
        <v>1142</v>
      </c>
      <c r="BE19" t="s">
        <v>773</v>
      </c>
      <c r="BF19" t="s">
        <v>666</v>
      </c>
      <c r="BG19" t="s">
        <v>774</v>
      </c>
      <c r="BH19" t="s">
        <v>467</v>
      </c>
      <c r="BI19" t="s">
        <v>3857</v>
      </c>
      <c r="BJ19" t="s">
        <v>364</v>
      </c>
      <c r="BK19" t="s">
        <v>2097</v>
      </c>
      <c r="BL19" t="s">
        <v>3858</v>
      </c>
      <c r="BM19" t="s">
        <v>2096</v>
      </c>
      <c r="BN19" t="s">
        <v>63</v>
      </c>
      <c r="BO19">
        <v>4.25</v>
      </c>
      <c r="BP19" t="s">
        <v>63</v>
      </c>
      <c r="BQ19">
        <v>-5.94</v>
      </c>
      <c r="BR19">
        <v>4.72</v>
      </c>
      <c r="BS19">
        <v>-8.16</v>
      </c>
      <c r="BT19" t="s">
        <v>1413</v>
      </c>
      <c r="BU19" t="s">
        <v>1848</v>
      </c>
      <c r="BV19">
        <v>62.93</v>
      </c>
      <c r="BW19">
        <v>54.69</v>
      </c>
      <c r="BX19">
        <v>42.85</v>
      </c>
      <c r="BY19">
        <v>17.75</v>
      </c>
      <c r="BZ19">
        <v>7.42</v>
      </c>
      <c r="CA19">
        <v>-21.52</v>
      </c>
      <c r="CB19">
        <v>5.58</v>
      </c>
      <c r="CC19">
        <v>-10.4</v>
      </c>
      <c r="CD19" t="s">
        <v>3859</v>
      </c>
      <c r="CE19" t="s">
        <v>3860</v>
      </c>
      <c r="CF19" s="9">
        <v>0.19870373269324443</v>
      </c>
      <c r="CG19" s="10">
        <v>0.11003455387579952</v>
      </c>
      <c r="CH19" s="9">
        <v>-0.11201629042625427</v>
      </c>
      <c r="CI19" s="9">
        <v>0.47005987167358398</v>
      </c>
      <c r="CJ19" s="9">
        <v>-0.2477477490901947</v>
      </c>
      <c r="CK19" s="9">
        <v>8.5574574768543243E-2</v>
      </c>
      <c r="CL19" s="9">
        <v>0.11748633533716202</v>
      </c>
      <c r="CM19" s="10">
        <v>1.0184680223464966</v>
      </c>
      <c r="CN19" s="10">
        <v>1.5490959882736206</v>
      </c>
      <c r="CO19" s="10">
        <v>-2.0576908588409424</v>
      </c>
      <c r="CP19" s="10">
        <v>-0.21894608438014984</v>
      </c>
      <c r="CQ19" s="10">
        <v>0.22901390492916107</v>
      </c>
      <c r="CR19">
        <v>56.638982923173955</v>
      </c>
      <c r="CS19">
        <v>9.0374603900601223</v>
      </c>
      <c r="CT19">
        <v>0.82576383154417843</v>
      </c>
      <c r="CU19" s="9">
        <v>6.2671348452568054E-2</v>
      </c>
      <c r="CV19" s="10">
        <v>0.1039881944656372</v>
      </c>
      <c r="CW19">
        <v>0.06</v>
      </c>
      <c r="CX19">
        <v>23.032610091597061</v>
      </c>
      <c r="CY19">
        <v>78058022.640513361</v>
      </c>
      <c r="CZ19">
        <v>6.2671348452568054E-2</v>
      </c>
      <c r="DA19">
        <v>7.7036016098006286</v>
      </c>
      <c r="DB19">
        <v>233381746.7550129</v>
      </c>
      <c r="DC19">
        <v>5.9537781029939646E-2</v>
      </c>
      <c r="DD19">
        <v>3.9105818438236444</v>
      </c>
      <c r="DE19">
        <v>459747442.14586985</v>
      </c>
      <c r="DF19">
        <v>5.515078663825989E-2</v>
      </c>
      <c r="DG19">
        <v>2.4300153472985873</v>
      </c>
      <c r="DH19">
        <v>739863639.95547473</v>
      </c>
      <c r="DI19">
        <v>5.0137078762054449E-2</v>
      </c>
      <c r="DJ19">
        <v>1.3509347429280341</v>
      </c>
      <c r="DK19">
        <v>1330841485.4319689</v>
      </c>
      <c r="DL19">
        <v>4.3869943916797632E-2</v>
      </c>
      <c r="DM19">
        <v>77861800</v>
      </c>
      <c r="DN19">
        <v>6.2671348452568054E-2</v>
      </c>
      <c r="DO19">
        <v>1797880000</v>
      </c>
      <c r="DP19">
        <v>498192260</v>
      </c>
      <c r="DQ19">
        <v>1462</v>
      </c>
      <c r="DR19">
        <v>0.13603238424067637</v>
      </c>
      <c r="DS19">
        <v>6.0463594101623219E-3</v>
      </c>
      <c r="DT19" s="11">
        <v>-0.42333333333333334</v>
      </c>
      <c r="DU19">
        <v>-0.52500000000000002</v>
      </c>
      <c r="DV19">
        <v>-0.94833333333333336</v>
      </c>
      <c r="DW19">
        <v>6.34918648310388</v>
      </c>
      <c r="DX19">
        <v>0.47551315930610227</v>
      </c>
      <c r="DY19">
        <v>6.0438274986813543</v>
      </c>
      <c r="DZ19">
        <v>3559</v>
      </c>
      <c r="EA19">
        <v>6.0132906803949524</v>
      </c>
      <c r="EB19">
        <v>6</v>
      </c>
      <c r="EC19">
        <v>4.9505769230769228E-2</v>
      </c>
      <c r="ED19">
        <v>0.39442692307692306</v>
      </c>
      <c r="EE19" s="12">
        <v>3.0362999999999998</v>
      </c>
      <c r="EF19">
        <v>3.0661</v>
      </c>
      <c r="EG19">
        <v>35.125513159306102</v>
      </c>
      <c r="EH19" t="s">
        <v>1451</v>
      </c>
      <c r="EI19">
        <v>0</v>
      </c>
      <c r="EJ19">
        <v>0</v>
      </c>
      <c r="EK19" s="14">
        <v>45504</v>
      </c>
      <c r="EL19" s="15">
        <v>-0.82</v>
      </c>
      <c r="EM19" s="15">
        <v>-0.48</v>
      </c>
      <c r="EN19" s="15">
        <v>2.1</v>
      </c>
      <c r="EO19" s="15">
        <v>0.04</v>
      </c>
      <c r="EP19" s="15">
        <v>2.98</v>
      </c>
    </row>
    <row r="20" spans="1:146" ht="156" hidden="1" x14ac:dyDescent="0.25">
      <c r="A20" s="7" t="s">
        <v>1095</v>
      </c>
      <c r="B20" s="7"/>
      <c r="C20" s="7" t="str">
        <f>"公司的主营业务以密码技术为核心,开展信息安全产品的研发、生产和销售及服务;公司的主要产品电子认证产品、信息安全服务、安全集成;"&amp;CHAR(10)&amp;Basic_Fundamental_Information_Constructure(F20)&amp;CHAR(10)&amp;Basic_Fundamental_Information_Concatenate("电子认证产品 1.31亿 50.00% 利润占比60.87% 70.08%
信息安全服务 7094.63万 27.17% 利润占比31.40% 66.53%
安全集成 5961.44万 22.83% 利润占比7.73% 19.49%")</f>
        <v>公司的主营业务以密码技术为核心,开展信息安全产品的研发、生产和销售及服务;公司的主要产品电子认证产品、信息安全服务、安全集成;
市值36.205171亿, 利润-1.57亿; PE; 平均PE91; 平均PEG15.85, PB2.84; ROIC10.61%; ROE.7633%; 股利率0%; 毛利60.5033%; 净利-7.02%; 上一年度营收增-16.9%, 利润增-365.56%; 当季营收增3.28%, 利润增-1136.62%; 过往5年营收增5.74%, 利润增-86.05%
Income profile:
电子认证产品 1.31亿 50.00% 利润占比60.87% 70.08%
信息安全服务 7094.63万 27.17% 利润占比31.40% 66.53%
安全集成 5961.44万 22.83% 利润占比7.73% 19.49%</v>
      </c>
      <c r="D20" t="s">
        <v>775</v>
      </c>
      <c r="E20" t="s">
        <v>776</v>
      </c>
      <c r="F20">
        <v>18.48</v>
      </c>
      <c r="G20">
        <v>-0.05</v>
      </c>
      <c r="H20" t="s">
        <v>3861</v>
      </c>
      <c r="I20">
        <v>3620517100</v>
      </c>
      <c r="K20">
        <v>2.84</v>
      </c>
      <c r="L20" t="s">
        <v>1277</v>
      </c>
      <c r="M20" t="s">
        <v>340</v>
      </c>
      <c r="N20" t="s">
        <v>2098</v>
      </c>
      <c r="O20" t="s">
        <v>268</v>
      </c>
      <c r="P20">
        <v>3.68</v>
      </c>
      <c r="Q20" t="s">
        <v>420</v>
      </c>
      <c r="R20">
        <v>-31000000</v>
      </c>
      <c r="S20" s="5">
        <v>-6.4550000000000001</v>
      </c>
      <c r="T20" t="s">
        <v>711</v>
      </c>
      <c r="U20">
        <v>170890540</v>
      </c>
      <c r="V20">
        <v>195915430</v>
      </c>
      <c r="W20">
        <v>1.34</v>
      </c>
      <c r="X20">
        <v>7.0000000000000007E-2</v>
      </c>
      <c r="Y20">
        <v>-11.3</v>
      </c>
      <c r="Z20" t="s">
        <v>349</v>
      </c>
      <c r="AA20" t="s">
        <v>2099</v>
      </c>
      <c r="AB20" t="s">
        <v>2100</v>
      </c>
      <c r="AC20" t="s">
        <v>2101</v>
      </c>
      <c r="AD20" t="s">
        <v>63</v>
      </c>
      <c r="AE20">
        <v>-1604795</v>
      </c>
      <c r="AF20" t="s">
        <v>2102</v>
      </c>
      <c r="AG20">
        <v>2705.38</v>
      </c>
      <c r="AH20" t="s">
        <v>2103</v>
      </c>
      <c r="AI20" t="s">
        <v>205</v>
      </c>
      <c r="AJ20" t="s">
        <v>2104</v>
      </c>
      <c r="AK20" t="s">
        <v>2105</v>
      </c>
      <c r="AL20" t="s">
        <v>2106</v>
      </c>
      <c r="AM20" t="s">
        <v>63</v>
      </c>
      <c r="AN20" t="s">
        <v>560</v>
      </c>
      <c r="AO20" t="s">
        <v>63</v>
      </c>
      <c r="AP20" t="s">
        <v>63</v>
      </c>
      <c r="AQ20" t="s">
        <v>189</v>
      </c>
      <c r="AR20" t="s">
        <v>63</v>
      </c>
      <c r="AS20" t="s">
        <v>1756</v>
      </c>
      <c r="AT20" t="s">
        <v>63</v>
      </c>
      <c r="AU20" t="s">
        <v>2107</v>
      </c>
      <c r="AV20" t="s">
        <v>2108</v>
      </c>
      <c r="AW20" t="s">
        <v>2109</v>
      </c>
      <c r="AX20" t="s">
        <v>364</v>
      </c>
      <c r="AY20" t="s">
        <v>241</v>
      </c>
      <c r="AZ20" t="s">
        <v>777</v>
      </c>
      <c r="BA20" t="s">
        <v>396</v>
      </c>
      <c r="BB20" t="s">
        <v>497</v>
      </c>
      <c r="BC20" t="s">
        <v>2110</v>
      </c>
      <c r="BD20" t="s">
        <v>301</v>
      </c>
      <c r="BE20" t="s">
        <v>228</v>
      </c>
      <c r="BF20" t="s">
        <v>778</v>
      </c>
      <c r="BG20" t="s">
        <v>779</v>
      </c>
      <c r="BH20" t="s">
        <v>420</v>
      </c>
      <c r="BI20" t="s">
        <v>182</v>
      </c>
      <c r="BJ20" t="s">
        <v>364</v>
      </c>
      <c r="BK20" t="s">
        <v>711</v>
      </c>
      <c r="BL20" t="s">
        <v>3862</v>
      </c>
      <c r="BM20" t="s">
        <v>2110</v>
      </c>
      <c r="BN20" t="s">
        <v>63</v>
      </c>
      <c r="BO20" t="s">
        <v>63</v>
      </c>
      <c r="BP20">
        <v>10.61</v>
      </c>
      <c r="BQ20">
        <v>-6.34</v>
      </c>
      <c r="BR20">
        <v>-2.46</v>
      </c>
      <c r="BS20">
        <v>11.09</v>
      </c>
      <c r="BT20" t="s">
        <v>1409</v>
      </c>
      <c r="BU20" t="s">
        <v>1848</v>
      </c>
      <c r="BV20">
        <v>55.97</v>
      </c>
      <c r="BW20">
        <v>67.239999999999995</v>
      </c>
      <c r="BX20">
        <v>58.3</v>
      </c>
      <c r="BY20">
        <v>-35.58</v>
      </c>
      <c r="BZ20">
        <v>-4.76</v>
      </c>
      <c r="CA20">
        <v>19.28</v>
      </c>
      <c r="CB20">
        <v>6.39</v>
      </c>
      <c r="CC20">
        <v>-8.9700000000000006</v>
      </c>
      <c r="CD20" t="s">
        <v>3863</v>
      </c>
      <c r="CE20" t="s">
        <v>661</v>
      </c>
      <c r="CF20" s="9">
        <v>3.2786885245901641E-2</v>
      </c>
      <c r="CG20" s="10">
        <v>-11.366159505099482</v>
      </c>
      <c r="CH20" s="9">
        <v>-0.16904276609420776</v>
      </c>
      <c r="CI20" s="9">
        <v>-0.39828431606292725</v>
      </c>
      <c r="CJ20" s="9">
        <v>0.33770492672920227</v>
      </c>
      <c r="CK20" s="9">
        <v>1.666666753590107E-2</v>
      </c>
      <c r="CL20" s="9">
        <v>0.5</v>
      </c>
      <c r="CM20" s="10">
        <v>-3.6556177139282227</v>
      </c>
      <c r="CN20" s="10">
        <v>-1.2309774160385132</v>
      </c>
      <c r="CO20" s="10">
        <v>0.3644859790802002</v>
      </c>
      <c r="CP20" s="10">
        <v>0.20287701487541199</v>
      </c>
      <c r="CQ20" s="10">
        <v>1.690547913312912E-2</v>
      </c>
      <c r="CR20">
        <v>91.003855381510178</v>
      </c>
      <c r="CS20">
        <v>15.851871668474919</v>
      </c>
      <c r="CT20">
        <v>0</v>
      </c>
      <c r="CU20" s="9">
        <v>5.7408902421593667E-2</v>
      </c>
      <c r="CV20" s="10">
        <v>-0.86046533137559889</v>
      </c>
      <c r="CW20">
        <v>0.06</v>
      </c>
      <c r="CX20" t="e">
        <v>#VALUE!</v>
      </c>
      <c r="CY20" t="s">
        <v>1282</v>
      </c>
      <c r="CZ20">
        <v>5.7408902421593667E-2</v>
      </c>
      <c r="DA20" t="e">
        <v>#VALUE!</v>
      </c>
      <c r="DB20" t="s">
        <v>1283</v>
      </c>
      <c r="DC20">
        <v>5.453845730051398E-2</v>
      </c>
      <c r="DD20" t="e">
        <v>#VALUE!</v>
      </c>
      <c r="DE20" t="s">
        <v>1283</v>
      </c>
      <c r="DF20">
        <v>5.0519834131002431E-2</v>
      </c>
      <c r="DG20" t="e">
        <v>#VALUE!</v>
      </c>
      <c r="DH20" t="s">
        <v>1283</v>
      </c>
      <c r="DI20">
        <v>4.592712193727494E-2</v>
      </c>
      <c r="DJ20" t="e">
        <v>#VALUE!</v>
      </c>
      <c r="DK20" t="s">
        <v>1283</v>
      </c>
      <c r="DL20">
        <v>4.0186231695115565E-2</v>
      </c>
      <c r="DM20">
        <v>-157000000</v>
      </c>
      <c r="DN20">
        <v>5.7408902421593667E-2</v>
      </c>
      <c r="DO20">
        <v>2941517100</v>
      </c>
      <c r="DP20">
        <v>658673600</v>
      </c>
      <c r="DQ20">
        <v>1482</v>
      </c>
      <c r="DR20">
        <v>-2.4622017175692026E-2</v>
      </c>
      <c r="DS20">
        <v>-10.505694173723883</v>
      </c>
      <c r="DT20" s="11">
        <v>-0.52333333333333332</v>
      </c>
      <c r="DU20">
        <v>-2.1150000000000002</v>
      </c>
      <c r="DV20">
        <v>-2.6383333333333336</v>
      </c>
      <c r="DW20">
        <v>7.416015625</v>
      </c>
      <c r="DX20">
        <v>0.59425894339622531</v>
      </c>
      <c r="DY20">
        <v>7.1390569432488205</v>
      </c>
      <c r="DZ20">
        <v>4735</v>
      </c>
      <c r="EA20">
        <v>7.0101543147673864</v>
      </c>
      <c r="EB20">
        <v>7</v>
      </c>
      <c r="EC20">
        <v>0.36170147496805127</v>
      </c>
      <c r="ED20">
        <v>1.082099556936378</v>
      </c>
      <c r="EE20" s="12">
        <v>0.1469</v>
      </c>
      <c r="EF20">
        <v>0.1464</v>
      </c>
      <c r="EG20">
        <v>26.334258943396225</v>
      </c>
      <c r="EH20" t="s">
        <v>1099</v>
      </c>
      <c r="EI20">
        <v>1</v>
      </c>
      <c r="EJ20">
        <v>0</v>
      </c>
      <c r="EK20" s="14">
        <v>45504</v>
      </c>
      <c r="EL20" s="15">
        <v>0.46</v>
      </c>
      <c r="EM20" s="15">
        <v>-1.1499999999999999</v>
      </c>
      <c r="EN20" s="15">
        <v>4.0199999999999996</v>
      </c>
      <c r="EO20" s="15">
        <v>9.57</v>
      </c>
      <c r="EP20" s="15">
        <v>-0.05</v>
      </c>
    </row>
    <row r="21" spans="1:146" ht="204" hidden="1" x14ac:dyDescent="0.25">
      <c r="A21" s="7"/>
      <c r="B21" s="7"/>
      <c r="C21" s="7" t="str">
        <f>"公司是国内领先的互联网金融信息服务提供商。公司主要业务是为各类机构客户提供软件产品和系统维护服务、金融数据服务、智能推广服务，为个人投资者提供金融资讯、投资理财分析工具、理财产品投资交易等服务。同时公司已构建同花顺AI开放平台"&amp;CHAR(10)&amp;Basic_Fundamental_Information_Constructure(F21)&amp;CHAR(10)&amp;Basic_Fundamental_Information_Concatenate("增值电信业务 8.00亿 57.57% 56.56% 86.01%
广告及互联网推广服务 3.23亿 23.23% 25.02% 94.31%
基金销售及其他交易手续费 1.76亿 12.65% 12.45% 86.13%
软件销售及维护 9094.49万 6.55% 5.97% 79.84%")</f>
        <v>公司是国内领先的互联网金融信息服务提供商。公司主要业务是为各类机构客户提供软件产品和系统维护服务、金融数据服务、智能推广服务，为个人投资者提供金融资讯、投资理财分析工具、理财产品投资交易等服务。同时公司已构建同花顺AI开放平台
市值574.74816亿, 利润14.02亿; PE41.53; 平均PE41.75; 平均PEG1.83, PB9.2; ROIC20.4133%; ROE23.51%; 股利率2.0578%; 毛利90.04%; 净利47.1067%; 上一年度营收增.14%, 利润增-17.09%; 当季营收增1.48%, 利润增-14.86%; 过往5年营收增22.76%, 利润增23.17%
Income profile:
增值电信业务 8.00亿 57.57% 56.56% 86.01%
广告及互联网推广服务 3.23亿 23.23% 25.02% 94.31%
基金销售及其他交易手续费 1.76亿 12.65% 12.45% 86.13%
软件销售及维护 9094.49万 6.55% 5.97% 79.84%</v>
      </c>
      <c r="D21" t="s">
        <v>108</v>
      </c>
      <c r="E21" t="s">
        <v>27</v>
      </c>
      <c r="F21">
        <v>106.91</v>
      </c>
      <c r="G21">
        <v>10.43</v>
      </c>
      <c r="H21" t="s">
        <v>3864</v>
      </c>
      <c r="I21">
        <v>57474816000</v>
      </c>
      <c r="J21">
        <v>41.53</v>
      </c>
      <c r="K21">
        <v>9.1999999999999993</v>
      </c>
      <c r="L21" t="s">
        <v>1277</v>
      </c>
      <c r="M21" t="s">
        <v>2111</v>
      </c>
      <c r="N21" t="s">
        <v>2112</v>
      </c>
      <c r="O21" t="s">
        <v>1222</v>
      </c>
      <c r="P21">
        <v>1.47</v>
      </c>
      <c r="Q21" t="s">
        <v>2123</v>
      </c>
      <c r="R21">
        <v>103866229</v>
      </c>
      <c r="S21" s="5">
        <v>-0.15029999999999999</v>
      </c>
      <c r="T21" t="s">
        <v>1438</v>
      </c>
      <c r="U21">
        <v>273489580</v>
      </c>
      <c r="V21">
        <v>537600000</v>
      </c>
      <c r="W21">
        <v>1.37</v>
      </c>
      <c r="X21">
        <v>7.0000000000000007E-2</v>
      </c>
      <c r="Y21">
        <v>16.78</v>
      </c>
      <c r="Z21" t="s">
        <v>877</v>
      </c>
      <c r="AA21" t="s">
        <v>173</v>
      </c>
      <c r="AB21" t="s">
        <v>305</v>
      </c>
      <c r="AC21" t="s">
        <v>2113</v>
      </c>
      <c r="AD21" t="s">
        <v>63</v>
      </c>
      <c r="AE21">
        <v>-75657224</v>
      </c>
      <c r="AF21" t="s">
        <v>2114</v>
      </c>
      <c r="AG21" t="s">
        <v>63</v>
      </c>
      <c r="AH21" t="s">
        <v>2115</v>
      </c>
      <c r="AI21" t="s">
        <v>2116</v>
      </c>
      <c r="AJ21" t="s">
        <v>2117</v>
      </c>
      <c r="AK21" t="s">
        <v>63</v>
      </c>
      <c r="AL21" t="s">
        <v>2118</v>
      </c>
      <c r="AM21" t="s">
        <v>63</v>
      </c>
      <c r="AN21" t="s">
        <v>1310</v>
      </c>
      <c r="AO21" t="s">
        <v>63</v>
      </c>
      <c r="AP21" t="s">
        <v>63</v>
      </c>
      <c r="AQ21" t="s">
        <v>319</v>
      </c>
      <c r="AR21" t="s">
        <v>63</v>
      </c>
      <c r="AS21" t="s">
        <v>2119</v>
      </c>
      <c r="AT21" t="s">
        <v>63</v>
      </c>
      <c r="AU21" t="s">
        <v>2120</v>
      </c>
      <c r="AV21" t="s">
        <v>2121</v>
      </c>
      <c r="AW21" t="s">
        <v>2122</v>
      </c>
      <c r="AX21" t="s">
        <v>1463</v>
      </c>
      <c r="AY21" t="s">
        <v>461</v>
      </c>
      <c r="AZ21" t="s">
        <v>780</v>
      </c>
      <c r="BA21" t="s">
        <v>384</v>
      </c>
      <c r="BB21" t="s">
        <v>782</v>
      </c>
      <c r="BC21" t="s">
        <v>1464</v>
      </c>
      <c r="BD21" t="s">
        <v>1143</v>
      </c>
      <c r="BE21" t="s">
        <v>781</v>
      </c>
      <c r="BF21" t="s">
        <v>385</v>
      </c>
      <c r="BG21" t="s">
        <v>732</v>
      </c>
      <c r="BH21" t="s">
        <v>2123</v>
      </c>
      <c r="BI21" t="s">
        <v>777</v>
      </c>
      <c r="BJ21" t="s">
        <v>1463</v>
      </c>
      <c r="BK21" t="s">
        <v>1438</v>
      </c>
      <c r="BL21" t="s">
        <v>182</v>
      </c>
      <c r="BM21" t="s">
        <v>1464</v>
      </c>
      <c r="BN21">
        <v>8.98</v>
      </c>
      <c r="BO21">
        <v>22.29</v>
      </c>
      <c r="BP21">
        <v>29.97</v>
      </c>
      <c r="BQ21">
        <v>11.39</v>
      </c>
      <c r="BR21">
        <v>25.55</v>
      </c>
      <c r="BS21">
        <v>33.590000000000003</v>
      </c>
      <c r="BT21" t="s">
        <v>2124</v>
      </c>
      <c r="BU21" t="s">
        <v>1848</v>
      </c>
      <c r="BV21">
        <v>89.09</v>
      </c>
      <c r="BW21">
        <v>89.61</v>
      </c>
      <c r="BX21">
        <v>91.42</v>
      </c>
      <c r="BY21">
        <v>39.35</v>
      </c>
      <c r="BZ21">
        <v>47.52</v>
      </c>
      <c r="CA21">
        <v>54.45</v>
      </c>
      <c r="CB21">
        <v>12.95</v>
      </c>
      <c r="CC21">
        <v>-5.26</v>
      </c>
      <c r="CD21" t="s">
        <v>3865</v>
      </c>
      <c r="CE21" t="s">
        <v>436</v>
      </c>
      <c r="CF21" s="9">
        <v>1.4754098360655738E-2</v>
      </c>
      <c r="CG21" s="10">
        <v>-0.14863746721311474</v>
      </c>
      <c r="CH21" s="9">
        <v>1.4048709999769926E-3</v>
      </c>
      <c r="CI21" s="9">
        <v>1.3960095122456551E-2</v>
      </c>
      <c r="CJ21" s="9">
        <v>0.23417726159095764</v>
      </c>
      <c r="CK21" s="9">
        <v>0.63260620832443237</v>
      </c>
      <c r="CL21" s="9">
        <v>0.25594803690910339</v>
      </c>
      <c r="CM21" s="10">
        <v>-0.17090481519699097</v>
      </c>
      <c r="CN21" s="10">
        <v>-0.1151229664683342</v>
      </c>
      <c r="CO21" s="10">
        <v>0.10846871137619019</v>
      </c>
      <c r="CP21" s="10">
        <v>0.91982179880142212</v>
      </c>
      <c r="CQ21" s="10">
        <v>0.41640380024909973</v>
      </c>
      <c r="CR21">
        <v>41.749261016949148</v>
      </c>
      <c r="CS21">
        <v>1.8341705650332882</v>
      </c>
      <c r="CT21">
        <v>2.057805630904499</v>
      </c>
      <c r="CU21" s="9">
        <v>0.2276192945893854</v>
      </c>
      <c r="CV21" s="10">
        <v>0.23173330575227738</v>
      </c>
      <c r="CW21">
        <v>0.06</v>
      </c>
      <c r="CX21">
        <v>33.107598792833194</v>
      </c>
      <c r="CY21">
        <v>1623700236.8059607</v>
      </c>
      <c r="CZ21">
        <v>0.2276192945893854</v>
      </c>
      <c r="DA21">
        <v>9.6473095099790012</v>
      </c>
      <c r="DB21">
        <v>5572208079.8169613</v>
      </c>
      <c r="DC21">
        <v>0.21623832985991612</v>
      </c>
      <c r="DD21">
        <v>4.0443042664254234</v>
      </c>
      <c r="DE21">
        <v>13291981131.655361</v>
      </c>
      <c r="DF21">
        <v>0.20030497923865914</v>
      </c>
      <c r="DG21">
        <v>2.0053757940922359</v>
      </c>
      <c r="DH21">
        <v>26806355276.834209</v>
      </c>
      <c r="DI21">
        <v>0.18209543567150832</v>
      </c>
      <c r="DJ21">
        <v>0.65723981058226921</v>
      </c>
      <c r="DK21">
        <v>81791783051.570114</v>
      </c>
      <c r="DL21">
        <v>0.15933350621256978</v>
      </c>
      <c r="DM21">
        <v>1402000000</v>
      </c>
      <c r="DN21">
        <v>0.2276192945893854</v>
      </c>
      <c r="DO21">
        <v>53756816000</v>
      </c>
      <c r="DP21">
        <v>4766955700</v>
      </c>
      <c r="DQ21">
        <v>1527</v>
      </c>
      <c r="DR21">
        <v>-0.21286519622872965</v>
      </c>
      <c r="DS21">
        <v>-0.38037077296539212</v>
      </c>
      <c r="DT21" s="11">
        <v>2.6666666666666616E-2</v>
      </c>
      <c r="DU21">
        <v>0.16666666666666666</v>
      </c>
      <c r="DV21">
        <v>0.19333333333333327</v>
      </c>
      <c r="DW21">
        <v>5.4061776061776063</v>
      </c>
      <c r="DX21">
        <v>1.0592005813953516</v>
      </c>
      <c r="DY21">
        <v>5.0971579195474543</v>
      </c>
      <c r="DZ21">
        <v>1364</v>
      </c>
      <c r="EA21">
        <v>5.0712136356275783</v>
      </c>
      <c r="EB21">
        <v>5</v>
      </c>
      <c r="EC21">
        <v>7.652994791666666E-2</v>
      </c>
      <c r="ED21">
        <v>0.31994047619047616</v>
      </c>
      <c r="EE21" s="12">
        <v>-3.0718100000000002</v>
      </c>
      <c r="EF21">
        <v>-3.0325000000000002</v>
      </c>
      <c r="EG21">
        <v>82.239200581395352</v>
      </c>
      <c r="EH21" t="s">
        <v>1470</v>
      </c>
      <c r="EI21">
        <v>1</v>
      </c>
      <c r="EJ21">
        <v>1</v>
      </c>
      <c r="EK21" s="14">
        <v>45504</v>
      </c>
      <c r="EL21" s="15">
        <v>-1.53</v>
      </c>
      <c r="EM21" s="15">
        <v>4.04</v>
      </c>
      <c r="EN21" s="15">
        <v>0.56999999999999995</v>
      </c>
      <c r="EO21" s="15">
        <v>-1.79</v>
      </c>
      <c r="EP21" s="15">
        <v>10.43</v>
      </c>
    </row>
    <row r="22" spans="1:146" ht="204" x14ac:dyDescent="0.25">
      <c r="A22" s="7" t="s">
        <v>1104</v>
      </c>
      <c r="B22" s="7" t="s">
        <v>1806</v>
      </c>
      <c r="C22" s="7" t="str">
        <f>"公司聚焦地理信息系统相关软件技术研发与应用服务，下设基础软件、应用软件、云服务三大GIS业务块板，并构建生态伙伴体系，通过1000余家生态伙伴为数十个行业的政府和企事业单位信息化全面赋能。"&amp;CHAR(10)&amp;Basic_Fundamental_Information_Constructure(F22)&amp;CHAR(10)&amp;Basic_Fundamental_Information_Concatenate("GIS软件 18.52亿 98.77% 利润占比98.37% 57.17% 增速16.40%
其他业务 2301.65万 1.23% 利润占比1.63% 76.20% 增速21.98%
90%是政府客户。增速2016最高78%，随后2017 50%，2018 21%， 2019 14%。2020和去年2019持平；2021年，营收增速16.46%，利润增速22.55%")</f>
        <v>公司聚焦地理信息系统相关软件技术研发与应用服务，下设基础软件、应用软件、云服务三大GIS业务块板，并构建生态伙伴体系，通过1000余家生态伙伴为数十个行业的政府和企事业单位信息化全面赋能。
市值73.520779亿, 利润1.52亿; PE50.78; 平均PE61.01; 平均PEG9.34, PB2.44; ROIC7.29%; ROE1.56%; 股利率.6702%; 毛利53.94%; 净利.34%; 上一年度营收增24%, 利润增144.84%; 当季营收增1.02%, 利润增-60.12%; 过往5年营收增6.53%, 利润增-2.53%
Income profile:
GIS软件 18.52亿 98.77% 利润占比98.37% 57.17% 增速16.40%
其他业务 2301.65万 1.23% 利润占比1.63% 76.20% 增速21.98%
90%是政府客户。增速2016最高78%，随后2017 50%，2018 21%， 2019 14%。2020和去年2019持平；2021年，营收增速16.46%，利润增速22.55%</v>
      </c>
      <c r="D22" t="s">
        <v>126</v>
      </c>
      <c r="E22" t="s">
        <v>43</v>
      </c>
      <c r="F22">
        <v>14.92</v>
      </c>
      <c r="G22">
        <v>1.22</v>
      </c>
      <c r="H22" t="s">
        <v>3866</v>
      </c>
      <c r="I22">
        <v>7352077900</v>
      </c>
      <c r="J22">
        <v>50.78</v>
      </c>
      <c r="K22">
        <v>2.44</v>
      </c>
      <c r="L22" t="s">
        <v>1277</v>
      </c>
      <c r="M22" t="s">
        <v>683</v>
      </c>
      <c r="N22" t="s">
        <v>2125</v>
      </c>
      <c r="O22" t="s">
        <v>582</v>
      </c>
      <c r="P22">
        <v>1.1100000000000001</v>
      </c>
      <c r="Q22" t="s">
        <v>2138</v>
      </c>
      <c r="R22">
        <v>4860353</v>
      </c>
      <c r="S22" s="5">
        <v>-0.60119999999999996</v>
      </c>
      <c r="T22" t="s">
        <v>455</v>
      </c>
      <c r="U22">
        <v>437226960</v>
      </c>
      <c r="V22">
        <v>492766620</v>
      </c>
      <c r="W22">
        <v>1.43</v>
      </c>
      <c r="X22">
        <v>7.0000000000000007E-2</v>
      </c>
      <c r="Y22">
        <v>1.32</v>
      </c>
      <c r="Z22" t="s">
        <v>287</v>
      </c>
      <c r="AA22" t="s">
        <v>381</v>
      </c>
      <c r="AB22" t="s">
        <v>2126</v>
      </c>
      <c r="AC22" t="s">
        <v>2127</v>
      </c>
      <c r="AD22" t="s">
        <v>63</v>
      </c>
      <c r="AE22">
        <v>-1357970</v>
      </c>
      <c r="AF22" t="s">
        <v>2128</v>
      </c>
      <c r="AG22" t="s">
        <v>2129</v>
      </c>
      <c r="AH22" t="s">
        <v>2130</v>
      </c>
      <c r="AI22" t="s">
        <v>2131</v>
      </c>
      <c r="AJ22" t="s">
        <v>2132</v>
      </c>
      <c r="AK22" t="s">
        <v>2133</v>
      </c>
      <c r="AL22" t="s">
        <v>2134</v>
      </c>
      <c r="AM22" t="s">
        <v>63</v>
      </c>
      <c r="AN22">
        <v>0</v>
      </c>
      <c r="AO22" t="s">
        <v>2135</v>
      </c>
      <c r="AP22" t="s">
        <v>63</v>
      </c>
      <c r="AQ22" t="s">
        <v>523</v>
      </c>
      <c r="AR22" t="s">
        <v>63</v>
      </c>
      <c r="AS22" t="s">
        <v>1688</v>
      </c>
      <c r="AT22" t="s">
        <v>2136</v>
      </c>
      <c r="AU22" t="s">
        <v>1747</v>
      </c>
      <c r="AV22" t="s">
        <v>405</v>
      </c>
      <c r="AW22" t="s">
        <v>2137</v>
      </c>
      <c r="AX22" t="s">
        <v>761</v>
      </c>
      <c r="AY22" t="s">
        <v>1145</v>
      </c>
      <c r="AZ22" t="s">
        <v>783</v>
      </c>
      <c r="BA22" t="s">
        <v>390</v>
      </c>
      <c r="BB22" t="s">
        <v>784</v>
      </c>
      <c r="BC22" t="s">
        <v>1294</v>
      </c>
      <c r="BD22" t="s">
        <v>675</v>
      </c>
      <c r="BE22" t="s">
        <v>214</v>
      </c>
      <c r="BF22" t="s">
        <v>391</v>
      </c>
      <c r="BG22" t="s">
        <v>186</v>
      </c>
      <c r="BH22" t="s">
        <v>2138</v>
      </c>
      <c r="BI22" t="s">
        <v>494</v>
      </c>
      <c r="BJ22" t="s">
        <v>761</v>
      </c>
      <c r="BK22" t="s">
        <v>455</v>
      </c>
      <c r="BL22" t="s">
        <v>3867</v>
      </c>
      <c r="BM22" t="s">
        <v>1294</v>
      </c>
      <c r="BN22">
        <v>4.28</v>
      </c>
      <c r="BO22" t="s">
        <v>63</v>
      </c>
      <c r="BP22">
        <v>10.3</v>
      </c>
      <c r="BQ22">
        <v>4.6500000000000004</v>
      </c>
      <c r="BR22">
        <v>-11.32</v>
      </c>
      <c r="BS22">
        <v>11.35</v>
      </c>
      <c r="BT22" t="s">
        <v>1410</v>
      </c>
      <c r="BU22" t="s">
        <v>1830</v>
      </c>
      <c r="BV22">
        <v>57.88</v>
      </c>
      <c r="BW22">
        <v>46.54</v>
      </c>
      <c r="BX22">
        <v>57.4</v>
      </c>
      <c r="BY22">
        <v>7.35</v>
      </c>
      <c r="BZ22">
        <v>-21.55</v>
      </c>
      <c r="CA22">
        <v>15.22</v>
      </c>
      <c r="CB22">
        <v>16.02</v>
      </c>
      <c r="CC22">
        <v>0.95</v>
      </c>
      <c r="CD22" t="s">
        <v>3868</v>
      </c>
      <c r="CE22" t="s">
        <v>3869</v>
      </c>
      <c r="CF22" s="9">
        <v>1.0169491525423728E-2</v>
      </c>
      <c r="CG22" s="10">
        <v>-0.60117889848032302</v>
      </c>
      <c r="CH22" s="9">
        <v>0.2399749755859375</v>
      </c>
      <c r="CI22" s="9">
        <v>-0.14880003035068512</v>
      </c>
      <c r="CJ22" s="9">
        <v>0.1645963191986084</v>
      </c>
      <c r="CK22" s="9">
        <v>-7.2046145796775818E-2</v>
      </c>
      <c r="CL22" s="9">
        <v>0.14295129477977753</v>
      </c>
      <c r="CM22" s="10">
        <v>1.4483776092529297</v>
      </c>
      <c r="CN22" s="10">
        <v>-2.1770832538604736</v>
      </c>
      <c r="CO22" s="10">
        <v>0.2255319207906723</v>
      </c>
      <c r="CP22" s="10">
        <v>7.3059357702732086E-2</v>
      </c>
      <c r="CQ22" s="10">
        <v>0.3035714328289032</v>
      </c>
      <c r="CR22">
        <v>61.01309460580913</v>
      </c>
      <c r="CS22">
        <v>9.3384603387254757</v>
      </c>
      <c r="CT22">
        <v>0.67024128686327078</v>
      </c>
      <c r="CU22" s="9">
        <v>6.5335282683372492E-2</v>
      </c>
      <c r="CV22" s="10">
        <v>-2.5308586657047272E-2</v>
      </c>
      <c r="CW22">
        <v>0.06</v>
      </c>
      <c r="CX22">
        <v>38.209508920338926</v>
      </c>
      <c r="CY22">
        <v>152765059.40365338</v>
      </c>
      <c r="CZ22">
        <v>6.5335282683372492E-2</v>
      </c>
      <c r="DA22">
        <v>12.750780081075456</v>
      </c>
      <c r="DB22">
        <v>457782022.9731133</v>
      </c>
      <c r="DC22">
        <v>6.2068518549203866E-2</v>
      </c>
      <c r="DD22">
        <v>6.4534720694879679</v>
      </c>
      <c r="DE22">
        <v>904486427.94902897</v>
      </c>
      <c r="DF22">
        <v>5.7495048761367795E-2</v>
      </c>
      <c r="DG22">
        <v>3.9970781414994896</v>
      </c>
      <c r="DH22">
        <v>1460336198.9341147</v>
      </c>
      <c r="DI22">
        <v>5.2268226146697995E-2</v>
      </c>
      <c r="DJ22">
        <v>2.2069011385137798</v>
      </c>
      <c r="DK22">
        <v>2644920426.2638307</v>
      </c>
      <c r="DL22">
        <v>4.5734697878360743E-2</v>
      </c>
      <c r="DM22">
        <v>152000000</v>
      </c>
      <c r="DN22">
        <v>6.5335282683372492E-2</v>
      </c>
      <c r="DO22">
        <v>5837077900</v>
      </c>
      <c r="DP22">
        <v>1594396700</v>
      </c>
      <c r="DQ22">
        <v>1530</v>
      </c>
      <c r="DR22">
        <v>-5.5165791157948764E-2</v>
      </c>
      <c r="DS22">
        <v>-0.57587031182327575</v>
      </c>
      <c r="DT22" s="11">
        <v>-0.14000000000000001</v>
      </c>
      <c r="DU22">
        <v>-0.59000000000000008</v>
      </c>
      <c r="DV22">
        <v>-0.73000000000000009</v>
      </c>
      <c r="DW22">
        <v>5.0593008739076151</v>
      </c>
      <c r="DX22">
        <v>1.0311550792452882</v>
      </c>
      <c r="DY22">
        <v>5.0208238030763432</v>
      </c>
      <c r="DZ22">
        <v>3312</v>
      </c>
      <c r="EA22">
        <v>5.0073217600479856</v>
      </c>
      <c r="EB22">
        <v>5</v>
      </c>
      <c r="EC22">
        <v>0.18884416318621583</v>
      </c>
      <c r="ED22">
        <v>0.53777993322680828</v>
      </c>
      <c r="EE22" s="12">
        <v>4.8510000000000005E-2</v>
      </c>
      <c r="EF22">
        <v>3.6310000000000002E-2</v>
      </c>
      <c r="EG22">
        <v>68.351155079245288</v>
      </c>
      <c r="EH22">
        <v>-1</v>
      </c>
      <c r="EI22">
        <v>1</v>
      </c>
      <c r="EJ22">
        <v>0</v>
      </c>
      <c r="EK22" s="14">
        <v>45504</v>
      </c>
      <c r="EL22" s="15">
        <v>-1.91</v>
      </c>
      <c r="EM22" s="15">
        <v>0.54</v>
      </c>
      <c r="EN22" s="15">
        <v>2.4</v>
      </c>
      <c r="EO22" s="15">
        <v>-0.3</v>
      </c>
      <c r="EP22" s="15">
        <v>1.22</v>
      </c>
    </row>
    <row r="23" spans="1:146" ht="108" hidden="1" x14ac:dyDescent="0.25">
      <c r="A23" s="7"/>
      <c r="B23" s="7"/>
      <c r="C23" s="7" t="str">
        <f>""&amp;CHAR(10)&amp;Basic_Fundamental_Information_Constructure(F23)&amp;CHAR(10)&amp;Basic_Fundamental_Information_Concatenate("")</f>
        <v xml:space="preserve">
市值43.302863亿, 利润2833.22万; PE148.6; 平均PE45.9; 平均PEG3.81, PB1.3; ROIC2.1733%; ROE1.0967%; 股利率.2209%; 毛利12.0767%; 净利1.3333%; 上一年度营收增15.72%, 利润增-13.06%; 当季营收增27.05%, 利润增9.63%; 过往5年营收增12.03%, 利润增-26.88%
Income profile:
</v>
      </c>
      <c r="D23" t="s">
        <v>146</v>
      </c>
      <c r="E23" t="s">
        <v>42</v>
      </c>
      <c r="F23">
        <v>6.79</v>
      </c>
      <c r="G23">
        <v>3.19</v>
      </c>
      <c r="H23" t="s">
        <v>3870</v>
      </c>
      <c r="I23">
        <v>4330286300</v>
      </c>
      <c r="J23">
        <v>148.6</v>
      </c>
      <c r="K23">
        <v>1.3</v>
      </c>
      <c r="L23" t="s">
        <v>1277</v>
      </c>
      <c r="M23" t="s">
        <v>2139</v>
      </c>
      <c r="N23" t="s">
        <v>2140</v>
      </c>
      <c r="O23" t="s">
        <v>1710</v>
      </c>
      <c r="P23">
        <v>26.98</v>
      </c>
      <c r="Q23" t="s">
        <v>2154</v>
      </c>
      <c r="R23">
        <v>9091722</v>
      </c>
      <c r="S23" s="5">
        <v>9.6299999999999997E-2</v>
      </c>
      <c r="T23" t="s">
        <v>2155</v>
      </c>
      <c r="U23">
        <v>538921150</v>
      </c>
      <c r="V23">
        <v>637744670</v>
      </c>
      <c r="W23">
        <v>1.92</v>
      </c>
      <c r="X23">
        <v>0.22</v>
      </c>
      <c r="Y23">
        <v>1.41</v>
      </c>
      <c r="Z23" t="s">
        <v>1293</v>
      </c>
      <c r="AA23" t="s">
        <v>1779</v>
      </c>
      <c r="AB23" t="s">
        <v>2141</v>
      </c>
      <c r="AC23" t="s">
        <v>2142</v>
      </c>
      <c r="AD23" t="s">
        <v>63</v>
      </c>
      <c r="AE23">
        <v>18918310</v>
      </c>
      <c r="AF23" t="s">
        <v>2143</v>
      </c>
      <c r="AG23" t="s">
        <v>2144</v>
      </c>
      <c r="AH23" t="s">
        <v>2145</v>
      </c>
      <c r="AI23" t="s">
        <v>282</v>
      </c>
      <c r="AJ23" t="s">
        <v>2146</v>
      </c>
      <c r="AK23" t="s">
        <v>173</v>
      </c>
      <c r="AL23" t="s">
        <v>2147</v>
      </c>
      <c r="AM23" t="s">
        <v>63</v>
      </c>
      <c r="AN23" t="s">
        <v>2148</v>
      </c>
      <c r="AO23" t="s">
        <v>2149</v>
      </c>
      <c r="AP23" t="s">
        <v>63</v>
      </c>
      <c r="AQ23" t="s">
        <v>2150</v>
      </c>
      <c r="AR23" t="s">
        <v>2151</v>
      </c>
      <c r="AS23" t="s">
        <v>1135</v>
      </c>
      <c r="AT23" t="s">
        <v>505</v>
      </c>
      <c r="AU23" t="s">
        <v>738</v>
      </c>
      <c r="AV23" t="s">
        <v>2152</v>
      </c>
      <c r="AW23" t="s">
        <v>2153</v>
      </c>
      <c r="AX23" t="s">
        <v>1467</v>
      </c>
      <c r="AY23" t="s">
        <v>1146</v>
      </c>
      <c r="AZ23" t="s">
        <v>785</v>
      </c>
      <c r="BA23" t="s">
        <v>397</v>
      </c>
      <c r="BB23" t="s">
        <v>786</v>
      </c>
      <c r="BC23" t="s">
        <v>1468</v>
      </c>
      <c r="BD23" t="s">
        <v>1147</v>
      </c>
      <c r="BE23" t="s">
        <v>483</v>
      </c>
      <c r="BF23" t="s">
        <v>306</v>
      </c>
      <c r="BG23" t="s">
        <v>352</v>
      </c>
      <c r="BH23" t="s">
        <v>2154</v>
      </c>
      <c r="BI23" t="s">
        <v>3871</v>
      </c>
      <c r="BJ23" t="s">
        <v>1467</v>
      </c>
      <c r="BK23" t="s">
        <v>2155</v>
      </c>
      <c r="BL23" t="s">
        <v>3872</v>
      </c>
      <c r="BM23" t="s">
        <v>1468</v>
      </c>
      <c r="BN23">
        <v>1.84</v>
      </c>
      <c r="BO23">
        <v>2.2400000000000002</v>
      </c>
      <c r="BP23">
        <v>2.44</v>
      </c>
      <c r="BQ23">
        <v>1.08</v>
      </c>
      <c r="BR23">
        <v>0.99</v>
      </c>
      <c r="BS23">
        <v>1.22</v>
      </c>
      <c r="BT23" t="s">
        <v>1419</v>
      </c>
      <c r="BU23" t="s">
        <v>1848</v>
      </c>
      <c r="BV23">
        <v>10.62</v>
      </c>
      <c r="BW23">
        <v>12.21</v>
      </c>
      <c r="BX23">
        <v>13.4</v>
      </c>
      <c r="BY23">
        <v>1.23</v>
      </c>
      <c r="BZ23">
        <v>1.31</v>
      </c>
      <c r="CA23">
        <v>1.46</v>
      </c>
      <c r="CB23">
        <v>7.78</v>
      </c>
      <c r="CC23">
        <v>-2.02</v>
      </c>
      <c r="CD23" t="s">
        <v>3873</v>
      </c>
      <c r="CE23" t="s">
        <v>343</v>
      </c>
      <c r="CF23" s="9">
        <v>0.27045075125208679</v>
      </c>
      <c r="CG23" s="10">
        <v>9.6326013819050024E-2</v>
      </c>
      <c r="CH23" s="9">
        <v>0.15723814070224762</v>
      </c>
      <c r="CI23" s="9">
        <v>1.3893859460949898E-2</v>
      </c>
      <c r="CJ23" s="9">
        <v>6.8519219756126404E-2</v>
      </c>
      <c r="CK23" s="9">
        <v>0.17512862384319305</v>
      </c>
      <c r="CL23" s="9">
        <v>0.18688611686229706</v>
      </c>
      <c r="CM23" s="10">
        <v>-0.13058340549468994</v>
      </c>
      <c r="CN23" s="10">
        <v>-0.18726056814193726</v>
      </c>
      <c r="CO23" s="10">
        <v>-0.69624245166778564</v>
      </c>
      <c r="CP23" s="10">
        <v>0.12820513546466827</v>
      </c>
      <c r="CQ23" s="10">
        <v>-0.4583333432674408</v>
      </c>
      <c r="CR23">
        <v>45.902813667038977</v>
      </c>
      <c r="CS23">
        <v>3.814642731273191</v>
      </c>
      <c r="CT23">
        <v>0.22091310751104565</v>
      </c>
      <c r="CU23" s="9">
        <v>0.12033319212496281</v>
      </c>
      <c r="CV23" s="10">
        <v>-0.26884292662143705</v>
      </c>
      <c r="CW23">
        <v>0.06</v>
      </c>
      <c r="CX23">
        <v>139.86682763298103</v>
      </c>
      <c r="CY23">
        <v>29944815.156531006</v>
      </c>
      <c r="CZ23">
        <v>0.12033319212496281</v>
      </c>
      <c r="DA23">
        <v>44.552076825989431</v>
      </c>
      <c r="DB23">
        <v>94008778.005086511</v>
      </c>
      <c r="DC23">
        <v>0.11431653251871467</v>
      </c>
      <c r="DD23">
        <v>21.185661662185062</v>
      </c>
      <c r="DE23">
        <v>197694382.49246663</v>
      </c>
      <c r="DF23">
        <v>0.10589320906996727</v>
      </c>
      <c r="DG23">
        <v>12.228518912114206</v>
      </c>
      <c r="DH23">
        <v>342501518.7939781</v>
      </c>
      <c r="DI23">
        <v>9.6266553699970253E-2</v>
      </c>
      <c r="DJ23">
        <v>5.7805120196370519</v>
      </c>
      <c r="DK23">
        <v>724552822.61708283</v>
      </c>
      <c r="DL23">
        <v>8.4233234487473968E-2</v>
      </c>
      <c r="DM23">
        <v>28332199.999999996</v>
      </c>
      <c r="DN23">
        <v>0.12033319212496281</v>
      </c>
      <c r="DO23">
        <v>4188286300</v>
      </c>
      <c r="DP23">
        <v>1862112700</v>
      </c>
      <c r="DQ23">
        <v>1540</v>
      </c>
      <c r="DR23">
        <v>0.15011755912712399</v>
      </c>
      <c r="DS23">
        <v>0.36516894044048709</v>
      </c>
      <c r="DT23" s="11">
        <v>-5.6666666666666719E-2</v>
      </c>
      <c r="DU23">
        <v>-0.51666666666666672</v>
      </c>
      <c r="DV23">
        <v>-0.57333333333333347</v>
      </c>
      <c r="DW23">
        <v>5.2596401028277633</v>
      </c>
      <c r="DX23">
        <v>0.59574860050890543</v>
      </c>
      <c r="DY23">
        <v>5.0430349836796902</v>
      </c>
      <c r="DZ23">
        <v>3058</v>
      </c>
      <c r="EA23">
        <v>5.0172712835832742</v>
      </c>
      <c r="EB23">
        <v>5</v>
      </c>
      <c r="EC23">
        <v>0.10213993634788042</v>
      </c>
      <c r="ED23">
        <v>0.61623408001198976</v>
      </c>
      <c r="EE23" s="12">
        <v>-6.0015099999999997</v>
      </c>
      <c r="EF23">
        <v>-6.0304000000000002</v>
      </c>
      <c r="EG23">
        <v>43.165748600508905</v>
      </c>
      <c r="EH23" t="s">
        <v>1726</v>
      </c>
      <c r="EI23">
        <v>1</v>
      </c>
      <c r="EJ23">
        <v>0</v>
      </c>
      <c r="EK23" s="14">
        <v>45504</v>
      </c>
      <c r="EL23" s="15">
        <v>-0.94</v>
      </c>
      <c r="EM23" s="15">
        <v>0.95</v>
      </c>
      <c r="EN23" s="15">
        <v>1.26</v>
      </c>
      <c r="EO23" s="15">
        <v>1.55</v>
      </c>
      <c r="EP23" s="15">
        <v>3.19</v>
      </c>
    </row>
    <row r="24" spans="1:146" ht="96" hidden="1" x14ac:dyDescent="0.25">
      <c r="A24" s="7"/>
      <c r="B24" s="7"/>
      <c r="C24" s="7" t="str">
        <f>""&amp;CHAR(10)&amp;Basic_Fundamental_Information_Constructure(F24)&amp;CHAR(10)&amp;Basic_Fundamental_Information_Concatenate("")</f>
        <v xml:space="preserve">
市值17.576792亿, 利润1090.07万; PE; 平均PE-324.05; 平均PEG-77.13, PB1.71; ROIC1.59%; ROE-3.34%; 股利率0%; 毛利43.22%; 净利-5.3967%; 上一年度营收增28.57%, 利润增110.28%; 当季营收增-63.28%, 利润增-1059.34%; 过往5年营收增4.2%, 利润增-233.18%
Income profile:
</v>
      </c>
      <c r="D24" t="s">
        <v>88</v>
      </c>
      <c r="E24" t="s">
        <v>61</v>
      </c>
      <c r="F24">
        <v>3.31</v>
      </c>
      <c r="G24">
        <v>3.44</v>
      </c>
      <c r="H24" t="s">
        <v>3874</v>
      </c>
      <c r="I24">
        <v>1757679200</v>
      </c>
      <c r="K24">
        <v>1.71</v>
      </c>
      <c r="L24" t="s">
        <v>1277</v>
      </c>
      <c r="M24" t="s">
        <v>653</v>
      </c>
      <c r="N24" t="s">
        <v>1489</v>
      </c>
      <c r="O24" t="s">
        <v>2156</v>
      </c>
      <c r="P24">
        <v>-63.28</v>
      </c>
      <c r="Q24" t="s">
        <v>1084</v>
      </c>
      <c r="R24">
        <v>-30220573</v>
      </c>
      <c r="S24" s="5">
        <v>-10.59</v>
      </c>
      <c r="T24" t="s">
        <v>2171</v>
      </c>
      <c r="U24">
        <v>530465740</v>
      </c>
      <c r="V24">
        <v>531020900</v>
      </c>
      <c r="W24">
        <v>1.43</v>
      </c>
      <c r="X24">
        <v>0.02</v>
      </c>
      <c r="Y24">
        <v>-93.83</v>
      </c>
      <c r="Z24" t="s">
        <v>2157</v>
      </c>
      <c r="AA24" t="s">
        <v>2158</v>
      </c>
      <c r="AB24" t="s">
        <v>2159</v>
      </c>
      <c r="AC24" t="s">
        <v>2160</v>
      </c>
      <c r="AD24" t="s">
        <v>63</v>
      </c>
      <c r="AE24">
        <v>803675</v>
      </c>
      <c r="AF24" t="s">
        <v>2161</v>
      </c>
      <c r="AG24" t="s">
        <v>2162</v>
      </c>
      <c r="AH24" t="s">
        <v>2163</v>
      </c>
      <c r="AI24" t="s">
        <v>179</v>
      </c>
      <c r="AJ24" t="s">
        <v>2164</v>
      </c>
      <c r="AK24" t="s">
        <v>2165</v>
      </c>
      <c r="AL24" t="s">
        <v>2166</v>
      </c>
      <c r="AM24" t="s">
        <v>63</v>
      </c>
      <c r="AN24" t="s">
        <v>2167</v>
      </c>
      <c r="AO24" t="s">
        <v>63</v>
      </c>
      <c r="AP24" t="s">
        <v>63</v>
      </c>
      <c r="AQ24" t="s">
        <v>367</v>
      </c>
      <c r="AR24" t="s">
        <v>63</v>
      </c>
      <c r="AS24" t="s">
        <v>833</v>
      </c>
      <c r="AT24" t="s">
        <v>63</v>
      </c>
      <c r="AU24" t="s">
        <v>2168</v>
      </c>
      <c r="AV24" t="s">
        <v>2169</v>
      </c>
      <c r="AW24" t="s">
        <v>2170</v>
      </c>
      <c r="AX24" t="s">
        <v>544</v>
      </c>
      <c r="AY24" t="s">
        <v>577</v>
      </c>
      <c r="AZ24" t="s">
        <v>787</v>
      </c>
      <c r="BA24" t="s">
        <v>272</v>
      </c>
      <c r="BB24" t="s">
        <v>577</v>
      </c>
      <c r="BC24" t="s">
        <v>547</v>
      </c>
      <c r="BD24" t="s">
        <v>1148</v>
      </c>
      <c r="BE24" t="s">
        <v>788</v>
      </c>
      <c r="BF24" t="s">
        <v>789</v>
      </c>
      <c r="BG24" t="s">
        <v>790</v>
      </c>
      <c r="BH24" t="s">
        <v>1084</v>
      </c>
      <c r="BI24" t="s">
        <v>3875</v>
      </c>
      <c r="BJ24" t="s">
        <v>544</v>
      </c>
      <c r="BK24" t="s">
        <v>2171</v>
      </c>
      <c r="BL24" t="s">
        <v>3876</v>
      </c>
      <c r="BM24" t="s">
        <v>547</v>
      </c>
      <c r="BN24" t="s">
        <v>63</v>
      </c>
      <c r="BO24" t="s">
        <v>63</v>
      </c>
      <c r="BP24">
        <v>1.59</v>
      </c>
      <c r="BQ24">
        <v>-1.1399999999999999</v>
      </c>
      <c r="BR24">
        <v>-9.67</v>
      </c>
      <c r="BS24">
        <v>0.79</v>
      </c>
      <c r="BT24" t="s">
        <v>1409</v>
      </c>
      <c r="BU24" t="s">
        <v>1848</v>
      </c>
      <c r="BV24">
        <v>47.55</v>
      </c>
      <c r="BW24">
        <v>39.07</v>
      </c>
      <c r="BX24">
        <v>43.04</v>
      </c>
      <c r="BY24">
        <v>5.14</v>
      </c>
      <c r="BZ24">
        <v>-24.16</v>
      </c>
      <c r="CA24">
        <v>2.83</v>
      </c>
      <c r="CB24">
        <v>5.41</v>
      </c>
      <c r="CC24">
        <v>-6.23</v>
      </c>
      <c r="CD24" t="s">
        <v>3877</v>
      </c>
      <c r="CE24" t="s">
        <v>622</v>
      </c>
      <c r="CF24" s="9">
        <v>-0.63279130428539043</v>
      </c>
      <c r="CG24" s="10">
        <v>-10.593421951125945</v>
      </c>
      <c r="CH24" s="9">
        <v>0.28571429848670959</v>
      </c>
      <c r="CI24" s="9">
        <v>-8.0178171396255493E-2</v>
      </c>
      <c r="CJ24" s="9">
        <v>8.9887641370296478E-3</v>
      </c>
      <c r="CK24" s="9">
        <v>-6.9037653505802155E-2</v>
      </c>
      <c r="CL24" s="9">
        <v>6.4587973058223724E-2</v>
      </c>
      <c r="CM24" s="10">
        <v>1.1028368473052979</v>
      </c>
      <c r="CN24" s="10">
        <v>-12.658985137939453</v>
      </c>
      <c r="CO24" s="10">
        <v>-0.59886431694030762</v>
      </c>
      <c r="CP24" s="10">
        <v>0.41954615712165833</v>
      </c>
      <c r="CQ24" s="10">
        <v>7.6512828469276428E-2</v>
      </c>
      <c r="CR24">
        <v>-324.04693822995307</v>
      </c>
      <c r="CS24">
        <v>-77.12641035249402</v>
      </c>
      <c r="CT24">
        <v>0</v>
      </c>
      <c r="CU24" s="9">
        <v>4.2015042155981064E-2</v>
      </c>
      <c r="CV24" s="10">
        <v>-2.3317907243967055</v>
      </c>
      <c r="CW24">
        <v>0.06</v>
      </c>
      <c r="CX24">
        <v>112.42137721309584</v>
      </c>
      <c r="CY24">
        <v>10715748.462292172</v>
      </c>
      <c r="CZ24">
        <v>4.2015042155981064E-2</v>
      </c>
      <c r="DA24">
        <v>38.270085143229267</v>
      </c>
      <c r="DB24">
        <v>31478351.707120035</v>
      </c>
      <c r="DC24">
        <v>3.9914290048182012E-2</v>
      </c>
      <c r="DD24">
        <v>19.876706572711591</v>
      </c>
      <c r="DE24">
        <v>60607585.848949678</v>
      </c>
      <c r="DF24">
        <v>3.6973237097263335E-2</v>
      </c>
      <c r="DG24">
        <v>12.661781855380065</v>
      </c>
      <c r="DH24">
        <v>95142943.841519803</v>
      </c>
      <c r="DI24">
        <v>3.361203372478485E-2</v>
      </c>
      <c r="DJ24">
        <v>7.4087483183471212</v>
      </c>
      <c r="DK24">
        <v>162602257.25534725</v>
      </c>
      <c r="DL24">
        <v>2.9410529509186743E-2</v>
      </c>
      <c r="DM24">
        <v>10900700</v>
      </c>
      <c r="DN24">
        <v>4.2015042155981064E-2</v>
      </c>
      <c r="DO24">
        <v>1204679200</v>
      </c>
      <c r="DP24">
        <v>406860250</v>
      </c>
      <c r="DQ24">
        <v>1565</v>
      </c>
      <c r="DR24">
        <v>-0.6748063464413715</v>
      </c>
      <c r="DS24">
        <v>-8.2616312267292393</v>
      </c>
      <c r="DT24" s="11">
        <v>-0.27333333333333337</v>
      </c>
      <c r="DU24">
        <v>-1.2983333333333333</v>
      </c>
      <c r="DV24">
        <v>-1.5716666666666668</v>
      </c>
      <c r="DW24">
        <v>6.4647766323024056</v>
      </c>
      <c r="DX24">
        <v>0.4201123060109293</v>
      </c>
      <c r="DY24">
        <v>6.0930075236700283</v>
      </c>
      <c r="DZ24">
        <v>4070</v>
      </c>
      <c r="EA24">
        <v>6.0189001193362355</v>
      </c>
      <c r="EB24">
        <v>6</v>
      </c>
      <c r="EC24">
        <v>0.13792507978499527</v>
      </c>
      <c r="ED24">
        <v>0.68923840850708518</v>
      </c>
      <c r="EE24" s="12">
        <v>1.02261</v>
      </c>
      <c r="EF24">
        <v>1.0118</v>
      </c>
      <c r="EG24">
        <v>22.200112306010929</v>
      </c>
      <c r="EH24" t="s">
        <v>1286</v>
      </c>
      <c r="EI24">
        <v>0</v>
      </c>
      <c r="EJ24">
        <v>0</v>
      </c>
      <c r="EK24" s="14">
        <v>45504</v>
      </c>
      <c r="EL24" s="15">
        <v>0</v>
      </c>
      <c r="EM24" s="15">
        <v>-1.27</v>
      </c>
      <c r="EN24" s="15">
        <v>0.65</v>
      </c>
      <c r="EO24" s="15">
        <v>2.88</v>
      </c>
      <c r="EP24" s="15">
        <v>3.44</v>
      </c>
    </row>
    <row r="25" spans="1:146" ht="96" hidden="1" x14ac:dyDescent="0.25">
      <c r="C25" s="7" t="str">
        <f>""&amp;CHAR(10)&amp;Basic_Fundamental_Information_Constructure(F25)&amp;CHAR(10)&amp;Basic_Fundamental_Information_Concatenate("")</f>
        <v xml:space="preserve">
市值89.070065亿, 利润1.34亿; PE63.31; 平均PE53.28; 平均PEG97.28, PB2.17; ROIC5.6633%; ROE5.9833%; 股利率.3487%; 毛利39.2967%; 净利13.9133%; 上一年度营收增-20.51%, 利润增-47.45%; 当季营收增8.09%, 利润增12.53%; 过往5年营收增-.55%, 利润增7.85%
Income profile:
</v>
      </c>
      <c r="D25" t="s">
        <v>140</v>
      </c>
      <c r="E25" t="s">
        <v>49</v>
      </c>
      <c r="F25">
        <v>14.34</v>
      </c>
      <c r="G25">
        <v>2.94</v>
      </c>
      <c r="H25" t="s">
        <v>3878</v>
      </c>
      <c r="I25">
        <v>8907006500</v>
      </c>
      <c r="J25">
        <v>63.31</v>
      </c>
      <c r="K25">
        <v>2.17</v>
      </c>
      <c r="L25" t="s">
        <v>1277</v>
      </c>
      <c r="M25" t="s">
        <v>1810</v>
      </c>
      <c r="N25" t="s">
        <v>2172</v>
      </c>
      <c r="O25" t="s">
        <v>560</v>
      </c>
      <c r="P25">
        <v>8.15</v>
      </c>
      <c r="Q25" t="s">
        <v>944</v>
      </c>
      <c r="R25">
        <v>56535278</v>
      </c>
      <c r="S25" s="5">
        <v>0.12529999999999999</v>
      </c>
      <c r="T25" t="s">
        <v>230</v>
      </c>
      <c r="U25">
        <v>514390730</v>
      </c>
      <c r="V25">
        <v>621130160</v>
      </c>
      <c r="W25">
        <v>1.2</v>
      </c>
      <c r="X25">
        <v>0.06</v>
      </c>
      <c r="Y25">
        <v>19.29</v>
      </c>
      <c r="Z25" t="s">
        <v>214</v>
      </c>
      <c r="AA25" t="s">
        <v>295</v>
      </c>
      <c r="AB25" t="s">
        <v>2173</v>
      </c>
      <c r="AC25" t="s">
        <v>2174</v>
      </c>
      <c r="AD25" t="s">
        <v>63</v>
      </c>
      <c r="AE25">
        <v>-4351483</v>
      </c>
      <c r="AF25" t="s">
        <v>2175</v>
      </c>
      <c r="AG25" t="s">
        <v>2176</v>
      </c>
      <c r="AH25" t="s">
        <v>2177</v>
      </c>
      <c r="AI25" t="s">
        <v>432</v>
      </c>
      <c r="AJ25" t="s">
        <v>2178</v>
      </c>
      <c r="AK25" t="s">
        <v>2179</v>
      </c>
      <c r="AL25" t="s">
        <v>2180</v>
      </c>
      <c r="AM25" t="s">
        <v>63</v>
      </c>
      <c r="AN25">
        <v>0</v>
      </c>
      <c r="AO25" t="s">
        <v>1532</v>
      </c>
      <c r="AP25" t="s">
        <v>63</v>
      </c>
      <c r="AQ25" t="s">
        <v>583</v>
      </c>
      <c r="AR25" t="s">
        <v>1717</v>
      </c>
      <c r="AS25" t="s">
        <v>846</v>
      </c>
      <c r="AT25" t="s">
        <v>63</v>
      </c>
      <c r="AU25" t="s">
        <v>1446</v>
      </c>
      <c r="AV25" t="s">
        <v>2181</v>
      </c>
      <c r="AW25" t="s">
        <v>2182</v>
      </c>
      <c r="AX25" t="s">
        <v>1466</v>
      </c>
      <c r="AY25" t="s">
        <v>1149</v>
      </c>
      <c r="AZ25" t="s">
        <v>791</v>
      </c>
      <c r="BA25" t="s">
        <v>402</v>
      </c>
      <c r="BB25" t="s">
        <v>793</v>
      </c>
      <c r="BC25" t="s">
        <v>234</v>
      </c>
      <c r="BD25" t="s">
        <v>282</v>
      </c>
      <c r="BE25" t="s">
        <v>180</v>
      </c>
      <c r="BF25" t="s">
        <v>365</v>
      </c>
      <c r="BG25" t="s">
        <v>306</v>
      </c>
      <c r="BH25" t="s">
        <v>944</v>
      </c>
      <c r="BI25" t="s">
        <v>570</v>
      </c>
      <c r="BJ25" t="s">
        <v>1466</v>
      </c>
      <c r="BK25" t="s">
        <v>230</v>
      </c>
      <c r="BL25" t="s">
        <v>3879</v>
      </c>
      <c r="BM25" t="s">
        <v>234</v>
      </c>
      <c r="BN25">
        <v>4.32</v>
      </c>
      <c r="BO25">
        <v>6.74</v>
      </c>
      <c r="BP25">
        <v>5.93</v>
      </c>
      <c r="BQ25">
        <v>4.63</v>
      </c>
      <c r="BR25">
        <v>6.98</v>
      </c>
      <c r="BS25">
        <v>6.34</v>
      </c>
      <c r="BT25" t="s">
        <v>1411</v>
      </c>
      <c r="BU25" t="s">
        <v>1848</v>
      </c>
      <c r="BV25">
        <v>40.04</v>
      </c>
      <c r="BW25">
        <v>39.380000000000003</v>
      </c>
      <c r="BX25">
        <v>38.47</v>
      </c>
      <c r="BY25">
        <v>11.03</v>
      </c>
      <c r="BZ25">
        <v>16.77</v>
      </c>
      <c r="CA25">
        <v>13.94</v>
      </c>
      <c r="CB25">
        <v>6.07</v>
      </c>
      <c r="CC25">
        <v>-8.9499999999999993</v>
      </c>
      <c r="CD25" t="s">
        <v>3880</v>
      </c>
      <c r="CE25" t="s">
        <v>594</v>
      </c>
      <c r="CF25" s="9">
        <v>8.0882352941176475E-2</v>
      </c>
      <c r="CG25" s="10">
        <v>0.12531529971436817</v>
      </c>
      <c r="CH25" s="9">
        <v>-0.20511144399642944</v>
      </c>
      <c r="CI25" s="9">
        <v>3.0384920537471771E-2</v>
      </c>
      <c r="CJ25" s="9">
        <v>4.738326370716095E-2</v>
      </c>
      <c r="CK25" s="9">
        <v>0.12400636076927185</v>
      </c>
      <c r="CL25" s="9">
        <v>-2.4049602448940277E-2</v>
      </c>
      <c r="CM25" s="10">
        <v>-0.47450980544090271</v>
      </c>
      <c r="CN25" s="10">
        <v>0.23188406229019165</v>
      </c>
      <c r="CO25" s="10">
        <v>0.30188679695129395</v>
      </c>
      <c r="CP25" s="10">
        <v>0.21374045312404633</v>
      </c>
      <c r="CQ25" s="10">
        <v>0.11965811997652054</v>
      </c>
      <c r="CR25">
        <v>53.282192422731811</v>
      </c>
      <c r="CS25">
        <v>97.278202102723398</v>
      </c>
      <c r="CT25">
        <v>0.34867503486750351</v>
      </c>
      <c r="CU25" s="9">
        <v>-5.4773002862930301E-3</v>
      </c>
      <c r="CV25" s="10">
        <v>7.8531925380229947E-2</v>
      </c>
      <c r="CW25">
        <v>0.06</v>
      </c>
      <c r="CX25">
        <v>41.791093283582093</v>
      </c>
      <c r="CY25" t="s">
        <v>3881</v>
      </c>
      <c r="CZ25">
        <v>-5.4773002862930301E-3</v>
      </c>
      <c r="DA25">
        <v>13.930364427860697</v>
      </c>
      <c r="DB25" t="s">
        <v>3882</v>
      </c>
      <c r="DC25">
        <v>-5.2034352719783784E-3</v>
      </c>
      <c r="DD25">
        <v>6.9651822139303485</v>
      </c>
      <c r="DE25" t="s">
        <v>3883</v>
      </c>
      <c r="DF25">
        <v>-4.8200242519378664E-3</v>
      </c>
      <c r="DG25">
        <v>4.1791093283582086</v>
      </c>
      <c r="DH25" t="s">
        <v>3884</v>
      </c>
      <c r="DI25">
        <v>-4.3818402290344239E-3</v>
      </c>
      <c r="DJ25">
        <v>2.0895546641791043</v>
      </c>
      <c r="DK25" t="s">
        <v>3885</v>
      </c>
      <c r="DL25">
        <v>-3.8341102004051208E-3</v>
      </c>
      <c r="DM25">
        <v>134000000.00000001</v>
      </c>
      <c r="DN25">
        <v>-5.4773002862930301E-3</v>
      </c>
      <c r="DO25">
        <v>5600006500</v>
      </c>
      <c r="DP25">
        <v>3166006700</v>
      </c>
      <c r="DQ25">
        <v>1566</v>
      </c>
      <c r="DR25">
        <v>8.635965322746951E-2</v>
      </c>
      <c r="DS25">
        <v>4.678337433413822E-2</v>
      </c>
      <c r="DT25" s="11">
        <v>-0.60666666666666669</v>
      </c>
      <c r="DU25">
        <v>0.23333333333333331</v>
      </c>
      <c r="DV25">
        <v>-0.37333333333333341</v>
      </c>
      <c r="DW25">
        <v>7.4041278295605863</v>
      </c>
      <c r="DX25">
        <v>0.55601691022964839</v>
      </c>
      <c r="DY25">
        <v>7.0428443838278261</v>
      </c>
      <c r="DZ25">
        <v>2694</v>
      </c>
      <c r="EA25">
        <v>7.020247913578773</v>
      </c>
      <c r="EB25">
        <v>7</v>
      </c>
      <c r="EC25">
        <v>8.175758201791393E-2</v>
      </c>
      <c r="ED25">
        <v>0.77117491766943014</v>
      </c>
      <c r="EE25" s="12">
        <v>-6.0097100000000001</v>
      </c>
      <c r="EF25">
        <v>-6.0197000000000003</v>
      </c>
      <c r="EG25">
        <v>45.106016910229648</v>
      </c>
      <c r="EH25" t="s">
        <v>1726</v>
      </c>
      <c r="EI25">
        <v>1</v>
      </c>
      <c r="EJ25">
        <v>0</v>
      </c>
      <c r="EK25" s="14">
        <v>45504</v>
      </c>
      <c r="EL25" s="15">
        <v>-4.38</v>
      </c>
      <c r="EM25" s="15">
        <v>0.22</v>
      </c>
      <c r="EN25" s="15">
        <v>1.33</v>
      </c>
      <c r="EO25" s="15">
        <v>1.31</v>
      </c>
      <c r="EP25" s="15">
        <v>2.94</v>
      </c>
    </row>
    <row r="26" spans="1:146" ht="96" hidden="1" x14ac:dyDescent="0.25">
      <c r="A26" s="7"/>
      <c r="B26" s="7"/>
      <c r="C26" s="7" t="str">
        <f>""&amp;CHAR(10)&amp;Basic_Fundamental_Information_Constructure(F26)&amp;CHAR(10)&amp;Basic_Fundamental_Information_Concatenate("")</f>
        <v xml:space="preserve">
市值63.45632亿, 利润-1.17亿; PE; 平均PE-82.68; 平均PEG-19.66, PB9.94; ROIC0%; ROE-14.7967%; 股利率0%; 毛利22.4633%; 净利-15.3233%; 上一年度营收增-9.05%, 利润增4.1%; 当季营收增-23.16%, 利润增-2669.47%; 过往5年营收增-4.21%, 利润增-231.58%
Income profile:
</v>
      </c>
      <c r="D26" t="s">
        <v>72</v>
      </c>
      <c r="E26" t="s">
        <v>5</v>
      </c>
      <c r="F26">
        <v>8.98</v>
      </c>
      <c r="G26">
        <v>7.29</v>
      </c>
      <c r="H26" t="s">
        <v>3886</v>
      </c>
      <c r="I26">
        <v>6345632000</v>
      </c>
      <c r="K26">
        <v>9.94</v>
      </c>
      <c r="L26" t="s">
        <v>1277</v>
      </c>
      <c r="M26" t="s">
        <v>1133</v>
      </c>
      <c r="N26" t="s">
        <v>527</v>
      </c>
      <c r="O26" t="s">
        <v>261</v>
      </c>
      <c r="P26">
        <v>-23.06</v>
      </c>
      <c r="Q26" t="s">
        <v>1760</v>
      </c>
      <c r="R26">
        <v>-31388589</v>
      </c>
      <c r="S26" s="5">
        <v>-26.7</v>
      </c>
      <c r="T26" t="s">
        <v>1371</v>
      </c>
      <c r="U26">
        <v>625068360</v>
      </c>
      <c r="V26">
        <v>706640540</v>
      </c>
      <c r="W26">
        <v>1.94</v>
      </c>
      <c r="X26">
        <v>0.16</v>
      </c>
      <c r="Y26">
        <v>-15</v>
      </c>
      <c r="Z26" t="s">
        <v>380</v>
      </c>
      <c r="AA26" t="s">
        <v>189</v>
      </c>
      <c r="AB26" t="s">
        <v>2183</v>
      </c>
      <c r="AC26" t="s">
        <v>2184</v>
      </c>
      <c r="AD26" t="s">
        <v>63</v>
      </c>
      <c r="AE26">
        <v>1825562</v>
      </c>
      <c r="AF26" t="s">
        <v>2185</v>
      </c>
      <c r="AG26">
        <v>3451.33</v>
      </c>
      <c r="AH26" t="s">
        <v>2186</v>
      </c>
      <c r="AI26" t="s">
        <v>630</v>
      </c>
      <c r="AJ26" t="s">
        <v>2187</v>
      </c>
      <c r="AK26" t="s">
        <v>63</v>
      </c>
      <c r="AL26" t="s">
        <v>2188</v>
      </c>
      <c r="AM26" t="s">
        <v>63</v>
      </c>
      <c r="AN26">
        <v>0</v>
      </c>
      <c r="AO26" t="s">
        <v>231</v>
      </c>
      <c r="AP26" t="s">
        <v>2189</v>
      </c>
      <c r="AQ26" t="s">
        <v>2190</v>
      </c>
      <c r="AR26" t="s">
        <v>63</v>
      </c>
      <c r="AS26" t="s">
        <v>753</v>
      </c>
      <c r="AT26" t="s">
        <v>63</v>
      </c>
      <c r="AU26" t="s">
        <v>2191</v>
      </c>
      <c r="AV26" t="s">
        <v>2192</v>
      </c>
      <c r="AW26" t="s">
        <v>2193</v>
      </c>
      <c r="AX26" t="s">
        <v>1471</v>
      </c>
      <c r="AY26" t="s">
        <v>1151</v>
      </c>
      <c r="AZ26" t="s">
        <v>798</v>
      </c>
      <c r="BA26" t="s">
        <v>409</v>
      </c>
      <c r="BB26" t="s">
        <v>680</v>
      </c>
      <c r="BC26" t="s">
        <v>1295</v>
      </c>
      <c r="BD26" t="s">
        <v>763</v>
      </c>
      <c r="BE26" t="s">
        <v>799</v>
      </c>
      <c r="BF26" t="s">
        <v>410</v>
      </c>
      <c r="BG26" t="s">
        <v>801</v>
      </c>
      <c r="BH26" t="s">
        <v>1760</v>
      </c>
      <c r="BI26" t="s">
        <v>570</v>
      </c>
      <c r="BJ26" t="s">
        <v>1471</v>
      </c>
      <c r="BK26" t="s">
        <v>1371</v>
      </c>
      <c r="BL26" t="s">
        <v>3887</v>
      </c>
      <c r="BM26" t="s">
        <v>1295</v>
      </c>
      <c r="BN26" t="s">
        <v>63</v>
      </c>
      <c r="BO26" t="s">
        <v>63</v>
      </c>
      <c r="BP26" t="s">
        <v>63</v>
      </c>
      <c r="BQ26">
        <v>-7.13</v>
      </c>
      <c r="BR26">
        <v>-13.99</v>
      </c>
      <c r="BS26">
        <v>-23.27</v>
      </c>
      <c r="BT26" t="s">
        <v>1409</v>
      </c>
      <c r="BU26" t="s">
        <v>1848</v>
      </c>
      <c r="BV26">
        <v>22.73</v>
      </c>
      <c r="BW26">
        <v>24.31</v>
      </c>
      <c r="BX26">
        <v>20.350000000000001</v>
      </c>
      <c r="BY26">
        <v>-11.57</v>
      </c>
      <c r="BZ26">
        <v>-11.15</v>
      </c>
      <c r="CA26">
        <v>-23.25</v>
      </c>
      <c r="CB26">
        <v>13.53</v>
      </c>
      <c r="CC26">
        <v>2.98</v>
      </c>
      <c r="CD26" t="s">
        <v>3888</v>
      </c>
      <c r="CE26" t="s">
        <v>571</v>
      </c>
      <c r="CF26" s="9">
        <v>-0.23161764705882354</v>
      </c>
      <c r="CG26" s="10">
        <v>-26.694653732809432</v>
      </c>
      <c r="CH26" s="9">
        <v>-9.0501792728900909E-2</v>
      </c>
      <c r="CI26" s="9">
        <v>-6.0606062412261963E-2</v>
      </c>
      <c r="CJ26" s="9">
        <v>-0.1453237384557724</v>
      </c>
      <c r="CK26" s="9">
        <v>0.17696873843669891</v>
      </c>
      <c r="CL26" s="9">
        <v>-9.0839199721813202E-2</v>
      </c>
      <c r="CM26" s="10">
        <v>4.098360612988472E-2</v>
      </c>
      <c r="CN26" s="10">
        <v>0.5689045786857605</v>
      </c>
      <c r="CO26" s="10">
        <v>-14.567740440368652</v>
      </c>
      <c r="CP26" s="10">
        <v>3.2413022518157959</v>
      </c>
      <c r="CQ26" s="10">
        <v>-0.86243903636932373</v>
      </c>
      <c r="CR26">
        <v>-82.684074270570846</v>
      </c>
      <c r="CS26">
        <v>-19.658408548824024</v>
      </c>
      <c r="CT26">
        <v>0</v>
      </c>
      <c r="CU26" s="9">
        <v>-4.2060410976409911E-2</v>
      </c>
      <c r="CV26" s="10">
        <v>-2.3157978080213071</v>
      </c>
      <c r="CW26">
        <v>0.06</v>
      </c>
      <c r="CX26" t="e">
        <v>#VALUE!</v>
      </c>
      <c r="CY26" t="s">
        <v>1282</v>
      </c>
      <c r="CZ26">
        <v>-4.2060410976409911E-2</v>
      </c>
      <c r="DA26" t="e">
        <v>#VALUE!</v>
      </c>
      <c r="DB26" t="s">
        <v>1283</v>
      </c>
      <c r="DC26">
        <v>-3.9957390427589411E-2</v>
      </c>
      <c r="DD26" t="e">
        <v>#VALUE!</v>
      </c>
      <c r="DE26" t="s">
        <v>1283</v>
      </c>
      <c r="DF26">
        <v>-3.701316165924072E-2</v>
      </c>
      <c r="DG26" t="e">
        <v>#VALUE!</v>
      </c>
      <c r="DH26" t="s">
        <v>1283</v>
      </c>
      <c r="DI26">
        <v>-3.3648328781127931E-2</v>
      </c>
      <c r="DJ26" t="e">
        <v>#VALUE!</v>
      </c>
      <c r="DK26" t="s">
        <v>1283</v>
      </c>
      <c r="DL26">
        <v>-2.9442287683486935E-2</v>
      </c>
      <c r="DM26">
        <v>-117000000</v>
      </c>
      <c r="DN26">
        <v>-4.2060410976409911E-2</v>
      </c>
      <c r="DO26">
        <v>6465632000</v>
      </c>
      <c r="DP26">
        <v>205608210</v>
      </c>
      <c r="DQ26">
        <v>1576</v>
      </c>
      <c r="DR26">
        <v>-0.18955723608241362</v>
      </c>
      <c r="DS26">
        <v>-24.378855924788123</v>
      </c>
      <c r="DT26" s="11">
        <v>-0.32333333333333336</v>
      </c>
      <c r="DU26">
        <v>-2.1516666666666668</v>
      </c>
      <c r="DV26">
        <v>-2.4750000000000001</v>
      </c>
      <c r="DW26">
        <v>5.2202512934220255</v>
      </c>
      <c r="DX26">
        <v>0.84135781005586552</v>
      </c>
      <c r="DY26">
        <v>5.0465518310396513</v>
      </c>
      <c r="DZ26">
        <v>4647</v>
      </c>
      <c r="EA26">
        <v>5.0042013300918713</v>
      </c>
      <c r="EB26">
        <v>5</v>
      </c>
      <c r="EC26">
        <v>0.10707862869005506</v>
      </c>
      <c r="ED26">
        <v>0.5066225042791912</v>
      </c>
      <c r="EE26" s="12">
        <v>-3.0615999999999999</v>
      </c>
      <c r="EF26">
        <v>-3.1345000000000001</v>
      </c>
      <c r="EG26">
        <v>63.211357810055866</v>
      </c>
      <c r="EH26" t="s">
        <v>1470</v>
      </c>
      <c r="EI26">
        <v>1</v>
      </c>
      <c r="EJ26">
        <v>0</v>
      </c>
      <c r="EK26" s="14">
        <v>45504</v>
      </c>
      <c r="EL26" s="15">
        <v>-2.59</v>
      </c>
      <c r="EM26" s="15">
        <v>3.79</v>
      </c>
      <c r="EN26" s="15">
        <v>1.1000000000000001</v>
      </c>
      <c r="EO26" s="15">
        <v>1.45</v>
      </c>
      <c r="EP26" s="15">
        <v>7.29</v>
      </c>
    </row>
    <row r="27" spans="1:146" ht="96" hidden="1" x14ac:dyDescent="0.25">
      <c r="A27" s="7"/>
      <c r="B27" s="7"/>
      <c r="C27" s="7" t="str">
        <f>""&amp;CHAR(10)&amp;Basic_Fundamental_Information_Constructure(F27)&amp;CHAR(10)&amp;Basic_Fundamental_Information_Concatenate("")</f>
        <v xml:space="preserve">
市值77.331311亿, 利润-1.03亿; PE; 平均PE-22.6; 平均PEG-1.92, PB2.7; ROIC1.53%; ROE-3.1%; 股利率0%; 毛利28.5933%; 净利-5.6233%; 上一年度营收增-22.89%, 利润增62.27%; 当季营收增-12.61%, 利润增134.95%; 过往5年营收增-11.75%, 利润增-174.8%
Income profile:
</v>
      </c>
      <c r="D27" t="s">
        <v>1048</v>
      </c>
      <c r="E27" t="s">
        <v>1049</v>
      </c>
      <c r="F27">
        <v>4.45</v>
      </c>
      <c r="G27">
        <v>1.6</v>
      </c>
      <c r="H27" t="s">
        <v>298</v>
      </c>
      <c r="I27">
        <v>7733131100</v>
      </c>
      <c r="K27">
        <v>2.7</v>
      </c>
      <c r="L27" t="s">
        <v>1277</v>
      </c>
      <c r="M27" t="s">
        <v>685</v>
      </c>
      <c r="N27" t="s">
        <v>1134</v>
      </c>
      <c r="O27" t="s">
        <v>178</v>
      </c>
      <c r="P27">
        <v>-12.64</v>
      </c>
      <c r="Q27" t="s">
        <v>2206</v>
      </c>
      <c r="R27">
        <v>7804517</v>
      </c>
      <c r="S27" s="5">
        <v>1.35</v>
      </c>
      <c r="T27" t="s">
        <v>1446</v>
      </c>
      <c r="U27">
        <v>1541743600</v>
      </c>
      <c r="V27">
        <v>1737782300</v>
      </c>
      <c r="W27">
        <v>1.65</v>
      </c>
      <c r="X27">
        <v>0.06</v>
      </c>
      <c r="Y27">
        <v>2.12</v>
      </c>
      <c r="Z27" t="s">
        <v>274</v>
      </c>
      <c r="AA27" t="s">
        <v>331</v>
      </c>
      <c r="AB27" t="s">
        <v>2194</v>
      </c>
      <c r="AC27" t="s">
        <v>2195</v>
      </c>
      <c r="AD27" t="s">
        <v>63</v>
      </c>
      <c r="AE27">
        <v>-7860605</v>
      </c>
      <c r="AF27" t="s">
        <v>2196</v>
      </c>
      <c r="AG27" t="s">
        <v>1721</v>
      </c>
      <c r="AH27" t="s">
        <v>2197</v>
      </c>
      <c r="AI27" t="s">
        <v>817</v>
      </c>
      <c r="AJ27" t="s">
        <v>2198</v>
      </c>
      <c r="AK27" t="s">
        <v>2199</v>
      </c>
      <c r="AL27" t="s">
        <v>2200</v>
      </c>
      <c r="AM27" t="s">
        <v>63</v>
      </c>
      <c r="AN27" t="s">
        <v>281</v>
      </c>
      <c r="AO27" t="s">
        <v>2201</v>
      </c>
      <c r="AP27" t="s">
        <v>2202</v>
      </c>
      <c r="AQ27" t="s">
        <v>1810</v>
      </c>
      <c r="AR27" t="s">
        <v>63</v>
      </c>
      <c r="AS27" t="s">
        <v>872</v>
      </c>
      <c r="AT27" t="s">
        <v>2203</v>
      </c>
      <c r="AU27" t="s">
        <v>1530</v>
      </c>
      <c r="AV27" t="s">
        <v>2204</v>
      </c>
      <c r="AW27" t="s">
        <v>2205</v>
      </c>
      <c r="AX27" t="s">
        <v>1340</v>
      </c>
      <c r="AY27" t="s">
        <v>1153</v>
      </c>
      <c r="AZ27" t="s">
        <v>1050</v>
      </c>
      <c r="BA27" t="s">
        <v>1052</v>
      </c>
      <c r="BB27" t="s">
        <v>1053</v>
      </c>
      <c r="BC27" t="s">
        <v>1782</v>
      </c>
      <c r="BD27" t="s">
        <v>1154</v>
      </c>
      <c r="BE27" t="s">
        <v>1051</v>
      </c>
      <c r="BF27" t="s">
        <v>1055</v>
      </c>
      <c r="BG27" t="s">
        <v>663</v>
      </c>
      <c r="BH27" t="s">
        <v>2206</v>
      </c>
      <c r="BI27" t="s">
        <v>883</v>
      </c>
      <c r="BJ27" t="s">
        <v>1340</v>
      </c>
      <c r="BK27" t="s">
        <v>1446</v>
      </c>
      <c r="BL27" t="s">
        <v>3889</v>
      </c>
      <c r="BM27" t="s">
        <v>1782</v>
      </c>
      <c r="BN27" t="s">
        <v>63</v>
      </c>
      <c r="BO27" t="s">
        <v>63</v>
      </c>
      <c r="BP27">
        <v>1.53</v>
      </c>
      <c r="BQ27">
        <v>-2.17</v>
      </c>
      <c r="BR27">
        <v>-8.42</v>
      </c>
      <c r="BS27">
        <v>1.29</v>
      </c>
      <c r="BT27" t="s">
        <v>1409</v>
      </c>
      <c r="BU27" t="s">
        <v>1848</v>
      </c>
      <c r="BV27">
        <v>31.52</v>
      </c>
      <c r="BW27">
        <v>26.23</v>
      </c>
      <c r="BX27">
        <v>28.03</v>
      </c>
      <c r="BY27">
        <v>-6.06</v>
      </c>
      <c r="BZ27">
        <v>-12</v>
      </c>
      <c r="CA27">
        <v>1.19</v>
      </c>
      <c r="CB27">
        <v>9.8800000000000008</v>
      </c>
      <c r="CC27">
        <v>-15.4</v>
      </c>
      <c r="CD27" t="s">
        <v>734</v>
      </c>
      <c r="CE27" t="s">
        <v>3890</v>
      </c>
      <c r="CF27" s="9">
        <v>-0.12607449856733524</v>
      </c>
      <c r="CG27" s="10">
        <v>1.34954885029157</v>
      </c>
      <c r="CH27" s="9">
        <v>-0.22888985276222229</v>
      </c>
      <c r="CI27" s="9">
        <v>-0.12719790637493134</v>
      </c>
      <c r="CJ27" s="9">
        <v>0.14918304979801178</v>
      </c>
      <c r="CK27" s="9">
        <v>-0.13627918064594269</v>
      </c>
      <c r="CL27" s="9">
        <v>-0.24417628347873688</v>
      </c>
      <c r="CM27" s="10">
        <v>0.62271064519882202</v>
      </c>
      <c r="CN27" s="10">
        <v>-7.305912971496582</v>
      </c>
      <c r="CO27" s="10">
        <v>1.0392498970031738</v>
      </c>
      <c r="CP27" s="10">
        <v>4.6672321856021881E-2</v>
      </c>
      <c r="CQ27" s="10">
        <v>-3.1425924301147461</v>
      </c>
      <c r="CR27">
        <v>-22.603703216722618</v>
      </c>
      <c r="CS27">
        <v>-1.9241773819479862</v>
      </c>
      <c r="CT27">
        <v>0</v>
      </c>
      <c r="CU27" s="9">
        <v>-0.11747203469276428</v>
      </c>
      <c r="CV27" s="10">
        <v>-1.7479745075106621</v>
      </c>
      <c r="CW27">
        <v>0.06</v>
      </c>
      <c r="CX27" t="e">
        <v>#VALUE!</v>
      </c>
      <c r="CY27" t="s">
        <v>1283</v>
      </c>
      <c r="CZ27">
        <v>-0.11747203469276428</v>
      </c>
      <c r="DA27" t="e">
        <v>#VALUE!</v>
      </c>
      <c r="DB27" t="s">
        <v>1283</v>
      </c>
      <c r="DC27">
        <v>-0.11159843295812606</v>
      </c>
      <c r="DD27" t="e">
        <v>#VALUE!</v>
      </c>
      <c r="DE27" t="s">
        <v>1283</v>
      </c>
      <c r="DF27">
        <v>-0.10337539052963257</v>
      </c>
      <c r="DG27" t="e">
        <v>#VALUE!</v>
      </c>
      <c r="DH27" t="s">
        <v>1283</v>
      </c>
      <c r="DI27">
        <v>-9.3977627754211424E-2</v>
      </c>
      <c r="DJ27" t="e">
        <v>#VALUE!</v>
      </c>
      <c r="DK27" t="s">
        <v>1283</v>
      </c>
      <c r="DL27">
        <v>-8.2230424284934989E-2</v>
      </c>
      <c r="DM27">
        <v>-103000000</v>
      </c>
      <c r="DN27">
        <v>-0.11747203469276428</v>
      </c>
      <c r="DO27">
        <v>6836131100</v>
      </c>
      <c r="DP27">
        <v>1438301900</v>
      </c>
      <c r="DQ27">
        <v>1587</v>
      </c>
      <c r="DR27">
        <v>-8.602463874570962E-3</v>
      </c>
      <c r="DS27">
        <v>3.0975233578022321</v>
      </c>
      <c r="DT27" s="11">
        <v>-0.70666666666666667</v>
      </c>
      <c r="DU27">
        <v>-1.1266666666666667</v>
      </c>
      <c r="DV27">
        <v>-1.8333333333333335</v>
      </c>
      <c r="DW27">
        <v>7.3908227848101262</v>
      </c>
      <c r="DX27">
        <v>0.42734212770659979</v>
      </c>
      <c r="DY27">
        <v>7.0458599771258381</v>
      </c>
      <c r="DZ27">
        <v>4279</v>
      </c>
      <c r="EA27">
        <v>7.0074428193103602</v>
      </c>
      <c r="EB27">
        <v>7</v>
      </c>
      <c r="EC27">
        <v>0.429858216417557</v>
      </c>
      <c r="ED27">
        <v>3.6632896997512288</v>
      </c>
      <c r="EE27" s="12">
        <v>5.1199999999999996E-2</v>
      </c>
      <c r="EF27">
        <v>6.720000000000001E-2</v>
      </c>
      <c r="EG27">
        <v>31.1173421277066</v>
      </c>
      <c r="EH27" t="s">
        <v>1099</v>
      </c>
      <c r="EI27">
        <v>1</v>
      </c>
      <c r="EJ27">
        <v>0</v>
      </c>
      <c r="EK27" s="14">
        <v>45504</v>
      </c>
      <c r="EL27" s="15">
        <v>-7.74</v>
      </c>
      <c r="EM27" s="15">
        <v>2.72</v>
      </c>
      <c r="EN27" s="15">
        <v>-0.72</v>
      </c>
      <c r="EO27" s="15">
        <v>7.75</v>
      </c>
      <c r="EP27" s="15">
        <v>1.6</v>
      </c>
    </row>
    <row r="28" spans="1:146" ht="168" hidden="1" x14ac:dyDescent="0.25">
      <c r="A28" s="7" t="s">
        <v>1090</v>
      </c>
      <c r="B28" s="7" t="s">
        <v>1091</v>
      </c>
      <c r="C28" s="7" t="str">
        <f>""&amp;CHAR(10)&amp;Basic_Fundamental_Information_Constructure(F28)&amp;CHAR(10)&amp;Basic_Fundamental_Information_Concatenate("网络空间安全产品 11.26亿 47.20%（毛利62.67%）
大数据智能化产品 10.86亿 45.51%（毛利50.60%）
智能装备制造 6180.69万 2.59%（毛利40.97%）
网络开源情报产品 5811.91万 2.44%（毛利88.97%）
支撑服务 5400.55万 2.26%（毛利78.15%）")</f>
        <v xml:space="preserve">
市值99.957211亿, 利润-2.06亿; PE; 平均PE49.12; 平均PEG8.85, PB2.55; ROIC6.76%; ROE1.1267%; 股利率0%; 毛利52.21%; 净利3.6367%; 上一年度营收增-12.98%, 利润增-239.19%; 当季营收增31.97%, 利润增79.57%; 过往5年营收增5.55%, 利润增-56.73%
Income profile:
网络空间安全产品 11.26亿 47.20%（毛利62.67%）
大数据智能化产品 10.86亿 45.51%（毛利50.60%）
智能装备制造 6180.69万 2.59%（毛利40.97%）
网络开源情报产品 5811.91万 2.44%（毛利88.97%）
支撑服务 5400.55万 2.26%（毛利78.15%）</v>
      </c>
      <c r="D28" t="s">
        <v>121</v>
      </c>
      <c r="E28" t="s">
        <v>1801</v>
      </c>
      <c r="F28">
        <v>11.63</v>
      </c>
      <c r="G28">
        <v>4.3</v>
      </c>
      <c r="H28" t="s">
        <v>3891</v>
      </c>
      <c r="I28">
        <v>9995721100</v>
      </c>
      <c r="K28">
        <v>2.5499999999999998</v>
      </c>
      <c r="L28" t="s">
        <v>1277</v>
      </c>
      <c r="M28" t="s">
        <v>2207</v>
      </c>
      <c r="N28" t="s">
        <v>2208</v>
      </c>
      <c r="O28" t="s">
        <v>470</v>
      </c>
      <c r="P28">
        <v>31.78</v>
      </c>
      <c r="Q28" t="s">
        <v>2222</v>
      </c>
      <c r="R28">
        <v>-34115450</v>
      </c>
      <c r="S28" s="6">
        <v>0.79620000000000002</v>
      </c>
      <c r="T28" t="s">
        <v>1689</v>
      </c>
      <c r="U28">
        <v>781945520</v>
      </c>
      <c r="V28">
        <v>859477310</v>
      </c>
      <c r="W28">
        <v>1.36</v>
      </c>
      <c r="X28">
        <v>0.03</v>
      </c>
      <c r="Y28">
        <v>-23.67</v>
      </c>
      <c r="Z28" t="s">
        <v>339</v>
      </c>
      <c r="AA28" t="s">
        <v>285</v>
      </c>
      <c r="AB28" t="s">
        <v>2209</v>
      </c>
      <c r="AC28" t="s">
        <v>2210</v>
      </c>
      <c r="AD28" t="s">
        <v>63</v>
      </c>
      <c r="AE28">
        <v>-3092128</v>
      </c>
      <c r="AF28" t="s">
        <v>2211</v>
      </c>
      <c r="AG28" t="s">
        <v>2212</v>
      </c>
      <c r="AH28" t="s">
        <v>2213</v>
      </c>
      <c r="AI28" t="s">
        <v>1686</v>
      </c>
      <c r="AJ28" t="s">
        <v>2214</v>
      </c>
      <c r="AK28" t="s">
        <v>2215</v>
      </c>
      <c r="AL28" t="s">
        <v>2216</v>
      </c>
      <c r="AM28" t="s">
        <v>63</v>
      </c>
      <c r="AN28">
        <v>0</v>
      </c>
      <c r="AO28" t="s">
        <v>181</v>
      </c>
      <c r="AP28" t="s">
        <v>2217</v>
      </c>
      <c r="AQ28" t="s">
        <v>697</v>
      </c>
      <c r="AR28" t="s">
        <v>63</v>
      </c>
      <c r="AS28" t="s">
        <v>1741</v>
      </c>
      <c r="AT28" t="s">
        <v>2218</v>
      </c>
      <c r="AU28" t="s">
        <v>2219</v>
      </c>
      <c r="AV28" t="s">
        <v>2220</v>
      </c>
      <c r="AW28" t="s">
        <v>2221</v>
      </c>
      <c r="AX28" t="s">
        <v>1442</v>
      </c>
      <c r="AY28" t="s">
        <v>1155</v>
      </c>
      <c r="AZ28" t="s">
        <v>811</v>
      </c>
      <c r="BA28" t="s">
        <v>427</v>
      </c>
      <c r="BB28" t="s">
        <v>812</v>
      </c>
      <c r="BC28" t="s">
        <v>269</v>
      </c>
      <c r="BD28" t="s">
        <v>800</v>
      </c>
      <c r="BE28" t="s">
        <v>568</v>
      </c>
      <c r="BF28" t="s">
        <v>428</v>
      </c>
      <c r="BG28" t="s">
        <v>287</v>
      </c>
      <c r="BH28" t="s">
        <v>2222</v>
      </c>
      <c r="BI28" t="s">
        <v>401</v>
      </c>
      <c r="BJ28" t="s">
        <v>1442</v>
      </c>
      <c r="BK28" t="s">
        <v>1689</v>
      </c>
      <c r="BL28" t="s">
        <v>1156</v>
      </c>
      <c r="BM28" t="s">
        <v>269</v>
      </c>
      <c r="BN28" t="s">
        <v>63</v>
      </c>
      <c r="BO28">
        <v>4.2</v>
      </c>
      <c r="BP28">
        <v>9.32</v>
      </c>
      <c r="BQ28">
        <v>-9.93</v>
      </c>
      <c r="BR28">
        <v>4.1500000000000004</v>
      </c>
      <c r="BS28">
        <v>9.16</v>
      </c>
      <c r="BT28" t="s">
        <v>1409</v>
      </c>
      <c r="BU28" t="s">
        <v>1848</v>
      </c>
      <c r="BV28">
        <v>46.02</v>
      </c>
      <c r="BW28">
        <v>52.24</v>
      </c>
      <c r="BX28">
        <v>58.37</v>
      </c>
      <c r="BY28">
        <v>-9.86</v>
      </c>
      <c r="BZ28">
        <v>7.52</v>
      </c>
      <c r="CA28">
        <v>13.25</v>
      </c>
      <c r="CB28">
        <v>7.59</v>
      </c>
      <c r="CC28">
        <v>-5.52</v>
      </c>
      <c r="CD28" t="s">
        <v>3892</v>
      </c>
      <c r="CE28" t="s">
        <v>649</v>
      </c>
      <c r="CF28" s="9">
        <v>0.31972789115646261</v>
      </c>
      <c r="CG28" s="10">
        <v>0.79571586826347307</v>
      </c>
      <c r="CH28" s="9">
        <v>-0.12982456386089325</v>
      </c>
      <c r="CI28" s="9">
        <v>-0.100591741502285</v>
      </c>
      <c r="CJ28" s="9">
        <v>6.2447693198919296E-2</v>
      </c>
      <c r="CK28" s="9">
        <v>0.15432985126972198</v>
      </c>
      <c r="CL28" s="9">
        <v>0.29106807708740234</v>
      </c>
      <c r="CM28" s="10">
        <v>-2.3918919563293457</v>
      </c>
      <c r="CN28" s="10">
        <v>-0.52411574125289917</v>
      </c>
      <c r="CO28" s="10">
        <v>-0.17066666483879089</v>
      </c>
      <c r="CP28" s="10">
        <v>0.29310345649719238</v>
      </c>
      <c r="CQ28" s="10">
        <v>-4.2904291301965714E-2</v>
      </c>
      <c r="CR28">
        <v>49.119022604422604</v>
      </c>
      <c r="CS28">
        <v>8.8525292277106864</v>
      </c>
      <c r="CT28">
        <v>0</v>
      </c>
      <c r="CU28" s="9">
        <v>5.5485863238573074E-2</v>
      </c>
      <c r="CV28" s="10">
        <v>-0.5672950394451618</v>
      </c>
      <c r="CW28">
        <v>0.06</v>
      </c>
      <c r="CX28" t="e">
        <v>#VALUE!</v>
      </c>
      <c r="CY28" t="s">
        <v>1282</v>
      </c>
      <c r="CZ28">
        <v>5.5485863238573074E-2</v>
      </c>
      <c r="DA28" t="e">
        <v>#VALUE!</v>
      </c>
      <c r="DB28" t="s">
        <v>1283</v>
      </c>
      <c r="DC28">
        <v>5.2711570076644419E-2</v>
      </c>
      <c r="DD28" t="e">
        <v>#VALUE!</v>
      </c>
      <c r="DE28" t="s">
        <v>1283</v>
      </c>
      <c r="DF28">
        <v>4.8827559649944306E-2</v>
      </c>
      <c r="DG28" t="e">
        <v>#VALUE!</v>
      </c>
      <c r="DH28" t="s">
        <v>1283</v>
      </c>
      <c r="DI28">
        <v>4.4388690590858461E-2</v>
      </c>
      <c r="DJ28" t="e">
        <v>#VALUE!</v>
      </c>
      <c r="DK28" t="s">
        <v>1283</v>
      </c>
      <c r="DL28">
        <v>3.8840104267001151E-2</v>
      </c>
      <c r="DM28">
        <v>-206000000</v>
      </c>
      <c r="DN28">
        <v>5.5485863238573074E-2</v>
      </c>
      <c r="DO28">
        <v>7623721100</v>
      </c>
      <c r="DP28">
        <v>2180616400</v>
      </c>
      <c r="DQ28">
        <v>1672</v>
      </c>
      <c r="DR28">
        <v>0.26424202791788953</v>
      </c>
      <c r="DS28">
        <v>1.363010907708635</v>
      </c>
      <c r="DT28" s="11">
        <v>-0.22333333333333338</v>
      </c>
      <c r="DU28">
        <v>-1.595</v>
      </c>
      <c r="DV28">
        <v>-1.8183333333333334</v>
      </c>
      <c r="DW28">
        <v>5.7272727272727275</v>
      </c>
      <c r="DX28">
        <v>0.56633652694610781</v>
      </c>
      <c r="DY28">
        <v>5.1064265650517147</v>
      </c>
      <c r="DZ28">
        <v>4264</v>
      </c>
      <c r="EA28">
        <v>5.0175849688534937</v>
      </c>
      <c r="EB28">
        <v>5</v>
      </c>
      <c r="EC28">
        <v>5.6867586184445054E-2</v>
      </c>
      <c r="ED28">
        <v>0.3886082810027876</v>
      </c>
      <c r="EE28" s="12">
        <v>1.01671</v>
      </c>
      <c r="EF28">
        <v>1.0263</v>
      </c>
      <c r="EG28">
        <v>42.146336526946108</v>
      </c>
      <c r="EH28" t="s">
        <v>1286</v>
      </c>
      <c r="EI28">
        <v>1</v>
      </c>
      <c r="EJ28">
        <v>0</v>
      </c>
      <c r="EK28" s="14">
        <v>45504</v>
      </c>
      <c r="EL28" s="15">
        <v>-3.48</v>
      </c>
      <c r="EM28" s="15">
        <v>-0.09</v>
      </c>
      <c r="EN28" s="15">
        <v>2.04</v>
      </c>
      <c r="EO28" s="15">
        <v>2</v>
      </c>
      <c r="EP28" s="15">
        <v>4.3</v>
      </c>
    </row>
    <row r="29" spans="1:146" ht="168" hidden="1" x14ac:dyDescent="0.25">
      <c r="A29" s="7" t="s">
        <v>1427</v>
      </c>
      <c r="B29" s="7"/>
      <c r="C29" s="7" t="str">
        <f>"公司的主营业务为黑色金属、有色金属、能源化工、建筑材料、农产品等大宗商品提供商业资讯服务，钢铁现货交易，电子商务，利用自有媒体发布广告，互联网信息服务，以及计算机软件、网络技术的开发、销售。"&amp;CHAR(10)&amp;Basic_Fundamental_Information_Constructure(F29)&amp;CHAR(10)&amp;Basic_Fundamental_Information_Concatenate("供应链服务业务 359.17亿 93.74% 44.02% 0.75%
寄售服务业务 20.65亿 5.39% 23.35% 6.94%
数据订阅服务 2.00亿 0.52% 18.42% 56.57%
商务推广服务 4584.20万 0.12% 6.67% 89.29%")</f>
        <v>公司的主营业务为黑色金属、有色金属、能源化工、建筑材料、农产品等大宗商品提供商业资讯服务，钢铁现货交易，电子商务，利用自有媒体发布广告，互联网信息服务，以及计算机软件、网络技术的开发、销售。
市值58.507152亿, 利润2.40亿; PE24.91; 平均PE30.79; 平均PEG9.12, PB2.87; ROIC5.5133%; ROE11.1967%; 股利率.44%; 毛利1.6767%; 净利.4933%; 上一年度营收增12.73%, 利润增18.23%; 当季营收增.18%, 利润增-10.04%; 过往5年营收增3.38%, 利润增16.76%
Income profile:
供应链服务业务 359.17亿 93.74% 44.02% 0.75%
寄售服务业务 20.65亿 5.39% 23.35% 6.94%
数据订阅服务 2.00亿 0.52% 18.42% 56.57%
商务推广服务 4584.20万 0.12% 6.67% 89.29%</v>
      </c>
      <c r="D29" t="s">
        <v>1056</v>
      </c>
      <c r="E29" t="s">
        <v>1057</v>
      </c>
      <c r="F29">
        <v>18.18</v>
      </c>
      <c r="G29">
        <v>4.66</v>
      </c>
      <c r="H29" t="s">
        <v>3893</v>
      </c>
      <c r="I29">
        <v>5850715200</v>
      </c>
      <c r="J29">
        <v>24.91</v>
      </c>
      <c r="K29">
        <v>2.87</v>
      </c>
      <c r="L29" t="s">
        <v>1277</v>
      </c>
      <c r="M29" t="s">
        <v>2224</v>
      </c>
      <c r="N29" t="s">
        <v>2225</v>
      </c>
      <c r="O29" t="s">
        <v>2226</v>
      </c>
      <c r="P29">
        <v>0.18</v>
      </c>
      <c r="Q29" t="s">
        <v>2240</v>
      </c>
      <c r="R29">
        <v>49155080</v>
      </c>
      <c r="S29" s="5">
        <v>-0.1004</v>
      </c>
      <c r="T29" t="s">
        <v>506</v>
      </c>
      <c r="U29">
        <v>309533300</v>
      </c>
      <c r="V29">
        <v>321821520</v>
      </c>
      <c r="W29">
        <v>4.2300000000000004</v>
      </c>
      <c r="X29">
        <v>0.97</v>
      </c>
      <c r="Y29">
        <v>0.49</v>
      </c>
      <c r="Z29" t="s">
        <v>2227</v>
      </c>
      <c r="AA29" t="s">
        <v>2228</v>
      </c>
      <c r="AB29" t="s">
        <v>2229</v>
      </c>
      <c r="AC29" t="s">
        <v>2230</v>
      </c>
      <c r="AD29" t="s">
        <v>63</v>
      </c>
      <c r="AE29">
        <v>-4395105</v>
      </c>
      <c r="AF29" t="s">
        <v>2231</v>
      </c>
      <c r="AG29">
        <v>1.69</v>
      </c>
      <c r="AH29" t="s">
        <v>2232</v>
      </c>
      <c r="AI29" t="s">
        <v>1745</v>
      </c>
      <c r="AJ29" t="s">
        <v>2233</v>
      </c>
      <c r="AK29" t="s">
        <v>463</v>
      </c>
      <c r="AL29" t="s">
        <v>2234</v>
      </c>
      <c r="AM29" t="s">
        <v>63</v>
      </c>
      <c r="AN29" t="s">
        <v>2235</v>
      </c>
      <c r="AO29" t="s">
        <v>2236</v>
      </c>
      <c r="AP29" t="s">
        <v>701</v>
      </c>
      <c r="AQ29" t="s">
        <v>644</v>
      </c>
      <c r="AR29" t="s">
        <v>63</v>
      </c>
      <c r="AS29" t="s">
        <v>2237</v>
      </c>
      <c r="AT29" t="s">
        <v>63</v>
      </c>
      <c r="AU29" t="s">
        <v>370</v>
      </c>
      <c r="AV29" t="s">
        <v>2238</v>
      </c>
      <c r="AW29" t="s">
        <v>2239</v>
      </c>
      <c r="AX29" t="s">
        <v>1476</v>
      </c>
      <c r="AY29" t="s">
        <v>1157</v>
      </c>
      <c r="AZ29" t="s">
        <v>1058</v>
      </c>
      <c r="BA29" t="s">
        <v>1059</v>
      </c>
      <c r="BB29" t="s">
        <v>1060</v>
      </c>
      <c r="BC29" t="s">
        <v>742</v>
      </c>
      <c r="BD29" t="s">
        <v>342</v>
      </c>
      <c r="BE29" t="s">
        <v>200</v>
      </c>
      <c r="BF29" t="s">
        <v>202</v>
      </c>
      <c r="BG29" t="s">
        <v>492</v>
      </c>
      <c r="BH29" t="s">
        <v>2240</v>
      </c>
      <c r="BI29" t="s">
        <v>3894</v>
      </c>
      <c r="BJ29" t="s">
        <v>1476</v>
      </c>
      <c r="BK29" t="s">
        <v>506</v>
      </c>
      <c r="BL29" t="s">
        <v>3895</v>
      </c>
      <c r="BM29" t="s">
        <v>742</v>
      </c>
      <c r="BN29">
        <v>4.26</v>
      </c>
      <c r="BO29">
        <v>5.72</v>
      </c>
      <c r="BP29">
        <v>6.56</v>
      </c>
      <c r="BQ29">
        <v>9.01</v>
      </c>
      <c r="BR29">
        <v>12.32</v>
      </c>
      <c r="BS29">
        <v>12.26</v>
      </c>
      <c r="BT29" t="s">
        <v>1422</v>
      </c>
      <c r="BU29" t="s">
        <v>1848</v>
      </c>
      <c r="BV29">
        <v>1.47</v>
      </c>
      <c r="BW29">
        <v>1.62</v>
      </c>
      <c r="BX29">
        <v>1.94</v>
      </c>
      <c r="BY29">
        <v>0.49</v>
      </c>
      <c r="BZ29">
        <v>0.45</v>
      </c>
      <c r="CA29">
        <v>0.54</v>
      </c>
      <c r="CB29">
        <v>9.52</v>
      </c>
      <c r="CC29">
        <v>2.6</v>
      </c>
      <c r="CD29" t="s">
        <v>3896</v>
      </c>
      <c r="CE29" t="s">
        <v>383</v>
      </c>
      <c r="CF29" s="9">
        <v>1.8275271273557967E-3</v>
      </c>
      <c r="CG29" s="10">
        <v>-0.10036146540821798</v>
      </c>
      <c r="CH29" s="9">
        <v>0.12730023264884949</v>
      </c>
      <c r="CI29" s="9">
        <v>0.16407451033592224</v>
      </c>
      <c r="CJ29" s="9">
        <v>0.12395549565553665</v>
      </c>
      <c r="CK29" s="9">
        <v>-0.52255815267562866</v>
      </c>
      <c r="CL29" s="9">
        <v>0.276060551404953</v>
      </c>
      <c r="CM29" s="10">
        <v>0.18226601183414459</v>
      </c>
      <c r="CN29" s="10">
        <v>0.14044943451881409</v>
      </c>
      <c r="CO29" s="10">
        <v>-0.17972350120544434</v>
      </c>
      <c r="CP29" s="10">
        <v>0.19889502227306366</v>
      </c>
      <c r="CQ29" s="10">
        <v>0.49586775898933411</v>
      </c>
      <c r="CR29">
        <v>30.793237894736841</v>
      </c>
      <c r="CS29">
        <v>9.119456514595532</v>
      </c>
      <c r="CT29">
        <v>0.44004400440044006</v>
      </c>
      <c r="CU29" s="9">
        <v>3.3766527473926541E-2</v>
      </c>
      <c r="CV29" s="10">
        <v>0.16755094528198242</v>
      </c>
      <c r="CW29">
        <v>0.06</v>
      </c>
      <c r="CX29">
        <v>63.68321445610659</v>
      </c>
      <c r="CY29">
        <v>234060345.84315318</v>
      </c>
      <c r="CZ29">
        <v>3.3766527473926541E-2</v>
      </c>
      <c r="DA29">
        <v>21.832511122860634</v>
      </c>
      <c r="DB29">
        <v>682730223.56976402</v>
      </c>
      <c r="DC29">
        <v>3.2078201100230214E-2</v>
      </c>
      <c r="DD29">
        <v>11.442471822193163</v>
      </c>
      <c r="DE29">
        <v>1302665668.0149939</v>
      </c>
      <c r="DF29">
        <v>2.9714544177055355E-2</v>
      </c>
      <c r="DG29">
        <v>7.3598110771496108</v>
      </c>
      <c r="DH29">
        <v>2025285030.2473865</v>
      </c>
      <c r="DI29">
        <v>2.7013221979141234E-2</v>
      </c>
      <c r="DJ29">
        <v>4.3906617032649615</v>
      </c>
      <c r="DK29">
        <v>3394867609.3436866</v>
      </c>
      <c r="DL29">
        <v>2.3636569231748578E-2</v>
      </c>
      <c r="DM29">
        <v>240000000</v>
      </c>
      <c r="DN29">
        <v>3.3766527473926541E-2</v>
      </c>
      <c r="DO29">
        <v>14905715200</v>
      </c>
      <c r="DP29">
        <v>3811016000.0000019</v>
      </c>
      <c r="DQ29">
        <v>1708</v>
      </c>
      <c r="DR29">
        <v>-3.1939000346570746E-2</v>
      </c>
      <c r="DS29">
        <v>-0.26791241069020039</v>
      </c>
      <c r="DT29" s="11">
        <v>-0.3066666666666667</v>
      </c>
      <c r="DU29">
        <v>0.24999999999999997</v>
      </c>
      <c r="DV29">
        <v>-5.6666666666666726E-2</v>
      </c>
      <c r="DW29">
        <v>5.2731092436974789</v>
      </c>
      <c r="DX29">
        <v>0.62959399141631067</v>
      </c>
      <c r="DY29">
        <v>5.1036706279078157</v>
      </c>
      <c r="DZ29">
        <v>1929</v>
      </c>
      <c r="EA29">
        <v>5.0645201499841317</v>
      </c>
      <c r="EB29">
        <v>5</v>
      </c>
      <c r="EC29">
        <v>0.27482748823012215</v>
      </c>
      <c r="ED29">
        <v>0.72400378942961929</v>
      </c>
      <c r="EE29" s="12">
        <v>-2.0518999999999998</v>
      </c>
      <c r="EF29">
        <v>-2.0985</v>
      </c>
      <c r="EG29">
        <v>25.379593991416311</v>
      </c>
      <c r="EH29" t="s">
        <v>1431</v>
      </c>
      <c r="EI29">
        <v>1</v>
      </c>
      <c r="EJ29">
        <v>0</v>
      </c>
      <c r="EK29" s="14">
        <v>45504</v>
      </c>
      <c r="EL29" s="15">
        <v>1.84</v>
      </c>
      <c r="EM29" s="15">
        <v>7.29</v>
      </c>
      <c r="EN29" s="15">
        <v>0.95</v>
      </c>
      <c r="EO29" s="15">
        <v>-1.67</v>
      </c>
      <c r="EP29" s="15">
        <v>4.66</v>
      </c>
    </row>
    <row r="30" spans="1:146" ht="108" hidden="1" x14ac:dyDescent="0.25">
      <c r="A30" s="7"/>
      <c r="B30" s="7"/>
      <c r="C30" s="7" t="str">
        <f>""&amp;CHAR(10)&amp;Basic_Fundamental_Information_Constructure(F30)&amp;CHAR(10)&amp;Basic_Fundamental_Information_Concatenate("")</f>
        <v xml:space="preserve">
市值103.865129亿, 利润3646.60万; PE309.8; 平均PE65.78; 平均PEG118.45, PB3.07; ROIC5.07%; ROE5.2633%; 股利率.2297%; 毛利64.7367%; 净利14%; 上一年度营收增-13.78%, 利润增-71.51%; 当季营收增-15.64%, 利润增-9.74%; 过往5年营收增.56%, 利润增23.7%
Income profile:
</v>
      </c>
      <c r="D30" t="s">
        <v>100</v>
      </c>
      <c r="E30" t="s">
        <v>31</v>
      </c>
      <c r="F30">
        <v>13.06</v>
      </c>
      <c r="G30">
        <v>4.2300000000000004</v>
      </c>
      <c r="H30" t="s">
        <v>3897</v>
      </c>
      <c r="I30">
        <v>10386512900</v>
      </c>
      <c r="J30">
        <v>309.8</v>
      </c>
      <c r="K30">
        <v>3.07</v>
      </c>
      <c r="L30" t="s">
        <v>1277</v>
      </c>
      <c r="M30" t="s">
        <v>347</v>
      </c>
      <c r="N30" t="s">
        <v>913</v>
      </c>
      <c r="O30" t="s">
        <v>342</v>
      </c>
      <c r="P30">
        <v>-15.35</v>
      </c>
      <c r="Q30" t="s">
        <v>192</v>
      </c>
      <c r="R30">
        <v>27252721</v>
      </c>
      <c r="S30" s="5">
        <v>-9.74E-2</v>
      </c>
      <c r="T30" t="s">
        <v>2254</v>
      </c>
      <c r="U30">
        <v>794680250</v>
      </c>
      <c r="V30">
        <v>795291950</v>
      </c>
      <c r="W30">
        <v>1.1000000000000001</v>
      </c>
      <c r="X30">
        <v>0.05</v>
      </c>
      <c r="Y30">
        <v>15.26</v>
      </c>
      <c r="Z30" t="s">
        <v>180</v>
      </c>
      <c r="AA30" t="s">
        <v>2241</v>
      </c>
      <c r="AB30" t="s">
        <v>2242</v>
      </c>
      <c r="AC30" t="s">
        <v>2243</v>
      </c>
      <c r="AD30" t="s">
        <v>63</v>
      </c>
      <c r="AE30">
        <v>-528999</v>
      </c>
      <c r="AF30" t="s">
        <v>2244</v>
      </c>
      <c r="AG30">
        <v>3.72</v>
      </c>
      <c r="AH30" t="s">
        <v>2245</v>
      </c>
      <c r="AI30" t="s">
        <v>465</v>
      </c>
      <c r="AJ30" t="s">
        <v>2246</v>
      </c>
      <c r="AK30" t="s">
        <v>2247</v>
      </c>
      <c r="AL30" t="s">
        <v>2248</v>
      </c>
      <c r="AM30" t="s">
        <v>63</v>
      </c>
      <c r="AN30">
        <v>0</v>
      </c>
      <c r="AO30" t="s">
        <v>2249</v>
      </c>
      <c r="AP30" t="s">
        <v>63</v>
      </c>
      <c r="AQ30" t="s">
        <v>235</v>
      </c>
      <c r="AR30" t="s">
        <v>2250</v>
      </c>
      <c r="AS30" t="s">
        <v>220</v>
      </c>
      <c r="AT30" t="s">
        <v>63</v>
      </c>
      <c r="AU30" t="s">
        <v>2251</v>
      </c>
      <c r="AV30" t="s">
        <v>2252</v>
      </c>
      <c r="AW30" t="s">
        <v>2253</v>
      </c>
      <c r="AX30" t="s">
        <v>1344</v>
      </c>
      <c r="AY30" t="s">
        <v>796</v>
      </c>
      <c r="AZ30" t="s">
        <v>813</v>
      </c>
      <c r="BA30" t="s">
        <v>432</v>
      </c>
      <c r="BB30" t="s">
        <v>814</v>
      </c>
      <c r="BC30" t="s">
        <v>386</v>
      </c>
      <c r="BD30" t="s">
        <v>355</v>
      </c>
      <c r="BE30" t="s">
        <v>379</v>
      </c>
      <c r="BF30" t="s">
        <v>433</v>
      </c>
      <c r="BG30" t="s">
        <v>815</v>
      </c>
      <c r="BH30" t="s">
        <v>192</v>
      </c>
      <c r="BI30" t="s">
        <v>495</v>
      </c>
      <c r="BJ30" t="s">
        <v>1344</v>
      </c>
      <c r="BK30" t="s">
        <v>2254</v>
      </c>
      <c r="BL30" t="s">
        <v>3898</v>
      </c>
      <c r="BM30" t="s">
        <v>386</v>
      </c>
      <c r="BN30">
        <v>0.67</v>
      </c>
      <c r="BO30">
        <v>4.6900000000000004</v>
      </c>
      <c r="BP30">
        <v>9.85</v>
      </c>
      <c r="BQ30">
        <v>0.72</v>
      </c>
      <c r="BR30">
        <v>4.9000000000000004</v>
      </c>
      <c r="BS30">
        <v>10.17</v>
      </c>
      <c r="BT30" t="s">
        <v>1416</v>
      </c>
      <c r="BU30" t="s">
        <v>1848</v>
      </c>
      <c r="BV30">
        <v>68.37</v>
      </c>
      <c r="BW30">
        <v>63.71</v>
      </c>
      <c r="BX30">
        <v>62.13</v>
      </c>
      <c r="BY30">
        <v>4.2699999999999996</v>
      </c>
      <c r="BZ30">
        <v>13.61</v>
      </c>
      <c r="CA30">
        <v>24.12</v>
      </c>
      <c r="CB30">
        <v>5.41</v>
      </c>
      <c r="CC30">
        <v>-7.51</v>
      </c>
      <c r="CD30" t="s">
        <v>3899</v>
      </c>
      <c r="CE30" t="s">
        <v>3900</v>
      </c>
      <c r="CF30" s="9">
        <v>-0.15639810426540285</v>
      </c>
      <c r="CG30" s="10">
        <v>-9.737383539729802E-2</v>
      </c>
      <c r="CH30" s="9">
        <v>-0.13781698048114777</v>
      </c>
      <c r="CI30" s="9">
        <v>-0.11856170743703842</v>
      </c>
      <c r="CJ30" s="9">
        <v>-0.21390371024608612</v>
      </c>
      <c r="CK30" s="9">
        <v>0.35367107391357422</v>
      </c>
      <c r="CL30" s="9">
        <v>0.14437869191169739</v>
      </c>
      <c r="CM30" s="10">
        <v>-0.71510934829711914</v>
      </c>
      <c r="CN30" s="10">
        <v>-0.47967478632926941</v>
      </c>
      <c r="CO30" s="10">
        <v>-0.22884012758731842</v>
      </c>
      <c r="CP30" s="10">
        <v>1.0318471193313599</v>
      </c>
      <c r="CQ30" s="10">
        <v>1.5768542289733887</v>
      </c>
      <c r="CR30">
        <v>65.779541753000075</v>
      </c>
      <c r="CS30">
        <v>118.44756506283964</v>
      </c>
      <c r="CT30">
        <v>0.22970903522205205</v>
      </c>
      <c r="CU30" s="9">
        <v>5.5534735321998594E-3</v>
      </c>
      <c r="CV30" s="10">
        <v>0.23701541721820832</v>
      </c>
      <c r="CW30">
        <v>0.06</v>
      </c>
      <c r="CX30">
        <v>213.52662109034063</v>
      </c>
      <c r="CY30">
        <v>34592936.760212451</v>
      </c>
      <c r="CZ30">
        <v>5.5534735321998594E-3</v>
      </c>
      <c r="DA30">
        <v>75.000592938021427</v>
      </c>
      <c r="DB30">
        <v>98486060.051605523</v>
      </c>
      <c r="DC30">
        <v>5.2757998555898666E-3</v>
      </c>
      <c r="DD30">
        <v>40.528096843245557</v>
      </c>
      <c r="DE30">
        <v>182256594.19857615</v>
      </c>
      <c r="DF30">
        <v>4.8870567083358759E-3</v>
      </c>
      <c r="DG30">
        <v>26.913202069582088</v>
      </c>
      <c r="DH30">
        <v>274456858.79007334</v>
      </c>
      <c r="DI30">
        <v>4.4427788257598881E-3</v>
      </c>
      <c r="DJ30">
        <v>17.076116776195153</v>
      </c>
      <c r="DK30">
        <v>432563972.05582005</v>
      </c>
      <c r="DL30">
        <v>3.8874314725399015E-3</v>
      </c>
      <c r="DM30">
        <v>36466000</v>
      </c>
      <c r="DN30">
        <v>5.5534735321998594E-3</v>
      </c>
      <c r="DO30">
        <v>7386512900</v>
      </c>
      <c r="DP30">
        <v>916561850</v>
      </c>
      <c r="DQ30">
        <v>1711</v>
      </c>
      <c r="DR30">
        <v>-0.16195157779760272</v>
      </c>
      <c r="DS30">
        <v>-0.33438925261550634</v>
      </c>
      <c r="DT30" s="11">
        <v>-0.45666666666666672</v>
      </c>
      <c r="DU30">
        <v>-0.18333333333333343</v>
      </c>
      <c r="DV30">
        <v>-0.64000000000000012</v>
      </c>
      <c r="DW30">
        <v>6.4187306501547985</v>
      </c>
      <c r="DX30">
        <v>0.6292241645244232</v>
      </c>
      <c r="DY30">
        <v>6.0541101184270216</v>
      </c>
      <c r="DZ30">
        <v>3166</v>
      </c>
      <c r="EA30">
        <v>6.0205720144841965</v>
      </c>
      <c r="EB30">
        <v>6</v>
      </c>
      <c r="EC30">
        <v>6.3207228490116119E-2</v>
      </c>
      <c r="ED30">
        <v>0.4891285520996409</v>
      </c>
      <c r="EE30" s="12">
        <v>1.02711</v>
      </c>
      <c r="EF30">
        <v>1.0152000000000001</v>
      </c>
      <c r="EG30">
        <v>50.129224164524423</v>
      </c>
      <c r="EH30" t="s">
        <v>1286</v>
      </c>
      <c r="EI30">
        <v>0</v>
      </c>
      <c r="EJ30">
        <v>0</v>
      </c>
      <c r="EK30" s="14">
        <v>45504</v>
      </c>
      <c r="EL30" s="15">
        <v>-2.29</v>
      </c>
      <c r="EM30" s="15">
        <v>-0.24</v>
      </c>
      <c r="EN30" s="15">
        <v>0.73</v>
      </c>
      <c r="EO30" s="15">
        <v>0.48</v>
      </c>
      <c r="EP30" s="15">
        <v>4.2300000000000004</v>
      </c>
    </row>
    <row r="31" spans="1:146" ht="108" hidden="1" x14ac:dyDescent="0.25">
      <c r="A31" s="7"/>
      <c r="B31" s="7"/>
      <c r="C31" s="7" t="str">
        <f>""&amp;CHAR(10)&amp;Basic_Fundamental_Information_Constructure(F31)&amp;CHAR(10)&amp;Basic_Fundamental_Information_Concatenate("")</f>
        <v xml:space="preserve">
市值19.963508亿, 利润3187.87万; PE66.57; 平均PE77.89; 平均PEG111.95, PB2.81; ROIC3.0867%; ROE3.62%; 股利率.633%; 毛利72.2533%; 净利24.45%; 上一年度营收增-5.56%, 利润增36.63%; 当季营收增8.48%, 利润增-16.2%; 过往5年营收增-.7%, 利润增34.05%
Income profile:
</v>
      </c>
      <c r="D31" t="s">
        <v>103</v>
      </c>
      <c r="E31" t="s">
        <v>40</v>
      </c>
      <c r="F31">
        <v>7.93</v>
      </c>
      <c r="G31">
        <v>3.39</v>
      </c>
      <c r="H31" t="s">
        <v>3901</v>
      </c>
      <c r="I31">
        <v>1996350800</v>
      </c>
      <c r="J31">
        <v>66.569999999999993</v>
      </c>
      <c r="K31">
        <v>2.81</v>
      </c>
      <c r="L31" t="s">
        <v>1277</v>
      </c>
      <c r="M31" t="s">
        <v>2255</v>
      </c>
      <c r="N31" t="s">
        <v>1314</v>
      </c>
      <c r="O31" t="s">
        <v>2256</v>
      </c>
      <c r="P31">
        <v>8.48</v>
      </c>
      <c r="Q31" t="s">
        <v>316</v>
      </c>
      <c r="R31">
        <v>9770451</v>
      </c>
      <c r="S31" s="5">
        <v>-0.16200000000000001</v>
      </c>
      <c r="T31" t="s">
        <v>2271</v>
      </c>
      <c r="U31">
        <v>203131260</v>
      </c>
      <c r="V31">
        <v>251746640</v>
      </c>
      <c r="W31">
        <v>1.03</v>
      </c>
      <c r="X31">
        <v>0.04</v>
      </c>
      <c r="Y31">
        <v>32.61</v>
      </c>
      <c r="Z31" t="s">
        <v>2257</v>
      </c>
      <c r="AA31" t="s">
        <v>2258</v>
      </c>
      <c r="AB31" t="s">
        <v>2259</v>
      </c>
      <c r="AC31" t="s">
        <v>2260</v>
      </c>
      <c r="AD31" t="s">
        <v>63</v>
      </c>
      <c r="AE31">
        <v>-1379375</v>
      </c>
      <c r="AF31" t="s">
        <v>2261</v>
      </c>
      <c r="AG31" t="s">
        <v>2262</v>
      </c>
      <c r="AH31" t="s">
        <v>2263</v>
      </c>
      <c r="AI31" t="s">
        <v>200</v>
      </c>
      <c r="AJ31" t="s">
        <v>2264</v>
      </c>
      <c r="AK31" t="s">
        <v>63</v>
      </c>
      <c r="AL31" t="s">
        <v>2265</v>
      </c>
      <c r="AM31" t="s">
        <v>63</v>
      </c>
      <c r="AN31">
        <v>0</v>
      </c>
      <c r="AO31" t="s">
        <v>63</v>
      </c>
      <c r="AP31" t="s">
        <v>63</v>
      </c>
      <c r="AQ31" t="s">
        <v>2266</v>
      </c>
      <c r="AR31" t="s">
        <v>63</v>
      </c>
      <c r="AS31" t="s">
        <v>2267</v>
      </c>
      <c r="AT31" t="s">
        <v>63</v>
      </c>
      <c r="AU31" t="s">
        <v>2268</v>
      </c>
      <c r="AV31" t="s">
        <v>2269</v>
      </c>
      <c r="AW31" t="s">
        <v>2270</v>
      </c>
      <c r="AX31" t="s">
        <v>173</v>
      </c>
      <c r="AY31" t="s">
        <v>469</v>
      </c>
      <c r="AZ31" t="s">
        <v>182</v>
      </c>
      <c r="BA31" t="s">
        <v>245</v>
      </c>
      <c r="BB31" t="s">
        <v>228</v>
      </c>
      <c r="BC31" t="s">
        <v>1477</v>
      </c>
      <c r="BD31" t="s">
        <v>1158</v>
      </c>
      <c r="BE31" t="s">
        <v>818</v>
      </c>
      <c r="BF31" t="s">
        <v>440</v>
      </c>
      <c r="BG31" t="s">
        <v>819</v>
      </c>
      <c r="BH31" t="s">
        <v>316</v>
      </c>
      <c r="BI31" t="s">
        <v>3902</v>
      </c>
      <c r="BJ31" t="s">
        <v>173</v>
      </c>
      <c r="BK31" t="s">
        <v>2271</v>
      </c>
      <c r="BL31" t="s">
        <v>3903</v>
      </c>
      <c r="BM31" t="s">
        <v>1477</v>
      </c>
      <c r="BN31">
        <v>3.71</v>
      </c>
      <c r="BO31">
        <v>2.99</v>
      </c>
      <c r="BP31">
        <v>2.56</v>
      </c>
      <c r="BQ31">
        <v>3.91</v>
      </c>
      <c r="BR31">
        <v>3.47</v>
      </c>
      <c r="BS31">
        <v>3.48</v>
      </c>
      <c r="BT31" t="s">
        <v>2272</v>
      </c>
      <c r="BU31" t="s">
        <v>1848</v>
      </c>
      <c r="BV31">
        <v>76.33</v>
      </c>
      <c r="BW31">
        <v>73.400000000000006</v>
      </c>
      <c r="BX31">
        <v>67.03</v>
      </c>
      <c r="BY31">
        <v>31.33</v>
      </c>
      <c r="BZ31">
        <v>21.65</v>
      </c>
      <c r="CA31">
        <v>20.37</v>
      </c>
      <c r="CB31">
        <v>7.45</v>
      </c>
      <c r="CC31">
        <v>-3.88</v>
      </c>
      <c r="CD31" t="s">
        <v>3904</v>
      </c>
      <c r="CE31" t="s">
        <v>348</v>
      </c>
      <c r="CF31" s="9">
        <v>8.4833100371531828E-2</v>
      </c>
      <c r="CG31" s="10">
        <v>-0.16201801106393929</v>
      </c>
      <c r="CH31" s="9">
        <v>-5.55555559694767E-2</v>
      </c>
      <c r="CI31" s="9">
        <v>-2.7027027681469917E-2</v>
      </c>
      <c r="CJ31" s="9">
        <v>-9.0163931250572205E-2</v>
      </c>
      <c r="CK31" s="9">
        <v>0.11926605552434921</v>
      </c>
      <c r="CL31" s="9">
        <v>1.8691588193178177E-2</v>
      </c>
      <c r="CM31" s="10">
        <v>0.36633148789405823</v>
      </c>
      <c r="CN31" s="10">
        <v>2.0237179473042488E-2</v>
      </c>
      <c r="CO31" s="10">
        <v>-0.26687055826187134</v>
      </c>
      <c r="CP31" s="10">
        <v>-3.088466078042984E-2</v>
      </c>
      <c r="CQ31" s="10">
        <v>1.6134490966796875</v>
      </c>
      <c r="CR31">
        <v>77.893149845782276</v>
      </c>
      <c r="CS31">
        <v>111.95124646876421</v>
      </c>
      <c r="CT31">
        <v>0.63300252206809582</v>
      </c>
      <c r="CU31" s="9">
        <v>-6.9577742367982866E-3</v>
      </c>
      <c r="CV31" s="10">
        <v>0.34045250900089741</v>
      </c>
      <c r="CW31">
        <v>0.06</v>
      </c>
      <c r="CX31">
        <v>40.829776622007799</v>
      </c>
      <c r="CY31" t="s">
        <v>3905</v>
      </c>
      <c r="CZ31">
        <v>-6.9577742367982866E-3</v>
      </c>
      <c r="DA31">
        <v>13.609925540669266</v>
      </c>
      <c r="DB31" t="s">
        <v>3906</v>
      </c>
      <c r="DC31">
        <v>-6.6098855249583722E-3</v>
      </c>
      <c r="DD31">
        <v>6.8049627703346331</v>
      </c>
      <c r="DE31" t="s">
        <v>3907</v>
      </c>
      <c r="DF31">
        <v>-6.1228413283824926E-3</v>
      </c>
      <c r="DG31">
        <v>4.0829776622007801</v>
      </c>
      <c r="DH31" t="s">
        <v>3908</v>
      </c>
      <c r="DI31">
        <v>-5.5662193894386296E-3</v>
      </c>
      <c r="DJ31">
        <v>2.04148883110039</v>
      </c>
      <c r="DK31" t="s">
        <v>3909</v>
      </c>
      <c r="DL31">
        <v>-4.8704419657588007E-3</v>
      </c>
      <c r="DM31">
        <v>31878700</v>
      </c>
      <c r="DN31">
        <v>-6.9577742367982866E-3</v>
      </c>
      <c r="DO31">
        <v>1301600200</v>
      </c>
      <c r="DP31">
        <v>522822010</v>
      </c>
      <c r="DQ31">
        <v>1717</v>
      </c>
      <c r="DR31">
        <v>9.1790874608330117E-2</v>
      </c>
      <c r="DS31">
        <v>-0.50247052006483672</v>
      </c>
      <c r="DT31" s="11">
        <v>-0.44</v>
      </c>
      <c r="DU31">
        <v>1.3333333333333308E-2</v>
      </c>
      <c r="DV31">
        <v>-0.42666666666666669</v>
      </c>
      <c r="DW31">
        <v>5.5208053691275172</v>
      </c>
      <c r="DX31">
        <v>0.53272641509433727</v>
      </c>
      <c r="DY31">
        <v>5.0743326832974551</v>
      </c>
      <c r="DZ31">
        <v>2801</v>
      </c>
      <c r="EA31">
        <v>5.0335719460390029</v>
      </c>
      <c r="EB31">
        <v>5</v>
      </c>
      <c r="EC31">
        <v>6.0096134748809357E-2</v>
      </c>
      <c r="ED31">
        <v>0.42105825126404867</v>
      </c>
      <c r="EE31" s="12">
        <v>2.01491</v>
      </c>
      <c r="EF31">
        <v>2.0190000000000001</v>
      </c>
      <c r="EG31">
        <v>39.142726415094337</v>
      </c>
      <c r="EH31" t="s">
        <v>1439</v>
      </c>
      <c r="EI31">
        <v>1</v>
      </c>
      <c r="EJ31">
        <v>0</v>
      </c>
      <c r="EK31" s="14">
        <v>45504</v>
      </c>
      <c r="EL31" s="15">
        <v>-1.34</v>
      </c>
      <c r="EM31" s="15">
        <v>0.68</v>
      </c>
      <c r="EN31" s="15">
        <v>2.42</v>
      </c>
      <c r="EO31" s="15">
        <v>0.26</v>
      </c>
      <c r="EP31" s="15">
        <v>3.39</v>
      </c>
    </row>
    <row r="32" spans="1:146" ht="108" hidden="1" x14ac:dyDescent="0.25">
      <c r="A32" s="7"/>
      <c r="B32" s="7"/>
      <c r="C32" s="7" t="str">
        <f>""&amp;CHAR(10)&amp;Basic_Fundamental_Information_Constructure(F32)&amp;CHAR(10)&amp;Basic_Fundamental_Information_Concatenate("")</f>
        <v xml:space="preserve">
市值121.401429亿, 利润3.58亿; PE27.71; 平均PE35.76; 平均PEG2.04, PB2.14; ROIC3.3933%; ROE4.1633%; 股利率.3559%; 毛利45.0133%; 净利7.79%; 上一年度营收增2.26%, 利润增228.44%; 当季营收增10.02%, 利润增126.16%; 过往5年营收增17.49%, 利润增37.8%
Income profile:
</v>
      </c>
      <c r="D32" t="s">
        <v>125</v>
      </c>
      <c r="E32" t="s">
        <v>32</v>
      </c>
      <c r="F32">
        <v>5.62</v>
      </c>
      <c r="G32">
        <v>5.84</v>
      </c>
      <c r="H32" t="s">
        <v>3910</v>
      </c>
      <c r="I32">
        <v>12140142900</v>
      </c>
      <c r="J32">
        <v>27.71</v>
      </c>
      <c r="K32">
        <v>2.14</v>
      </c>
      <c r="L32" t="s">
        <v>1277</v>
      </c>
      <c r="M32" t="s">
        <v>2273</v>
      </c>
      <c r="N32" t="s">
        <v>2274</v>
      </c>
      <c r="O32" t="s">
        <v>759</v>
      </c>
      <c r="P32">
        <v>10.09</v>
      </c>
      <c r="Q32" t="s">
        <v>2285</v>
      </c>
      <c r="R32">
        <v>16620407</v>
      </c>
      <c r="S32" s="5">
        <v>1.262</v>
      </c>
      <c r="T32" t="s">
        <v>571</v>
      </c>
      <c r="U32">
        <v>1861399900</v>
      </c>
      <c r="V32">
        <v>2160167800</v>
      </c>
      <c r="W32">
        <v>1.47</v>
      </c>
      <c r="X32">
        <v>0.06</v>
      </c>
      <c r="Y32">
        <v>1.31</v>
      </c>
      <c r="Z32" t="s">
        <v>698</v>
      </c>
      <c r="AA32" t="s">
        <v>362</v>
      </c>
      <c r="AB32" t="s">
        <v>2275</v>
      </c>
      <c r="AC32" t="s">
        <v>2276</v>
      </c>
      <c r="AD32" t="s">
        <v>63</v>
      </c>
      <c r="AE32">
        <v>14242491</v>
      </c>
      <c r="AF32" t="s">
        <v>2277</v>
      </c>
      <c r="AG32">
        <v>6.29</v>
      </c>
      <c r="AH32" t="s">
        <v>2278</v>
      </c>
      <c r="AI32" t="s">
        <v>822</v>
      </c>
      <c r="AJ32" t="s">
        <v>2279</v>
      </c>
      <c r="AK32" t="s">
        <v>2280</v>
      </c>
      <c r="AL32" t="s">
        <v>2281</v>
      </c>
      <c r="AM32" t="s">
        <v>63</v>
      </c>
      <c r="AN32">
        <v>0</v>
      </c>
      <c r="AO32" t="s">
        <v>2282</v>
      </c>
      <c r="AP32" t="s">
        <v>63</v>
      </c>
      <c r="AQ32" t="s">
        <v>1222</v>
      </c>
      <c r="AR32" t="s">
        <v>63</v>
      </c>
      <c r="AS32" t="s">
        <v>354</v>
      </c>
      <c r="AT32" t="s">
        <v>63</v>
      </c>
      <c r="AU32" t="s">
        <v>1043</v>
      </c>
      <c r="AV32" t="s">
        <v>2283</v>
      </c>
      <c r="AW32" t="s">
        <v>2284</v>
      </c>
      <c r="AX32" t="s">
        <v>1373</v>
      </c>
      <c r="AY32" t="s">
        <v>1160</v>
      </c>
      <c r="AZ32" t="s">
        <v>824</v>
      </c>
      <c r="BA32" t="s">
        <v>456</v>
      </c>
      <c r="BB32" t="s">
        <v>271</v>
      </c>
      <c r="BC32" t="s">
        <v>245</v>
      </c>
      <c r="BD32" t="s">
        <v>817</v>
      </c>
      <c r="BE32" t="s">
        <v>364</v>
      </c>
      <c r="BF32" t="s">
        <v>302</v>
      </c>
      <c r="BG32" t="s">
        <v>287</v>
      </c>
      <c r="BH32" t="s">
        <v>2285</v>
      </c>
      <c r="BI32" t="s">
        <v>577</v>
      </c>
      <c r="BJ32" t="s">
        <v>1373</v>
      </c>
      <c r="BK32" t="s">
        <v>571</v>
      </c>
      <c r="BL32" t="s">
        <v>3911</v>
      </c>
      <c r="BM32" t="s">
        <v>245</v>
      </c>
      <c r="BN32">
        <v>2.7</v>
      </c>
      <c r="BO32">
        <v>0.48</v>
      </c>
      <c r="BP32">
        <v>7</v>
      </c>
      <c r="BQ32">
        <v>2.89</v>
      </c>
      <c r="BR32">
        <v>2.15</v>
      </c>
      <c r="BS32">
        <v>7.45</v>
      </c>
      <c r="BT32" t="s">
        <v>1412</v>
      </c>
      <c r="BU32" t="s">
        <v>1848</v>
      </c>
      <c r="BV32">
        <v>45</v>
      </c>
      <c r="BW32">
        <v>43.69</v>
      </c>
      <c r="BX32">
        <v>46.35</v>
      </c>
      <c r="BY32">
        <v>10.039999999999999</v>
      </c>
      <c r="BZ32">
        <v>0.47</v>
      </c>
      <c r="CA32">
        <v>12.86</v>
      </c>
      <c r="CB32">
        <v>2</v>
      </c>
      <c r="CC32">
        <v>-9.35</v>
      </c>
      <c r="CD32" t="s">
        <v>191</v>
      </c>
      <c r="CE32" t="s">
        <v>1510</v>
      </c>
      <c r="CF32" s="9">
        <v>0.10022271714922062</v>
      </c>
      <c r="CG32" s="10">
        <v>1.2615957421692399</v>
      </c>
      <c r="CH32" s="9">
        <v>2.2631790488958359E-2</v>
      </c>
      <c r="CI32" s="9">
        <v>0.12472719699144363</v>
      </c>
      <c r="CJ32" s="9">
        <v>0.21305692195892334</v>
      </c>
      <c r="CK32" s="9">
        <v>0.18815517425537109</v>
      </c>
      <c r="CL32" s="9">
        <v>0.32592073082923889</v>
      </c>
      <c r="CM32" s="10">
        <v>2.2844035625457764</v>
      </c>
      <c r="CN32" s="10">
        <v>-0.71164023876190186</v>
      </c>
      <c r="CO32" s="10">
        <v>-0.23014256358146667</v>
      </c>
      <c r="CP32" s="10">
        <v>0.23366834223270416</v>
      </c>
      <c r="CQ32" s="10">
        <v>0.31353133916854858</v>
      </c>
      <c r="CR32">
        <v>35.758889248895436</v>
      </c>
      <c r="CS32">
        <v>2.0445525421162589</v>
      </c>
      <c r="CT32">
        <v>0.35587188612099646</v>
      </c>
      <c r="CU32" s="9">
        <v>0.17489836290478705</v>
      </c>
      <c r="CV32" s="10">
        <v>0.37796408832073214</v>
      </c>
      <c r="CW32">
        <v>0.06</v>
      </c>
      <c r="CX32">
        <v>23.303980540835109</v>
      </c>
      <c r="CY32">
        <v>396805296.15086198</v>
      </c>
      <c r="CZ32">
        <v>0.17489836290478705</v>
      </c>
      <c r="DA32">
        <v>7.0922810450455946</v>
      </c>
      <c r="DB32">
        <v>1303831988.7872622</v>
      </c>
      <c r="DC32">
        <v>0.16615344475954769</v>
      </c>
      <c r="DD32">
        <v>3.1651008630371513</v>
      </c>
      <c r="DE32">
        <v>2921595013.9189796</v>
      </c>
      <c r="DF32">
        <v>0.15391055935621262</v>
      </c>
      <c r="DG32">
        <v>1.694638004273185</v>
      </c>
      <c r="DH32">
        <v>5456706905.358243</v>
      </c>
      <c r="DI32">
        <v>0.13991869032382964</v>
      </c>
      <c r="DJ32">
        <v>0.67103830890310945</v>
      </c>
      <c r="DK32">
        <v>13780350208.493366</v>
      </c>
      <c r="DL32">
        <v>0.12242885403335092</v>
      </c>
      <c r="DM32">
        <v>358000000</v>
      </c>
      <c r="DN32">
        <v>0.17489836290478705</v>
      </c>
      <c r="DO32">
        <v>9247142900</v>
      </c>
      <c r="DP32">
        <v>3191372800</v>
      </c>
      <c r="DQ32">
        <v>1735</v>
      </c>
      <c r="DR32">
        <v>-7.4675645755566428E-2</v>
      </c>
      <c r="DS32">
        <v>0.88363165384850773</v>
      </c>
      <c r="DT32" s="11">
        <v>-9.000000000000008E-2</v>
      </c>
      <c r="DU32">
        <v>0.30333333333333329</v>
      </c>
      <c r="DV32">
        <v>0.21333333333333321</v>
      </c>
      <c r="DW32">
        <v>-2.0935000000000001</v>
      </c>
      <c r="DX32">
        <v>0.60611111111111426</v>
      </c>
      <c r="DY32">
        <v>-2.0220763888888889</v>
      </c>
      <c r="DZ32">
        <v>1322</v>
      </c>
      <c r="EA32">
        <v>-2.0163628050770033</v>
      </c>
      <c r="EB32">
        <v>2</v>
      </c>
      <c r="EC32">
        <v>7.0827831060161162E-2</v>
      </c>
      <c r="ED32">
        <v>0.29997669625480022</v>
      </c>
      <c r="EE32" s="12">
        <v>-5.0365099999999998</v>
      </c>
      <c r="EF32">
        <v>-5.0218999999999996</v>
      </c>
      <c r="EG32">
        <v>37.236111111111114</v>
      </c>
      <c r="EH32" t="s">
        <v>1802</v>
      </c>
      <c r="EI32">
        <v>0</v>
      </c>
      <c r="EJ32">
        <v>1</v>
      </c>
      <c r="EK32" s="14">
        <v>45504</v>
      </c>
      <c r="EL32" s="15">
        <v>-5.16</v>
      </c>
      <c r="EM32" s="15">
        <v>-2.36</v>
      </c>
      <c r="EN32" s="15">
        <v>0.37</v>
      </c>
      <c r="EO32" s="15">
        <v>-2.59</v>
      </c>
      <c r="EP32" s="15">
        <v>5.84</v>
      </c>
    </row>
    <row r="33" spans="1:146" ht="144" hidden="1" x14ac:dyDescent="0.25">
      <c r="A33" s="7" t="s">
        <v>1093</v>
      </c>
      <c r="B33" s="7"/>
      <c r="C33" s="7" t="str">
        <f>"公司是一家主要从事电子政务系统的产品开发与服务的公司。"&amp;CHAR(10)&amp;Basic_Fundamental_Information_Constructure(F33)&amp;CHAR(10)&amp;Basic_Fundamental_Information_Concatenate("法律科技 10.13亿 47.03% 利润占比45.35% 29.87%
智慧政务 9.72亿 45.15% 利润占比42.45% 29.12%
教育信息化 9610.90万 4.46% 利润占比6.87% 47.66%
企业 7222.92万 3.35% 利润占比5.33% 49.23%")</f>
        <v>公司是一家主要从事电子政务系统的产品开发与服务的公司。
市值40.242381亿, 利润-13.11亿; PE; 平均PE-38.39; 平均PEG-12.87, PB.952; ROIC3.87%; ROE-5.42%; 股利率0%; 毛利22.9467%; 净利-38.5%; 上一年度营收增-20.34%, 利润增-33.23%; 当季营收增19.12%, 利润增-8.63%; 过往5年营收增2.98%, 利润增-99.83%
Income profile:
法律科技 10.13亿 47.03% 利润占比45.35% 29.87%
智慧政务 9.72亿 45.15% 利润占比42.45% 29.12%
教育信息化 9610.90万 4.46% 利润占比6.87% 47.66%
企业 7222.92万 3.35% 利润占比5.33% 49.23%</v>
      </c>
      <c r="D33" t="s">
        <v>141</v>
      </c>
      <c r="E33" t="s">
        <v>57</v>
      </c>
      <c r="F33">
        <v>4.93</v>
      </c>
      <c r="G33">
        <v>2.4900000000000002</v>
      </c>
      <c r="H33" t="s">
        <v>3912</v>
      </c>
      <c r="I33">
        <v>4024238100</v>
      </c>
      <c r="K33">
        <v>0.95199999999999996</v>
      </c>
      <c r="L33" t="s">
        <v>1277</v>
      </c>
      <c r="M33" t="s">
        <v>1307</v>
      </c>
      <c r="N33" t="s">
        <v>2286</v>
      </c>
      <c r="O33" t="s">
        <v>289</v>
      </c>
      <c r="P33">
        <v>18.95</v>
      </c>
      <c r="Q33" t="s">
        <v>2299</v>
      </c>
      <c r="R33">
        <v>-86975314</v>
      </c>
      <c r="S33" s="5">
        <v>-8.6300000000000002E-2</v>
      </c>
      <c r="T33" t="s">
        <v>2300</v>
      </c>
      <c r="U33">
        <v>801731550</v>
      </c>
      <c r="V33">
        <v>816275470</v>
      </c>
      <c r="W33">
        <v>1.22</v>
      </c>
      <c r="X33">
        <v>0.04</v>
      </c>
      <c r="Y33">
        <v>-38.29</v>
      </c>
      <c r="Z33" t="s">
        <v>684</v>
      </c>
      <c r="AA33" t="s">
        <v>295</v>
      </c>
      <c r="AB33" t="s">
        <v>2287</v>
      </c>
      <c r="AC33" t="s">
        <v>2288</v>
      </c>
      <c r="AD33" t="s">
        <v>63</v>
      </c>
      <c r="AE33">
        <v>-6523111</v>
      </c>
      <c r="AF33" t="s">
        <v>2289</v>
      </c>
      <c r="AG33">
        <v>830.27</v>
      </c>
      <c r="AH33" t="s">
        <v>2290</v>
      </c>
      <c r="AI33" t="s">
        <v>2291</v>
      </c>
      <c r="AJ33" t="s">
        <v>2292</v>
      </c>
      <c r="AK33" t="s">
        <v>2293</v>
      </c>
      <c r="AL33" t="s">
        <v>2294</v>
      </c>
      <c r="AM33" t="s">
        <v>63</v>
      </c>
      <c r="AN33">
        <v>0</v>
      </c>
      <c r="AO33" t="s">
        <v>63</v>
      </c>
      <c r="AP33" t="s">
        <v>63</v>
      </c>
      <c r="AQ33" t="s">
        <v>499</v>
      </c>
      <c r="AR33" t="s">
        <v>63</v>
      </c>
      <c r="AS33" t="s">
        <v>2295</v>
      </c>
      <c r="AT33" t="s">
        <v>63</v>
      </c>
      <c r="AU33" t="s">
        <v>2296</v>
      </c>
      <c r="AV33" t="s">
        <v>2297</v>
      </c>
      <c r="AW33" t="s">
        <v>2298</v>
      </c>
      <c r="AX33" t="s">
        <v>1366</v>
      </c>
      <c r="AY33" t="s">
        <v>1161</v>
      </c>
      <c r="AZ33" t="s">
        <v>827</v>
      </c>
      <c r="BA33" t="s">
        <v>461</v>
      </c>
      <c r="BB33" t="s">
        <v>828</v>
      </c>
      <c r="BC33" t="s">
        <v>1479</v>
      </c>
      <c r="BD33" t="s">
        <v>494</v>
      </c>
      <c r="BE33" t="s">
        <v>65</v>
      </c>
      <c r="BF33" t="s">
        <v>279</v>
      </c>
      <c r="BG33" t="s">
        <v>344</v>
      </c>
      <c r="BH33" t="s">
        <v>2299</v>
      </c>
      <c r="BI33" t="s">
        <v>331</v>
      </c>
      <c r="BJ33" t="s">
        <v>1366</v>
      </c>
      <c r="BK33" t="s">
        <v>2300</v>
      </c>
      <c r="BL33" t="s">
        <v>3913</v>
      </c>
      <c r="BM33" t="s">
        <v>1479</v>
      </c>
      <c r="BN33" t="s">
        <v>63</v>
      </c>
      <c r="BO33" t="s">
        <v>63</v>
      </c>
      <c r="BP33">
        <v>3.87</v>
      </c>
      <c r="BQ33">
        <v>-4.82</v>
      </c>
      <c r="BR33">
        <v>-15.9</v>
      </c>
      <c r="BS33">
        <v>4.46</v>
      </c>
      <c r="BT33" t="s">
        <v>1409</v>
      </c>
      <c r="BU33" t="s">
        <v>1848</v>
      </c>
      <c r="BV33">
        <v>22.82</v>
      </c>
      <c r="BW33">
        <v>20.85</v>
      </c>
      <c r="BX33">
        <v>25.17</v>
      </c>
      <c r="BY33">
        <v>-74.89</v>
      </c>
      <c r="BZ33">
        <v>-45.65</v>
      </c>
      <c r="CA33">
        <v>5.04</v>
      </c>
      <c r="CB33">
        <v>4.8899999999999997</v>
      </c>
      <c r="CC33">
        <v>-2.1800000000000002</v>
      </c>
      <c r="CD33" t="s">
        <v>3914</v>
      </c>
      <c r="CE33" t="s">
        <v>3915</v>
      </c>
      <c r="CF33" s="9">
        <v>0.19117647058823545</v>
      </c>
      <c r="CG33" s="10">
        <v>-8.6293874686040661E-2</v>
      </c>
      <c r="CH33" s="9">
        <v>-0.20342038571834564</v>
      </c>
      <c r="CI33" s="9">
        <v>-0.61369955539703369</v>
      </c>
      <c r="CJ33" s="9">
        <v>0.71394515037536621</v>
      </c>
      <c r="CK33" s="9">
        <v>-4.3874677270650864E-2</v>
      </c>
      <c r="CL33" s="9">
        <v>0.29615956544876099</v>
      </c>
      <c r="CM33" s="10">
        <v>-0.33231714367866516</v>
      </c>
      <c r="CN33" s="10">
        <v>-4.3355932235717773</v>
      </c>
      <c r="CO33" s="10">
        <v>6.8259383551776409E-3</v>
      </c>
      <c r="CP33" s="10">
        <v>-0.49482759833335876</v>
      </c>
      <c r="CQ33" s="10">
        <v>0.16465863585472107</v>
      </c>
      <c r="CR33">
        <v>-38.387008903020671</v>
      </c>
      <c r="CS33">
        <v>-12.872035349234825</v>
      </c>
      <c r="CT33">
        <v>0</v>
      </c>
      <c r="CU33" s="9">
        <v>2.9822019487619401E-2</v>
      </c>
      <c r="CV33" s="10">
        <v>-0.99825067827478053</v>
      </c>
      <c r="CW33">
        <v>0.06</v>
      </c>
      <c r="CX33" t="e">
        <v>#VALUE!</v>
      </c>
      <c r="CY33" t="s">
        <v>1282</v>
      </c>
      <c r="CZ33">
        <v>2.9822019487619401E-2</v>
      </c>
      <c r="DA33" t="e">
        <v>#VALUE!</v>
      </c>
      <c r="DB33" t="s">
        <v>1283</v>
      </c>
      <c r="DC33">
        <v>2.8330918513238431E-2</v>
      </c>
      <c r="DD33" t="e">
        <v>#VALUE!</v>
      </c>
      <c r="DE33" t="s">
        <v>1283</v>
      </c>
      <c r="DF33">
        <v>2.6243377149105074E-2</v>
      </c>
      <c r="DG33" t="e">
        <v>#VALUE!</v>
      </c>
      <c r="DH33" t="s">
        <v>1283</v>
      </c>
      <c r="DI33">
        <v>2.3857615590095523E-2</v>
      </c>
      <c r="DJ33" t="e">
        <v>#VALUE!</v>
      </c>
      <c r="DK33" t="s">
        <v>1283</v>
      </c>
      <c r="DL33">
        <v>2.0875413641333579E-2</v>
      </c>
      <c r="DM33">
        <v>-1311000000</v>
      </c>
      <c r="DN33">
        <v>2.9822019487619401E-2</v>
      </c>
      <c r="DO33">
        <v>828238100</v>
      </c>
      <c r="DP33">
        <v>2749457000</v>
      </c>
      <c r="DQ33">
        <v>1753</v>
      </c>
      <c r="DR33">
        <v>0.16135445110061605</v>
      </c>
      <c r="DS33">
        <v>0.91195680358873987</v>
      </c>
      <c r="DT33" s="11">
        <v>-0.53999999999999992</v>
      </c>
      <c r="DU33">
        <v>-2.2150000000000003</v>
      </c>
      <c r="DV33">
        <v>-2.7550000000000003</v>
      </c>
      <c r="DW33">
        <v>4.445807770961145</v>
      </c>
      <c r="DX33">
        <v>0.43497065217391112</v>
      </c>
      <c r="DY33">
        <v>4.0467967324619902</v>
      </c>
      <c r="DZ33">
        <v>4792</v>
      </c>
      <c r="EA33">
        <v>4.0028950210371947</v>
      </c>
      <c r="EB33">
        <v>4</v>
      </c>
      <c r="EC33">
        <v>7.0985595095734044E-2</v>
      </c>
      <c r="ED33">
        <v>0.67624229844858619</v>
      </c>
      <c r="EE33" s="12">
        <v>3.08901</v>
      </c>
      <c r="EF33">
        <v>3.0641099999999999</v>
      </c>
      <c r="EG33">
        <v>33.104970652173911</v>
      </c>
      <c r="EH33" t="s">
        <v>1303</v>
      </c>
      <c r="EI33">
        <v>0</v>
      </c>
      <c r="EJ33">
        <v>0</v>
      </c>
      <c r="EK33" s="14">
        <v>45504</v>
      </c>
      <c r="EL33" s="15">
        <v>-0.21</v>
      </c>
      <c r="EM33" s="15">
        <v>-2.13</v>
      </c>
      <c r="EN33" s="15">
        <v>0.87</v>
      </c>
      <c r="EO33" s="15">
        <v>1.94</v>
      </c>
      <c r="EP33" s="15">
        <v>2.4900000000000002</v>
      </c>
    </row>
    <row r="34" spans="1:146" ht="96" x14ac:dyDescent="0.25">
      <c r="A34" s="7"/>
      <c r="B34" s="7"/>
      <c r="C34" s="7" t="str">
        <f>""&amp;CHAR(10)&amp;Basic_Fundamental_Information_Constructure(F34)&amp;CHAR(10)&amp;Basic_Fundamental_Information_Concatenate("")</f>
        <v xml:space="preserve">
市值28.629281亿, 利润-1.24亿; PE; 平均PE-214.68; 平均PEG-18.48, PB4.47; ROIC0%; ROE-6.15%; 股利率0%; 毛利53.46%; 净利-11.55%; 上一年度营收增-16.58%, 利润增-12243.22%; 当季营收增-57.57%, 利润增-19.64%; 过往5年营收增-11.62%, 利润增-2718.41%
Income profile:
</v>
      </c>
      <c r="D34" t="s">
        <v>99</v>
      </c>
      <c r="E34" t="s">
        <v>56</v>
      </c>
      <c r="F34">
        <v>4.25</v>
      </c>
      <c r="G34">
        <v>3.41</v>
      </c>
      <c r="H34" t="s">
        <v>3916</v>
      </c>
      <c r="I34">
        <v>2862928100</v>
      </c>
      <c r="K34">
        <v>4.47</v>
      </c>
      <c r="L34" t="s">
        <v>1277</v>
      </c>
      <c r="M34" t="s">
        <v>341</v>
      </c>
      <c r="N34" t="s">
        <v>1047</v>
      </c>
      <c r="O34" t="s">
        <v>2301</v>
      </c>
      <c r="P34">
        <v>-57.57</v>
      </c>
      <c r="Q34" t="s">
        <v>260</v>
      </c>
      <c r="R34">
        <v>-69928756</v>
      </c>
      <c r="S34" s="5">
        <v>-0.19639999999999999</v>
      </c>
      <c r="T34" t="s">
        <v>1308</v>
      </c>
      <c r="U34">
        <v>537409090</v>
      </c>
      <c r="V34">
        <v>673630150</v>
      </c>
      <c r="W34">
        <v>1.9</v>
      </c>
      <c r="X34">
        <v>0.02</v>
      </c>
      <c r="Y34">
        <v>-293.51</v>
      </c>
      <c r="Z34" t="s">
        <v>2302</v>
      </c>
      <c r="AA34" t="s">
        <v>2303</v>
      </c>
      <c r="AB34" t="s">
        <v>2304</v>
      </c>
      <c r="AC34" t="s">
        <v>2305</v>
      </c>
      <c r="AD34" t="s">
        <v>63</v>
      </c>
      <c r="AE34">
        <v>-195411</v>
      </c>
      <c r="AF34" t="s">
        <v>2306</v>
      </c>
      <c r="AG34" t="s">
        <v>2307</v>
      </c>
      <c r="AH34" t="s">
        <v>2308</v>
      </c>
      <c r="AI34" t="s">
        <v>228</v>
      </c>
      <c r="AJ34" t="s">
        <v>2309</v>
      </c>
      <c r="AK34" t="s">
        <v>2268</v>
      </c>
      <c r="AL34" t="s">
        <v>2310</v>
      </c>
      <c r="AM34" t="s">
        <v>63</v>
      </c>
      <c r="AN34" t="s">
        <v>2311</v>
      </c>
      <c r="AO34" t="s">
        <v>2312</v>
      </c>
      <c r="AP34" t="s">
        <v>63</v>
      </c>
      <c r="AQ34" t="s">
        <v>627</v>
      </c>
      <c r="AR34" t="s">
        <v>63</v>
      </c>
      <c r="AS34" t="s">
        <v>484</v>
      </c>
      <c r="AT34" t="s">
        <v>63</v>
      </c>
      <c r="AU34" t="s">
        <v>1737</v>
      </c>
      <c r="AV34" t="s">
        <v>2313</v>
      </c>
      <c r="AW34" t="s">
        <v>2314</v>
      </c>
      <c r="AX34" t="s">
        <v>752</v>
      </c>
      <c r="AY34" t="s">
        <v>1061</v>
      </c>
      <c r="AZ34" t="s">
        <v>820</v>
      </c>
      <c r="BA34" t="s">
        <v>476</v>
      </c>
      <c r="BB34" t="s">
        <v>448</v>
      </c>
      <c r="BC34" t="s">
        <v>2315</v>
      </c>
      <c r="BD34" t="s">
        <v>1480</v>
      </c>
      <c r="BE34" t="s">
        <v>1733</v>
      </c>
      <c r="BF34" t="s">
        <v>477</v>
      </c>
      <c r="BG34" t="s">
        <v>517</v>
      </c>
      <c r="BH34" t="s">
        <v>260</v>
      </c>
      <c r="BI34" t="s">
        <v>3917</v>
      </c>
      <c r="BJ34" t="s">
        <v>752</v>
      </c>
      <c r="BK34" t="s">
        <v>1308</v>
      </c>
      <c r="BL34" t="s">
        <v>3918</v>
      </c>
      <c r="BM34" t="s">
        <v>2315</v>
      </c>
      <c r="BN34" t="s">
        <v>63</v>
      </c>
      <c r="BO34" t="s">
        <v>63</v>
      </c>
      <c r="BP34" t="s">
        <v>63</v>
      </c>
      <c r="BQ34">
        <v>-13.97</v>
      </c>
      <c r="BR34">
        <v>-0.12</v>
      </c>
      <c r="BS34">
        <v>-4.3600000000000003</v>
      </c>
      <c r="BT34" t="s">
        <v>1409</v>
      </c>
      <c r="BU34" t="s">
        <v>1830</v>
      </c>
      <c r="BV34">
        <v>54.13</v>
      </c>
      <c r="BW34">
        <v>54.93</v>
      </c>
      <c r="BX34">
        <v>51.32</v>
      </c>
      <c r="BY34">
        <v>-20.149999999999999</v>
      </c>
      <c r="BZ34">
        <v>-1.08</v>
      </c>
      <c r="CA34">
        <v>-13.42</v>
      </c>
      <c r="CB34">
        <v>-0.23</v>
      </c>
      <c r="CC34">
        <v>18.38</v>
      </c>
      <c r="CD34" t="s">
        <v>479</v>
      </c>
      <c r="CE34" t="s">
        <v>961</v>
      </c>
      <c r="CF34" s="9">
        <v>-0.57570958174402542</v>
      </c>
      <c r="CG34" s="10">
        <v>-0.19637771512256547</v>
      </c>
      <c r="CH34" s="9">
        <v>-0.16575342416763306</v>
      </c>
      <c r="CI34" s="9">
        <v>0.12307692319154739</v>
      </c>
      <c r="CJ34" s="9">
        <v>-0.2243436723947525</v>
      </c>
      <c r="CK34" s="9">
        <v>-0.15863454341888428</v>
      </c>
      <c r="CL34" s="9">
        <v>-0.15521633625030518</v>
      </c>
      <c r="CM34" s="10">
        <v>-122.43221282958984</v>
      </c>
      <c r="CN34" s="10">
        <v>0.98636007308959961</v>
      </c>
      <c r="CO34" s="10">
        <v>-14.058527946472168</v>
      </c>
      <c r="CP34" s="10">
        <v>1.0558425188064575</v>
      </c>
      <c r="CQ34" s="10">
        <v>-1.471962571144104</v>
      </c>
      <c r="CR34">
        <v>-214.67694045808395</v>
      </c>
      <c r="CS34">
        <v>-18.478880926718396</v>
      </c>
      <c r="CT34">
        <v>0</v>
      </c>
      <c r="CU34" s="9">
        <v>-0.11617421060800552</v>
      </c>
      <c r="CV34" s="10">
        <v>-27.184100151062012</v>
      </c>
      <c r="CW34">
        <v>0.06</v>
      </c>
      <c r="CX34" t="e">
        <v>#VALUE!</v>
      </c>
      <c r="CY34" t="s">
        <v>1282</v>
      </c>
      <c r="CZ34">
        <v>-0.11617421060800552</v>
      </c>
      <c r="DA34" t="e">
        <v>#VALUE!</v>
      </c>
      <c r="DB34" t="s">
        <v>1283</v>
      </c>
      <c r="DC34">
        <v>-0.11036550007760523</v>
      </c>
      <c r="DD34" t="e">
        <v>#VALUE!</v>
      </c>
      <c r="DE34" t="s">
        <v>1283</v>
      </c>
      <c r="DF34">
        <v>-0.10223330533504486</v>
      </c>
      <c r="DG34" t="e">
        <v>#VALUE!</v>
      </c>
      <c r="DH34" t="s">
        <v>1283</v>
      </c>
      <c r="DI34">
        <v>-9.2939368486404425E-2</v>
      </c>
      <c r="DJ34" t="e">
        <v>#VALUE!</v>
      </c>
      <c r="DK34" t="s">
        <v>1283</v>
      </c>
      <c r="DL34">
        <v>-8.1321947425603863E-2</v>
      </c>
      <c r="DM34">
        <v>-124000000</v>
      </c>
      <c r="DN34">
        <v>-0.11617421060800552</v>
      </c>
      <c r="DO34">
        <v>2802928100</v>
      </c>
      <c r="DP34">
        <v>209612009.99999994</v>
      </c>
      <c r="DQ34">
        <v>1789</v>
      </c>
      <c r="DR34">
        <v>-0.45953537113601989</v>
      </c>
      <c r="DS34">
        <v>26.987722435939446</v>
      </c>
      <c r="DT34" s="11">
        <v>-0.95666666666666655</v>
      </c>
      <c r="DU34">
        <v>-2.831666666666667</v>
      </c>
      <c r="DV34">
        <v>-3.7883333333333336</v>
      </c>
      <c r="DW34">
        <v>3.0269166666666667</v>
      </c>
      <c r="DX34">
        <v>0.38303098373848599</v>
      </c>
      <c r="DY34">
        <v>3.0035807506456278</v>
      </c>
      <c r="DZ34">
        <v>5062</v>
      </c>
      <c r="EA34">
        <v>3.0000322463840443</v>
      </c>
      <c r="EB34">
        <v>3</v>
      </c>
      <c r="EC34">
        <v>0.26127096597442973</v>
      </c>
      <c r="ED34">
        <v>1.9639857271827872</v>
      </c>
      <c r="EE34" s="12">
        <v>2.052</v>
      </c>
      <c r="EF34">
        <v>2.0861000000000001</v>
      </c>
      <c r="EG34">
        <v>25.133030983738486</v>
      </c>
      <c r="EH34" t="s">
        <v>1439</v>
      </c>
      <c r="EI34">
        <v>0</v>
      </c>
      <c r="EJ34">
        <v>0</v>
      </c>
      <c r="EK34" s="14">
        <v>45504</v>
      </c>
      <c r="EL34" s="15">
        <v>-2.74</v>
      </c>
      <c r="EM34" s="15">
        <v>-4.46</v>
      </c>
      <c r="EN34" s="15">
        <v>-0.98</v>
      </c>
      <c r="EO34" s="15">
        <v>4.47</v>
      </c>
      <c r="EP34" s="15">
        <v>3.41</v>
      </c>
    </row>
    <row r="35" spans="1:146" ht="96" hidden="1" x14ac:dyDescent="0.25">
      <c r="A35" s="7"/>
      <c r="B35" s="7"/>
      <c r="C35" s="7" t="str">
        <f>""&amp;CHAR(10)&amp;Basic_Fundamental_Information_Constructure(F35)&amp;CHAR(10)&amp;Basic_Fundamental_Information_Concatenate("")</f>
        <v xml:space="preserve">
市值20.470435亿, 利润-1.27亿; PE; 平均PE-15.69; 平均PEG-2.78, PB5.63; ROIC7.77%; ROE-9.6467%; 股利率0%; 毛利13.49%; 净利-32.1733%; 上一年度营收增-53.19%, 利润增9.29%; 当季营收增-31.35%, 利润增-19.89%; 过往5年营收增5.65%, 利润增-884.66%
Income profile:
</v>
      </c>
      <c r="D35" t="s">
        <v>149</v>
      </c>
      <c r="E35" t="s">
        <v>837</v>
      </c>
      <c r="F35">
        <v>3.19</v>
      </c>
      <c r="G35">
        <v>1.27</v>
      </c>
      <c r="H35" t="s">
        <v>3919</v>
      </c>
      <c r="I35">
        <v>2047043500</v>
      </c>
      <c r="K35">
        <v>5.63</v>
      </c>
      <c r="L35" t="s">
        <v>1277</v>
      </c>
      <c r="M35" t="s">
        <v>301</v>
      </c>
      <c r="N35" t="s">
        <v>395</v>
      </c>
      <c r="O35" t="s">
        <v>2316</v>
      </c>
      <c r="P35">
        <v>-31.35</v>
      </c>
      <c r="Q35" t="s">
        <v>537</v>
      </c>
      <c r="R35">
        <v>-15663230</v>
      </c>
      <c r="S35" s="5">
        <v>-0.19889999999999999</v>
      </c>
      <c r="T35" t="s">
        <v>1739</v>
      </c>
      <c r="U35">
        <v>639211390</v>
      </c>
      <c r="V35">
        <v>641706420</v>
      </c>
      <c r="W35">
        <v>1.35</v>
      </c>
      <c r="X35">
        <v>0.06</v>
      </c>
      <c r="Y35">
        <v>-50.82</v>
      </c>
      <c r="Z35" t="s">
        <v>2317</v>
      </c>
      <c r="AA35" t="s">
        <v>2318</v>
      </c>
      <c r="AB35" t="s">
        <v>2319</v>
      </c>
      <c r="AC35" t="s">
        <v>2320</v>
      </c>
      <c r="AD35" t="s">
        <v>63</v>
      </c>
      <c r="AE35">
        <v>598552</v>
      </c>
      <c r="AF35" t="s">
        <v>175</v>
      </c>
      <c r="AG35">
        <v>0.05</v>
      </c>
      <c r="AH35" t="s">
        <v>2321</v>
      </c>
      <c r="AI35" t="s">
        <v>2322</v>
      </c>
      <c r="AJ35" t="s">
        <v>2323</v>
      </c>
      <c r="AK35" t="s">
        <v>63</v>
      </c>
      <c r="AL35" t="s">
        <v>2324</v>
      </c>
      <c r="AM35" t="s">
        <v>63</v>
      </c>
      <c r="AN35">
        <v>0</v>
      </c>
      <c r="AO35" t="s">
        <v>2325</v>
      </c>
      <c r="AP35" t="s">
        <v>63</v>
      </c>
      <c r="AQ35" t="s">
        <v>2326</v>
      </c>
      <c r="AR35" t="s">
        <v>63</v>
      </c>
      <c r="AS35" t="s">
        <v>210</v>
      </c>
      <c r="AT35" t="s">
        <v>63</v>
      </c>
      <c r="AU35" t="s">
        <v>2327</v>
      </c>
      <c r="AV35" t="s">
        <v>2328</v>
      </c>
      <c r="AW35" t="s">
        <v>2329</v>
      </c>
      <c r="AX35" t="s">
        <v>420</v>
      </c>
      <c r="AY35" t="s">
        <v>405</v>
      </c>
      <c r="AZ35" t="s">
        <v>513</v>
      </c>
      <c r="BA35" t="s">
        <v>474</v>
      </c>
      <c r="BB35" t="s">
        <v>839</v>
      </c>
      <c r="BC35" t="s">
        <v>1481</v>
      </c>
      <c r="BD35" t="s">
        <v>1162</v>
      </c>
      <c r="BE35" t="s">
        <v>838</v>
      </c>
      <c r="BF35" t="s">
        <v>486</v>
      </c>
      <c r="BG35" t="s">
        <v>841</v>
      </c>
      <c r="BH35" t="s">
        <v>537</v>
      </c>
      <c r="BI35" t="s">
        <v>3920</v>
      </c>
      <c r="BJ35" t="s">
        <v>420</v>
      </c>
      <c r="BK35" t="s">
        <v>1739</v>
      </c>
      <c r="BL35" t="s">
        <v>3921</v>
      </c>
      <c r="BM35" t="s">
        <v>1481</v>
      </c>
      <c r="BN35" t="s">
        <v>63</v>
      </c>
      <c r="BO35" t="s">
        <v>63</v>
      </c>
      <c r="BP35">
        <v>7.77</v>
      </c>
      <c r="BQ35">
        <v>-12.58</v>
      </c>
      <c r="BR35">
        <v>-24.66</v>
      </c>
      <c r="BS35">
        <v>8.3000000000000007</v>
      </c>
      <c r="BT35" t="s">
        <v>1409</v>
      </c>
      <c r="BU35" t="s">
        <v>1848</v>
      </c>
      <c r="BV35">
        <v>14.1</v>
      </c>
      <c r="BW35">
        <v>8.08</v>
      </c>
      <c r="BX35">
        <v>18.29</v>
      </c>
      <c r="BY35">
        <v>-66.47</v>
      </c>
      <c r="BZ35">
        <v>-34.54</v>
      </c>
      <c r="CA35">
        <v>4.49</v>
      </c>
      <c r="CB35">
        <v>9.25</v>
      </c>
      <c r="CC35">
        <v>-3.33</v>
      </c>
      <c r="CD35" t="s">
        <v>3922</v>
      </c>
      <c r="CE35" t="s">
        <v>3900</v>
      </c>
      <c r="CF35" s="9">
        <v>-0.31346072886758453</v>
      </c>
      <c r="CG35" s="10">
        <v>-0.19891538137701403</v>
      </c>
      <c r="CH35" s="9">
        <v>-0.53186273574829102</v>
      </c>
      <c r="CI35" s="9">
        <v>-0.26353791356086731</v>
      </c>
      <c r="CJ35" s="9">
        <v>1.7979798316955566</v>
      </c>
      <c r="CK35" s="9">
        <v>-0.56194692850112915</v>
      </c>
      <c r="CL35" s="9">
        <v>-0.15828678011894226</v>
      </c>
      <c r="CM35" s="10">
        <v>9.2857144773006439E-2</v>
      </c>
      <c r="CN35" s="10">
        <v>-6.4306087493896484</v>
      </c>
      <c r="CO35" s="10">
        <v>1.0435469150543213</v>
      </c>
      <c r="CP35" s="10">
        <v>-38.396167755126953</v>
      </c>
      <c r="CQ35" s="10">
        <v>-0.54245525598526001</v>
      </c>
      <c r="CR35">
        <v>-15.690347192334505</v>
      </c>
      <c r="CS35">
        <v>-2.7785724670975349</v>
      </c>
      <c r="CT35">
        <v>0</v>
      </c>
      <c r="CU35" s="9">
        <v>5.6469094753265378E-2</v>
      </c>
      <c r="CV35" s="10">
        <v>-8.8465655401349075</v>
      </c>
      <c r="CW35">
        <v>0.06</v>
      </c>
      <c r="CX35" t="e">
        <v>#VALUE!</v>
      </c>
      <c r="CY35" t="s">
        <v>1282</v>
      </c>
      <c r="CZ35">
        <v>5.6469094753265378E-2</v>
      </c>
      <c r="DA35" t="e">
        <v>#VALUE!</v>
      </c>
      <c r="DB35" t="s">
        <v>1283</v>
      </c>
      <c r="DC35">
        <v>5.3645640015602104E-2</v>
      </c>
      <c r="DD35" t="e">
        <v>#VALUE!</v>
      </c>
      <c r="DE35" t="s">
        <v>1283</v>
      </c>
      <c r="DF35">
        <v>4.9692803382873532E-2</v>
      </c>
      <c r="DG35" t="e">
        <v>#VALUE!</v>
      </c>
      <c r="DH35" t="s">
        <v>1283</v>
      </c>
      <c r="DI35">
        <v>4.5175275802612304E-2</v>
      </c>
      <c r="DJ35" t="e">
        <v>#VALUE!</v>
      </c>
      <c r="DK35" t="s">
        <v>1283</v>
      </c>
      <c r="DL35">
        <v>3.9528366327285763E-2</v>
      </c>
      <c r="DM35">
        <v>-127000000</v>
      </c>
      <c r="DN35">
        <v>5.6469094753265378E-2</v>
      </c>
      <c r="DO35">
        <v>1829043500</v>
      </c>
      <c r="DP35">
        <v>218432210</v>
      </c>
      <c r="DQ35">
        <v>1818</v>
      </c>
      <c r="DR35">
        <v>-0.36992982362084992</v>
      </c>
      <c r="DS35">
        <v>8.6476501587578927</v>
      </c>
      <c r="DT35" s="11">
        <v>-0.70666666666666655</v>
      </c>
      <c r="DU35">
        <v>-2.5150000000000001</v>
      </c>
      <c r="DV35">
        <v>-3.2216666666666667</v>
      </c>
      <c r="DW35">
        <v>5.36</v>
      </c>
      <c r="DX35">
        <v>0.48588791773778611</v>
      </c>
      <c r="DY35">
        <v>5.0561196503856038</v>
      </c>
      <c r="DZ35">
        <v>4950</v>
      </c>
      <c r="EA35">
        <v>5.0017358858185057</v>
      </c>
      <c r="EB35">
        <v>5</v>
      </c>
      <c r="EC35">
        <v>9.4498664981410033E-2</v>
      </c>
      <c r="ED35">
        <v>0.60619621041036176</v>
      </c>
      <c r="EE35" s="12">
        <v>-2.0446</v>
      </c>
      <c r="EF35">
        <v>-2.0573000000000001</v>
      </c>
      <c r="EG35">
        <v>33.155887917737786</v>
      </c>
      <c r="EH35" t="s">
        <v>1431</v>
      </c>
      <c r="EI35">
        <v>1</v>
      </c>
      <c r="EJ35">
        <v>0</v>
      </c>
      <c r="EK35" s="14">
        <v>45504</v>
      </c>
      <c r="EL35" s="15">
        <v>-1.35</v>
      </c>
      <c r="EM35" s="15">
        <v>1.71</v>
      </c>
      <c r="EN35" s="15">
        <v>0.34</v>
      </c>
      <c r="EO35" s="15">
        <v>2.35</v>
      </c>
      <c r="EP35" s="15">
        <v>1.27</v>
      </c>
    </row>
    <row r="36" spans="1:146" ht="108" hidden="1" x14ac:dyDescent="0.25">
      <c r="A36" s="7"/>
      <c r="B36" s="7"/>
      <c r="C36" s="7" t="str">
        <f>""&amp;CHAR(10)&amp;Basic_Fundamental_Information_Constructure(F36)&amp;CHAR(10)&amp;Basic_Fundamental_Information_Concatenate("")</f>
        <v xml:space="preserve">
市值57.525114亿, 利润3214.63万; PE168.7; 平均PE56.39; 平均PEG4.55, PB3.18; ROIC3.3733%; ROE3.2933%; 股利率.1272%; 毛利36.5733%; 净利3.69%; 上一年度营收增1.64%, 利润增42.98%; 当季营收增-2.36%, 利润增34.02%; 过往5年营收增12.39%, 利润增26.04%
Income profile:
</v>
      </c>
      <c r="D36" t="s">
        <v>74</v>
      </c>
      <c r="E36" t="s">
        <v>14</v>
      </c>
      <c r="F36">
        <v>7.86</v>
      </c>
      <c r="G36">
        <v>5.08</v>
      </c>
      <c r="H36" t="s">
        <v>3923</v>
      </c>
      <c r="I36">
        <v>5752511400</v>
      </c>
      <c r="J36">
        <v>168.7</v>
      </c>
      <c r="K36">
        <v>3.18</v>
      </c>
      <c r="L36" t="s">
        <v>1277</v>
      </c>
      <c r="M36" t="s">
        <v>1233</v>
      </c>
      <c r="N36" t="s">
        <v>1725</v>
      </c>
      <c r="O36" t="s">
        <v>299</v>
      </c>
      <c r="P36">
        <v>-2.4900000000000002</v>
      </c>
      <c r="Q36" t="s">
        <v>1364</v>
      </c>
      <c r="R36">
        <v>-3789215</v>
      </c>
      <c r="S36" s="5">
        <v>0.3402</v>
      </c>
      <c r="T36" t="s">
        <v>2342</v>
      </c>
      <c r="U36">
        <v>625708370</v>
      </c>
      <c r="V36">
        <v>731871680</v>
      </c>
      <c r="W36">
        <v>1.55</v>
      </c>
      <c r="X36">
        <v>0.12</v>
      </c>
      <c r="Y36">
        <v>-1.31</v>
      </c>
      <c r="Z36" t="s">
        <v>399</v>
      </c>
      <c r="AA36" t="s">
        <v>212</v>
      </c>
      <c r="AB36" t="s">
        <v>2330</v>
      </c>
      <c r="AC36" t="s">
        <v>2331</v>
      </c>
      <c r="AD36" t="s">
        <v>63</v>
      </c>
      <c r="AE36">
        <v>3580922</v>
      </c>
      <c r="AF36" t="s">
        <v>2332</v>
      </c>
      <c r="AG36" t="s">
        <v>2333</v>
      </c>
      <c r="AH36" t="s">
        <v>2334</v>
      </c>
      <c r="AI36" t="s">
        <v>520</v>
      </c>
      <c r="AJ36" t="s">
        <v>2335</v>
      </c>
      <c r="AK36" t="s">
        <v>63</v>
      </c>
      <c r="AL36" t="s">
        <v>2336</v>
      </c>
      <c r="AM36" t="s">
        <v>63</v>
      </c>
      <c r="AN36">
        <v>0</v>
      </c>
      <c r="AO36" t="s">
        <v>541</v>
      </c>
      <c r="AP36" t="s">
        <v>63</v>
      </c>
      <c r="AQ36" t="s">
        <v>2337</v>
      </c>
      <c r="AR36" t="s">
        <v>63</v>
      </c>
      <c r="AS36" t="s">
        <v>1812</v>
      </c>
      <c r="AT36" t="s">
        <v>2338</v>
      </c>
      <c r="AU36" t="s">
        <v>1744</v>
      </c>
      <c r="AV36" t="s">
        <v>2339</v>
      </c>
      <c r="AW36" t="s">
        <v>2340</v>
      </c>
      <c r="AX36" t="s">
        <v>1482</v>
      </c>
      <c r="AY36" t="s">
        <v>1163</v>
      </c>
      <c r="AZ36" t="s">
        <v>628</v>
      </c>
      <c r="BA36" t="s">
        <v>487</v>
      </c>
      <c r="BB36" t="s">
        <v>843</v>
      </c>
      <c r="BC36" t="s">
        <v>2341</v>
      </c>
      <c r="BD36" t="s">
        <v>268</v>
      </c>
      <c r="BE36" t="s">
        <v>842</v>
      </c>
      <c r="BF36" t="s">
        <v>488</v>
      </c>
      <c r="BG36" t="s">
        <v>844</v>
      </c>
      <c r="BH36" t="s">
        <v>1364</v>
      </c>
      <c r="BI36" t="s">
        <v>399</v>
      </c>
      <c r="BJ36" t="s">
        <v>1482</v>
      </c>
      <c r="BK36" t="s">
        <v>2342</v>
      </c>
      <c r="BL36" t="s">
        <v>3924</v>
      </c>
      <c r="BM36" t="s">
        <v>2341</v>
      </c>
      <c r="BN36">
        <v>0.3</v>
      </c>
      <c r="BO36">
        <v>1.72</v>
      </c>
      <c r="BP36">
        <v>8.1</v>
      </c>
      <c r="BQ36">
        <v>0.11</v>
      </c>
      <c r="BR36">
        <v>1.5</v>
      </c>
      <c r="BS36">
        <v>8.27</v>
      </c>
      <c r="BT36" t="s">
        <v>1415</v>
      </c>
      <c r="BU36" t="s">
        <v>1848</v>
      </c>
      <c r="BV36">
        <v>34</v>
      </c>
      <c r="BW36">
        <v>33.57</v>
      </c>
      <c r="BX36">
        <v>42.15</v>
      </c>
      <c r="BY36">
        <v>1.68</v>
      </c>
      <c r="BZ36">
        <v>1.28</v>
      </c>
      <c r="CA36">
        <v>8.11</v>
      </c>
      <c r="CB36">
        <v>7.97</v>
      </c>
      <c r="CC36">
        <v>9.17</v>
      </c>
      <c r="CD36" t="s">
        <v>3925</v>
      </c>
      <c r="CE36" t="s">
        <v>866</v>
      </c>
      <c r="CF36" s="9">
        <v>-2.364864864864865E-2</v>
      </c>
      <c r="CG36" s="10">
        <v>0.34019136673109407</v>
      </c>
      <c r="CH36" s="9">
        <v>1.6428157687187195E-2</v>
      </c>
      <c r="CI36" s="9">
        <v>0.20038172602653503</v>
      </c>
      <c r="CJ36" s="9">
        <v>1.3539610430598259E-2</v>
      </c>
      <c r="CK36" s="9">
        <v>0.18306635320186615</v>
      </c>
      <c r="CL36" s="9">
        <v>0.20607174932956696</v>
      </c>
      <c r="CM36" s="10">
        <v>0.42983654141426086</v>
      </c>
      <c r="CN36" s="10">
        <v>-0.82156747579574585</v>
      </c>
      <c r="CO36" s="10">
        <v>-0.46835443377494812</v>
      </c>
      <c r="CP36" s="10">
        <v>0.71739131212234497</v>
      </c>
      <c r="CQ36" s="10">
        <v>1.444463849067688</v>
      </c>
      <c r="CR36">
        <v>56.389532202255609</v>
      </c>
      <c r="CS36">
        <v>4.5513043767824213</v>
      </c>
      <c r="CT36">
        <v>0.1272264631043257</v>
      </c>
      <c r="CU36" s="9">
        <v>0.12389751933515072</v>
      </c>
      <c r="CV36" s="10">
        <v>0.26035395860671995</v>
      </c>
      <c r="CW36">
        <v>0.06</v>
      </c>
      <c r="CX36">
        <v>149.55686914092587</v>
      </c>
      <c r="CY36">
        <v>34084100.779059961</v>
      </c>
      <c r="CZ36">
        <v>0.12389751933515072</v>
      </c>
      <c r="DA36">
        <v>47.496158338572457</v>
      </c>
      <c r="DB36">
        <v>107324709.58309531</v>
      </c>
      <c r="DC36">
        <v>0.11770264336839319</v>
      </c>
      <c r="DD36">
        <v>22.493193514767839</v>
      </c>
      <c r="DE36">
        <v>226624618.53863677</v>
      </c>
      <c r="DF36">
        <v>0.10902981701493264</v>
      </c>
      <c r="DG36">
        <v>12.921578913784829</v>
      </c>
      <c r="DH36">
        <v>394496015.85158759</v>
      </c>
      <c r="DI36">
        <v>9.9118015468120588E-2</v>
      </c>
      <c r="DJ36">
        <v>6.0418566033196992</v>
      </c>
      <c r="DK36">
        <v>843699500.77914321</v>
      </c>
      <c r="DL36">
        <v>8.6728263534605499E-2</v>
      </c>
      <c r="DM36">
        <v>32146300</v>
      </c>
      <c r="DN36">
        <v>0.12389751933515072</v>
      </c>
      <c r="DO36">
        <v>5097511400</v>
      </c>
      <c r="DP36">
        <v>1160060700</v>
      </c>
      <c r="DQ36">
        <v>1822</v>
      </c>
      <c r="DR36">
        <v>-0.14754616798379938</v>
      </c>
      <c r="DS36">
        <v>7.9837408124374121E-2</v>
      </c>
      <c r="DT36" s="11">
        <v>-7.3333333333333403E-2</v>
      </c>
      <c r="DU36">
        <v>-7.1666666666666767E-2</v>
      </c>
      <c r="DV36">
        <v>-0.14500000000000018</v>
      </c>
      <c r="DW36">
        <v>9.8691384950926935</v>
      </c>
      <c r="DX36">
        <v>0.46376719477123884</v>
      </c>
      <c r="DY36">
        <v>9.0814966785525399</v>
      </c>
      <c r="DZ36">
        <v>2147</v>
      </c>
      <c r="EA36">
        <v>9.047241907829692</v>
      </c>
      <c r="EB36">
        <v>9</v>
      </c>
      <c r="EC36">
        <v>9.8011580390704553E-2</v>
      </c>
      <c r="ED36">
        <v>1.0452652027743443</v>
      </c>
      <c r="EE36" s="12">
        <v>2.0120100000000001</v>
      </c>
      <c r="EF36">
        <v>2.0388000000000002</v>
      </c>
      <c r="EG36">
        <v>37.093767194771239</v>
      </c>
      <c r="EH36" t="s">
        <v>1439</v>
      </c>
      <c r="EI36">
        <v>1</v>
      </c>
      <c r="EJ36">
        <v>0</v>
      </c>
      <c r="EK36" s="14">
        <v>45504</v>
      </c>
      <c r="EL36" s="15">
        <v>-3.96</v>
      </c>
      <c r="EM36" s="15">
        <v>0.55000000000000004</v>
      </c>
      <c r="EN36" s="15">
        <v>0.96</v>
      </c>
      <c r="EO36" s="15">
        <v>2.17</v>
      </c>
      <c r="EP36" s="15">
        <v>5.08</v>
      </c>
    </row>
    <row r="37" spans="1:146" ht="96" hidden="1" x14ac:dyDescent="0.25">
      <c r="A37" s="7"/>
      <c r="B37" s="7"/>
      <c r="C37" s="7" t="str">
        <f>""&amp;CHAR(10)&amp;Basic_Fundamental_Information_Constructure(F37)&amp;CHAR(10)&amp;Basic_Fundamental_Information_Concatenate("")</f>
        <v xml:space="preserve">
市值58.282928亿, 利润658.61万; PE790.2; 平均PE-71.9; 平均PEG-13.55, PB3.77; ROIC1.7%; ROE-11.22%; 股利率0%; 毛利63.6767%; 净利-33.4633%; 上一年度营收增25.78%, 利润增103.52%; 当季营收增-15.03%, 利润增36.86%; 过往5年营收增5.31%, 利润增-341.47%
Income profile:
</v>
      </c>
      <c r="D37" t="s">
        <v>92</v>
      </c>
      <c r="E37" t="s">
        <v>18</v>
      </c>
      <c r="F37">
        <v>4.0199999999999996</v>
      </c>
      <c r="G37">
        <v>3.08</v>
      </c>
      <c r="H37" t="s">
        <v>3926</v>
      </c>
      <c r="I37">
        <v>5828292800</v>
      </c>
      <c r="J37">
        <v>790.2</v>
      </c>
      <c r="K37">
        <v>3.77</v>
      </c>
      <c r="L37" t="s">
        <v>1277</v>
      </c>
      <c r="M37" t="s">
        <v>1505</v>
      </c>
      <c r="N37" t="s">
        <v>2343</v>
      </c>
      <c r="O37" t="s">
        <v>259</v>
      </c>
      <c r="P37">
        <v>-15.05</v>
      </c>
      <c r="Q37" t="s">
        <v>609</v>
      </c>
      <c r="R37">
        <v>2932844</v>
      </c>
      <c r="S37" s="5">
        <v>0.36859999999999998</v>
      </c>
      <c r="T37" t="s">
        <v>2359</v>
      </c>
      <c r="U37">
        <v>1219430680</v>
      </c>
      <c r="V37">
        <v>1449824100</v>
      </c>
      <c r="W37">
        <v>1.54</v>
      </c>
      <c r="X37">
        <v>0.05</v>
      </c>
      <c r="Y37">
        <v>1.72</v>
      </c>
      <c r="Z37" t="s">
        <v>463</v>
      </c>
      <c r="AA37" t="s">
        <v>2344</v>
      </c>
      <c r="AB37" t="s">
        <v>2345</v>
      </c>
      <c r="AC37" t="s">
        <v>2346</v>
      </c>
      <c r="AD37" t="s">
        <v>63</v>
      </c>
      <c r="AE37">
        <v>1459975</v>
      </c>
      <c r="AF37" t="s">
        <v>2347</v>
      </c>
      <c r="AG37" t="s">
        <v>2348</v>
      </c>
      <c r="AH37" t="s">
        <v>2349</v>
      </c>
      <c r="AI37" t="s">
        <v>2350</v>
      </c>
      <c r="AJ37" t="s">
        <v>2351</v>
      </c>
      <c r="AK37" t="s">
        <v>2352</v>
      </c>
      <c r="AL37" t="s">
        <v>2353</v>
      </c>
      <c r="AM37" t="s">
        <v>63</v>
      </c>
      <c r="AN37" t="s">
        <v>517</v>
      </c>
      <c r="AO37" t="s">
        <v>554</v>
      </c>
      <c r="AP37" t="s">
        <v>2354</v>
      </c>
      <c r="AQ37" t="s">
        <v>470</v>
      </c>
      <c r="AR37" t="s">
        <v>2355</v>
      </c>
      <c r="AS37" t="s">
        <v>934</v>
      </c>
      <c r="AT37" t="s">
        <v>63</v>
      </c>
      <c r="AU37" t="s">
        <v>2356</v>
      </c>
      <c r="AV37" t="s">
        <v>2357</v>
      </c>
      <c r="AW37" t="s">
        <v>2358</v>
      </c>
      <c r="AX37" t="s">
        <v>816</v>
      </c>
      <c r="AY37" t="s">
        <v>636</v>
      </c>
      <c r="AZ37" t="s">
        <v>847</v>
      </c>
      <c r="BA37" t="s">
        <v>176</v>
      </c>
      <c r="BB37" t="s">
        <v>431</v>
      </c>
      <c r="BC37" t="s">
        <v>1370</v>
      </c>
      <c r="BD37" t="s">
        <v>1074</v>
      </c>
      <c r="BE37" t="s">
        <v>848</v>
      </c>
      <c r="BF37" t="s">
        <v>490</v>
      </c>
      <c r="BG37" t="s">
        <v>849</v>
      </c>
      <c r="BH37" t="s">
        <v>609</v>
      </c>
      <c r="BI37" t="s">
        <v>191</v>
      </c>
      <c r="BJ37" t="s">
        <v>816</v>
      </c>
      <c r="BK37" t="s">
        <v>2359</v>
      </c>
      <c r="BL37" t="s">
        <v>3927</v>
      </c>
      <c r="BM37" t="s">
        <v>1370</v>
      </c>
      <c r="BN37">
        <v>1.7</v>
      </c>
      <c r="BO37" t="s">
        <v>63</v>
      </c>
      <c r="BP37" t="s">
        <v>63</v>
      </c>
      <c r="BQ37">
        <v>0.11</v>
      </c>
      <c r="BR37">
        <v>-11.41</v>
      </c>
      <c r="BS37">
        <v>-22.36</v>
      </c>
      <c r="BT37" t="s">
        <v>1409</v>
      </c>
      <c r="BU37" t="s">
        <v>1848</v>
      </c>
      <c r="BV37">
        <v>74.760000000000005</v>
      </c>
      <c r="BW37">
        <v>57.06</v>
      </c>
      <c r="BX37">
        <v>59.21</v>
      </c>
      <c r="BY37">
        <v>0.71</v>
      </c>
      <c r="BZ37">
        <v>-34.72</v>
      </c>
      <c r="CA37">
        <v>-66.38</v>
      </c>
      <c r="CB37">
        <v>8.36</v>
      </c>
      <c r="CC37">
        <v>-1.71</v>
      </c>
      <c r="CD37" t="s">
        <v>3928</v>
      </c>
      <c r="CE37" t="s">
        <v>662</v>
      </c>
      <c r="CF37" s="9">
        <v>-0.15032679738562091</v>
      </c>
      <c r="CG37" s="10">
        <v>0.36856929538030797</v>
      </c>
      <c r="CH37" s="9">
        <v>0.25782689452171326</v>
      </c>
      <c r="CI37" s="9">
        <v>-0.19555555284023285</v>
      </c>
      <c r="CJ37" s="9">
        <v>5.3042121231555939E-2</v>
      </c>
      <c r="CK37" s="9">
        <v>-0.11218836903572083</v>
      </c>
      <c r="CL37" s="9">
        <v>0.26223775744438171</v>
      </c>
      <c r="CM37" s="10">
        <v>1.0352197885513306</v>
      </c>
      <c r="CN37" s="10">
        <v>0.57499998807907104</v>
      </c>
      <c r="CO37" s="10">
        <v>-18.094217300415039</v>
      </c>
      <c r="CP37" s="10">
        <v>0.14990484714508057</v>
      </c>
      <c r="CQ37" s="10">
        <v>-0.73953783512115479</v>
      </c>
      <c r="CR37">
        <v>-71.902494850927226</v>
      </c>
      <c r="CS37">
        <v>-13.54795791739523</v>
      </c>
      <c r="CT37">
        <v>0</v>
      </c>
      <c r="CU37" s="9">
        <v>5.3072570264339446E-2</v>
      </c>
      <c r="CV37" s="10">
        <v>-3.4147261023521422</v>
      </c>
      <c r="CW37">
        <v>0.06</v>
      </c>
      <c r="CX37">
        <v>785.61017902386959</v>
      </c>
      <c r="CY37">
        <v>6543057.7877527988</v>
      </c>
      <c r="CZ37">
        <v>5.3072570264339446E-2</v>
      </c>
      <c r="DA37">
        <v>264.91892808557679</v>
      </c>
      <c r="DB37">
        <v>19403267.396354292</v>
      </c>
      <c r="DC37">
        <v>5.0418941751122472E-2</v>
      </c>
      <c r="DD37">
        <v>135.92348852628513</v>
      </c>
      <c r="DE37">
        <v>37817546.148441896</v>
      </c>
      <c r="DF37">
        <v>4.6703861832618709E-2</v>
      </c>
      <c r="DG37">
        <v>85.451717561967996</v>
      </c>
      <c r="DH37">
        <v>60154353.202700168</v>
      </c>
      <c r="DI37">
        <v>4.2458056211471557E-2</v>
      </c>
      <c r="DJ37">
        <v>48.671853574575238</v>
      </c>
      <c r="DK37">
        <v>105611198.72133121</v>
      </c>
      <c r="DL37">
        <v>3.7150799185037608E-2</v>
      </c>
      <c r="DM37">
        <v>6586100</v>
      </c>
      <c r="DN37">
        <v>5.3072570264339446E-2</v>
      </c>
      <c r="DO37">
        <v>5140292800</v>
      </c>
      <c r="DP37">
        <v>441218409.99999988</v>
      </c>
      <c r="DQ37">
        <v>1826</v>
      </c>
      <c r="DR37">
        <v>-0.20339936764996036</v>
      </c>
      <c r="DS37">
        <v>3.7832953977324504</v>
      </c>
      <c r="DT37" s="11">
        <v>-0.32333333333333336</v>
      </c>
      <c r="DU37">
        <v>-0.37666666666666671</v>
      </c>
      <c r="DV37">
        <v>-0.70000000000000007</v>
      </c>
      <c r="DW37">
        <v>5.2045454545454541</v>
      </c>
      <c r="DX37">
        <v>0.5804980728051401</v>
      </c>
      <c r="DY37">
        <v>5.0328291512555969</v>
      </c>
      <c r="DZ37">
        <v>3267</v>
      </c>
      <c r="EA37">
        <v>5.0118321197066473</v>
      </c>
      <c r="EB37">
        <v>5</v>
      </c>
      <c r="EC37">
        <v>5.1697719744071023E-2</v>
      </c>
      <c r="ED37">
        <v>0.32210804055471282</v>
      </c>
      <c r="EE37" s="12">
        <v>2.0001000000000002</v>
      </c>
      <c r="EF37">
        <v>2.0308999999999999</v>
      </c>
      <c r="EG37">
        <v>42.16049807280514</v>
      </c>
      <c r="EH37" t="s">
        <v>1439</v>
      </c>
      <c r="EI37">
        <v>1</v>
      </c>
      <c r="EJ37">
        <v>0</v>
      </c>
      <c r="EK37" s="14">
        <v>45504</v>
      </c>
      <c r="EL37" s="15">
        <v>-2.37</v>
      </c>
      <c r="EM37" s="15">
        <v>0.54</v>
      </c>
      <c r="EN37" s="15">
        <v>2.68</v>
      </c>
      <c r="EO37" s="15">
        <v>0.26</v>
      </c>
      <c r="EP37" s="15">
        <v>3.08</v>
      </c>
    </row>
    <row r="38" spans="1:146" ht="108" hidden="1" x14ac:dyDescent="0.25">
      <c r="A38" s="7"/>
      <c r="B38" s="7"/>
      <c r="C38" s="7" t="str">
        <f>""&amp;CHAR(10)&amp;Basic_Fundamental_Information_Constructure(F38)&amp;CHAR(10)&amp;Basic_Fundamental_Information_Concatenate("")</f>
        <v xml:space="preserve">
市值28.253193亿, 利润1786.16万; PE166.6; 平均PE33.49; 平均PEG7.38, PB1.43; ROIC1.65%; ROE-2.41%; 股利率.3185%; 毛利23.2167%; 净利-8.3567%; 上一年度营收增36.57%, 利润增108.16%; 当季营收增.9%, 利润增-28.73%; 过往5年营收增-4.54%, 利润增-92.66%
Income profile:
</v>
      </c>
      <c r="D38" t="s">
        <v>144</v>
      </c>
      <c r="E38" t="s">
        <v>38</v>
      </c>
      <c r="F38">
        <v>4.71</v>
      </c>
      <c r="G38">
        <v>2.61</v>
      </c>
      <c r="H38" t="s">
        <v>3929</v>
      </c>
      <c r="I38">
        <v>2825319300</v>
      </c>
      <c r="J38">
        <v>166.6</v>
      </c>
      <c r="K38">
        <v>1.43</v>
      </c>
      <c r="L38" t="s">
        <v>1277</v>
      </c>
      <c r="M38" t="s">
        <v>879</v>
      </c>
      <c r="N38" t="s">
        <v>2360</v>
      </c>
      <c r="O38" t="s">
        <v>290</v>
      </c>
      <c r="P38">
        <v>1.36</v>
      </c>
      <c r="Q38" t="s">
        <v>2373</v>
      </c>
      <c r="R38">
        <v>2248609</v>
      </c>
      <c r="S38" s="5">
        <v>-0.2873</v>
      </c>
      <c r="T38" t="s">
        <v>2374</v>
      </c>
      <c r="U38">
        <v>457183270</v>
      </c>
      <c r="V38">
        <v>599855470</v>
      </c>
      <c r="W38">
        <v>1.1599999999999999</v>
      </c>
      <c r="X38">
        <v>0.05</v>
      </c>
      <c r="Y38">
        <v>2.31</v>
      </c>
      <c r="Z38" t="s">
        <v>264</v>
      </c>
      <c r="AA38" t="s">
        <v>2361</v>
      </c>
      <c r="AB38" t="s">
        <v>2362</v>
      </c>
      <c r="AC38" t="s">
        <v>2363</v>
      </c>
      <c r="AD38" t="s">
        <v>63</v>
      </c>
      <c r="AE38">
        <v>-755323</v>
      </c>
      <c r="AF38" t="s">
        <v>2364</v>
      </c>
      <c r="AG38">
        <v>3002.95</v>
      </c>
      <c r="AH38" t="s">
        <v>2365</v>
      </c>
      <c r="AI38" t="s">
        <v>467</v>
      </c>
      <c r="AJ38" t="s">
        <v>2366</v>
      </c>
      <c r="AK38" t="s">
        <v>2367</v>
      </c>
      <c r="AL38" t="s">
        <v>2368</v>
      </c>
      <c r="AM38" t="s">
        <v>63</v>
      </c>
      <c r="AN38">
        <v>0</v>
      </c>
      <c r="AO38" t="s">
        <v>2369</v>
      </c>
      <c r="AP38" t="s">
        <v>2370</v>
      </c>
      <c r="AQ38" t="s">
        <v>2371</v>
      </c>
      <c r="AR38" t="s">
        <v>63</v>
      </c>
      <c r="AS38" t="s">
        <v>296</v>
      </c>
      <c r="AT38" t="s">
        <v>63</v>
      </c>
      <c r="AU38" t="s">
        <v>321</v>
      </c>
      <c r="AV38" t="s">
        <v>181</v>
      </c>
      <c r="AW38" t="s">
        <v>2372</v>
      </c>
      <c r="AX38" t="s">
        <v>341</v>
      </c>
      <c r="AY38" t="s">
        <v>1159</v>
      </c>
      <c r="AZ38" t="s">
        <v>850</v>
      </c>
      <c r="BA38" t="s">
        <v>493</v>
      </c>
      <c r="BB38" t="s">
        <v>852</v>
      </c>
      <c r="BC38" t="s">
        <v>1305</v>
      </c>
      <c r="BD38" t="s">
        <v>1166</v>
      </c>
      <c r="BE38" t="s">
        <v>851</v>
      </c>
      <c r="BF38" t="s">
        <v>494</v>
      </c>
      <c r="BG38" t="s">
        <v>570</v>
      </c>
      <c r="BH38" t="s">
        <v>2373</v>
      </c>
      <c r="BI38" t="s">
        <v>469</v>
      </c>
      <c r="BJ38" t="s">
        <v>341</v>
      </c>
      <c r="BK38" t="s">
        <v>2374</v>
      </c>
      <c r="BL38" t="s">
        <v>3930</v>
      </c>
      <c r="BM38" t="s">
        <v>1305</v>
      </c>
      <c r="BN38">
        <v>0.6</v>
      </c>
      <c r="BO38" t="s">
        <v>63</v>
      </c>
      <c r="BP38">
        <v>2.7</v>
      </c>
      <c r="BQ38">
        <v>0.73</v>
      </c>
      <c r="BR38">
        <v>-10.7</v>
      </c>
      <c r="BS38">
        <v>2.74</v>
      </c>
      <c r="BT38" t="s">
        <v>1419</v>
      </c>
      <c r="BU38" t="s">
        <v>1848</v>
      </c>
      <c r="BV38">
        <v>15.15</v>
      </c>
      <c r="BW38">
        <v>19.12</v>
      </c>
      <c r="BX38">
        <v>35.380000000000003</v>
      </c>
      <c r="BY38">
        <v>2.5299999999999998</v>
      </c>
      <c r="BZ38">
        <v>-34.96</v>
      </c>
      <c r="CA38">
        <v>7.36</v>
      </c>
      <c r="CB38">
        <v>8.7799999999999994</v>
      </c>
      <c r="CC38">
        <v>-8.5399999999999991</v>
      </c>
      <c r="CD38" t="s">
        <v>3931</v>
      </c>
      <c r="CE38" t="s">
        <v>273</v>
      </c>
      <c r="CF38" s="9">
        <v>9.0090090090090072E-3</v>
      </c>
      <c r="CG38" s="10">
        <v>-0.28730975246426421</v>
      </c>
      <c r="CH38" s="9">
        <v>0.36573311686515808</v>
      </c>
      <c r="CI38" s="9">
        <v>-0.30389907956123352</v>
      </c>
      <c r="CJ38" s="9">
        <v>-9.63730588555336E-2</v>
      </c>
      <c r="CK38" s="9">
        <v>-0.14069461822509766</v>
      </c>
      <c r="CL38" s="9">
        <v>-5.1520217210054398E-2</v>
      </c>
      <c r="CM38" s="10">
        <v>1.0815597772598267</v>
      </c>
      <c r="CN38" s="10">
        <v>-4.7809338569641113</v>
      </c>
      <c r="CO38" s="10">
        <v>-0.29750823974609375</v>
      </c>
      <c r="CP38" s="10">
        <v>-0.72049999237060547</v>
      </c>
      <c r="CQ38" s="10">
        <v>8.4558822214603424E-2</v>
      </c>
      <c r="CR38">
        <v>33.486171971468657</v>
      </c>
      <c r="CS38">
        <v>7.3838153000907347</v>
      </c>
      <c r="CT38">
        <v>0.31847133757961782</v>
      </c>
      <c r="CU38" s="9">
        <v>-4.5350771397352219E-2</v>
      </c>
      <c r="CV38" s="10">
        <v>-0.92656469792127605</v>
      </c>
      <c r="CW38">
        <v>0.06</v>
      </c>
      <c r="CX38">
        <v>66.809205222376491</v>
      </c>
      <c r="CY38" t="s">
        <v>3932</v>
      </c>
      <c r="CZ38">
        <v>-4.5350771397352219E-2</v>
      </c>
      <c r="DA38">
        <v>22.269735074125499</v>
      </c>
      <c r="DB38" t="s">
        <v>3933</v>
      </c>
      <c r="DC38">
        <v>-4.3083232827484608E-2</v>
      </c>
      <c r="DD38">
        <v>11.13486753706275</v>
      </c>
      <c r="DE38" t="s">
        <v>3934</v>
      </c>
      <c r="DF38">
        <v>-3.9908678829669954E-2</v>
      </c>
      <c r="DG38">
        <v>6.6809205222376491</v>
      </c>
      <c r="DH38" t="s">
        <v>3935</v>
      </c>
      <c r="DI38">
        <v>-3.6280617117881775E-2</v>
      </c>
      <c r="DJ38">
        <v>3.3404602611188245</v>
      </c>
      <c r="DK38" t="s">
        <v>3936</v>
      </c>
      <c r="DL38">
        <v>-3.1745539978146553E-2</v>
      </c>
      <c r="DM38">
        <v>17861600</v>
      </c>
      <c r="DN38">
        <v>-4.5350771397352219E-2</v>
      </c>
      <c r="DO38">
        <v>1193319300</v>
      </c>
      <c r="DP38">
        <v>1722348800</v>
      </c>
      <c r="DQ38">
        <v>1836</v>
      </c>
      <c r="DR38">
        <v>5.4359780406361226E-2</v>
      </c>
      <c r="DS38">
        <v>0.63925494545701178</v>
      </c>
      <c r="DT38" s="11">
        <v>-0.42333333333333334</v>
      </c>
      <c r="DU38">
        <v>-1.19</v>
      </c>
      <c r="DV38">
        <v>-1.6133333333333333</v>
      </c>
      <c r="DW38">
        <v>5.9726651480637809</v>
      </c>
      <c r="DX38">
        <v>0.44370480769230797</v>
      </c>
      <c r="DY38">
        <v>5.1105967036096018</v>
      </c>
      <c r="DZ38">
        <v>4102</v>
      </c>
      <c r="EA38">
        <v>5.0217815747516168</v>
      </c>
      <c r="EB38">
        <v>5</v>
      </c>
      <c r="EC38">
        <v>5.9140746020037126E-2</v>
      </c>
      <c r="ED38">
        <v>0.52012528951348902</v>
      </c>
      <c r="EE38" s="12">
        <v>12.0222</v>
      </c>
      <c r="EF38">
        <v>12.048299999999999</v>
      </c>
      <c r="EG38">
        <v>33.113704807692308</v>
      </c>
      <c r="EH38" t="s">
        <v>3937</v>
      </c>
      <c r="EI38">
        <v>1</v>
      </c>
      <c r="EJ38">
        <v>0</v>
      </c>
      <c r="EK38" s="14">
        <v>45504</v>
      </c>
      <c r="EL38" s="15">
        <v>-2.48</v>
      </c>
      <c r="EM38" s="15">
        <v>1.62</v>
      </c>
      <c r="EN38" s="15">
        <v>1.82</v>
      </c>
      <c r="EO38" s="15">
        <v>1.1200000000000001</v>
      </c>
      <c r="EP38" s="15">
        <v>2.61</v>
      </c>
    </row>
    <row r="39" spans="1:146" ht="96" hidden="1" x14ac:dyDescent="0.25">
      <c r="A39" s="7"/>
      <c r="B39" s="7"/>
      <c r="C39" s="7" t="str">
        <f>""&amp;CHAR(10)&amp;Basic_Fundamental_Information_Constructure(F39)&amp;CHAR(10)&amp;Basic_Fundamental_Information_Concatenate("")</f>
        <v xml:space="preserve">
市值49.699729亿, 利润-4.74亿; PE; 平均PE-18.63; 平均PEG-10.81, PB2.68; ROIC0%; ROE-1.5833%; 股利率0%; 毛利19.2267%; 净利-13.3733%; 上一年度营收增-16.58%, 利润增-734.67%; 当季营收增-73.26%, 利润增-462.68%; 过往5年营收增1.72%, 利润增-285.85%
Income profile:
</v>
      </c>
      <c r="D39" t="s">
        <v>150</v>
      </c>
      <c r="E39" t="s">
        <v>54</v>
      </c>
      <c r="F39">
        <v>8.18</v>
      </c>
      <c r="G39">
        <v>-1.92</v>
      </c>
      <c r="H39" t="s">
        <v>3938</v>
      </c>
      <c r="I39">
        <v>4969972900</v>
      </c>
      <c r="K39">
        <v>2.68</v>
      </c>
      <c r="L39" t="s">
        <v>1277</v>
      </c>
      <c r="M39" t="s">
        <v>2375</v>
      </c>
      <c r="N39" t="s">
        <v>2376</v>
      </c>
      <c r="O39" t="s">
        <v>2377</v>
      </c>
      <c r="P39">
        <v>-73.23</v>
      </c>
      <c r="Q39" t="s">
        <v>2394</v>
      </c>
      <c r="R39">
        <v>-61518307</v>
      </c>
      <c r="S39" s="5">
        <v>-4.6269999999999998</v>
      </c>
      <c r="T39" t="s">
        <v>2395</v>
      </c>
      <c r="U39">
        <v>508993570</v>
      </c>
      <c r="V39">
        <v>607576150</v>
      </c>
      <c r="W39">
        <v>2.04</v>
      </c>
      <c r="X39">
        <v>0.03</v>
      </c>
      <c r="Y39">
        <v>-91.91</v>
      </c>
      <c r="Z39" t="s">
        <v>742</v>
      </c>
      <c r="AA39" t="s">
        <v>2378</v>
      </c>
      <c r="AB39" t="s">
        <v>2379</v>
      </c>
      <c r="AC39" t="s">
        <v>2380</v>
      </c>
      <c r="AD39" t="s">
        <v>63</v>
      </c>
      <c r="AE39">
        <v>9078961</v>
      </c>
      <c r="AF39" t="s">
        <v>2381</v>
      </c>
      <c r="AG39">
        <v>5546.68</v>
      </c>
      <c r="AH39" t="s">
        <v>2382</v>
      </c>
      <c r="AI39" t="s">
        <v>208</v>
      </c>
      <c r="AJ39" t="s">
        <v>2383</v>
      </c>
      <c r="AK39" t="s">
        <v>2384</v>
      </c>
      <c r="AL39" t="s">
        <v>2385</v>
      </c>
      <c r="AM39" t="s">
        <v>63</v>
      </c>
      <c r="AN39" t="s">
        <v>355</v>
      </c>
      <c r="AO39" t="s">
        <v>2386</v>
      </c>
      <c r="AP39" t="s">
        <v>2387</v>
      </c>
      <c r="AQ39" t="s">
        <v>663</v>
      </c>
      <c r="AR39" t="s">
        <v>63</v>
      </c>
      <c r="AS39" t="s">
        <v>2388</v>
      </c>
      <c r="AT39" t="s">
        <v>63</v>
      </c>
      <c r="AU39" t="s">
        <v>2389</v>
      </c>
      <c r="AV39" t="s">
        <v>2390</v>
      </c>
      <c r="AW39" t="s">
        <v>2391</v>
      </c>
      <c r="AX39" t="s">
        <v>2392</v>
      </c>
      <c r="AY39" t="s">
        <v>1167</v>
      </c>
      <c r="AZ39" t="s">
        <v>853</v>
      </c>
      <c r="BA39" t="s">
        <v>496</v>
      </c>
      <c r="BB39" t="s">
        <v>855</v>
      </c>
      <c r="BC39" t="s">
        <v>2393</v>
      </c>
      <c r="BD39" t="s">
        <v>1168</v>
      </c>
      <c r="BE39" t="s">
        <v>854</v>
      </c>
      <c r="BF39" t="s">
        <v>381</v>
      </c>
      <c r="BG39" t="s">
        <v>856</v>
      </c>
      <c r="BH39" t="s">
        <v>2394</v>
      </c>
      <c r="BI39" t="s">
        <v>595</v>
      </c>
      <c r="BJ39" t="s">
        <v>2392</v>
      </c>
      <c r="BK39" t="s">
        <v>2395</v>
      </c>
      <c r="BL39" t="s">
        <v>3939</v>
      </c>
      <c r="BM39" t="s">
        <v>2393</v>
      </c>
      <c r="BN39" t="s">
        <v>63</v>
      </c>
      <c r="BO39" t="s">
        <v>63</v>
      </c>
      <c r="BP39" t="s">
        <v>63</v>
      </c>
      <c r="BQ39">
        <v>-1.65</v>
      </c>
      <c r="BR39">
        <v>-1.67</v>
      </c>
      <c r="BS39">
        <v>-1.43</v>
      </c>
      <c r="BT39" t="s">
        <v>1409</v>
      </c>
      <c r="BU39" t="s">
        <v>1848</v>
      </c>
      <c r="BV39">
        <v>16.55</v>
      </c>
      <c r="BW39">
        <v>19.09</v>
      </c>
      <c r="BX39">
        <v>22.04</v>
      </c>
      <c r="BY39">
        <v>-33.049999999999997</v>
      </c>
      <c r="BZ39">
        <v>-4.5199999999999996</v>
      </c>
      <c r="CA39">
        <v>-2.5499999999999998</v>
      </c>
      <c r="CB39">
        <v>18.899999999999999</v>
      </c>
      <c r="CC39">
        <v>6.37</v>
      </c>
      <c r="CD39" t="s">
        <v>298</v>
      </c>
      <c r="CE39" t="s">
        <v>248</v>
      </c>
      <c r="CF39" s="9">
        <v>-0.73262443820224721</v>
      </c>
      <c r="CG39" s="10">
        <v>-4.6267882114348371</v>
      </c>
      <c r="CH39" s="9">
        <v>-0.16583661735057831</v>
      </c>
      <c r="CI39" s="9">
        <v>7.5522191822528839E-2</v>
      </c>
      <c r="CJ39" s="9">
        <v>-6.9292090833187103E-2</v>
      </c>
      <c r="CK39" s="9">
        <v>1.775745116174221E-2</v>
      </c>
      <c r="CL39" s="9">
        <v>0.22803747653961182</v>
      </c>
      <c r="CM39" s="10">
        <v>-7.3467164039611816</v>
      </c>
      <c r="CN39" s="10">
        <v>-1.6136951446533203</v>
      </c>
      <c r="CO39" s="10">
        <v>0.97214430570602417</v>
      </c>
      <c r="CP39" s="10">
        <v>-7.6101694107055664</v>
      </c>
      <c r="CQ39" s="10">
        <v>1.3056994676589966</v>
      </c>
      <c r="CR39">
        <v>-18.63138742363245</v>
      </c>
      <c r="CS39">
        <v>-10.808522360453489</v>
      </c>
      <c r="CT39">
        <v>0</v>
      </c>
      <c r="CU39" s="9">
        <v>1.723768226802349E-2</v>
      </c>
      <c r="CV39" s="10">
        <v>-2.8585474371910093</v>
      </c>
      <c r="CW39">
        <v>0.06</v>
      </c>
      <c r="CX39" t="e">
        <v>#VALUE!</v>
      </c>
      <c r="CY39" t="s">
        <v>1282</v>
      </c>
      <c r="CZ39">
        <v>1.723768226802349E-2</v>
      </c>
      <c r="DA39" t="e">
        <v>#VALUE!</v>
      </c>
      <c r="DB39" t="s">
        <v>1283</v>
      </c>
      <c r="DC39">
        <v>1.6375798154622315E-2</v>
      </c>
      <c r="DD39" t="e">
        <v>#VALUE!</v>
      </c>
      <c r="DE39" t="s">
        <v>1283</v>
      </c>
      <c r="DF39">
        <v>1.5169160395860672E-2</v>
      </c>
      <c r="DG39" t="e">
        <v>#VALUE!</v>
      </c>
      <c r="DH39" t="s">
        <v>1283</v>
      </c>
      <c r="DI39">
        <v>1.3790145814418793E-2</v>
      </c>
      <c r="DJ39" t="e">
        <v>#VALUE!</v>
      </c>
      <c r="DK39" t="s">
        <v>1283</v>
      </c>
      <c r="DL39">
        <v>1.2066377587616441E-2</v>
      </c>
      <c r="DM39">
        <v>-474000000</v>
      </c>
      <c r="DN39">
        <v>1.723768226802349E-2</v>
      </c>
      <c r="DO39">
        <v>5050972900</v>
      </c>
      <c r="DP39">
        <v>810772999.99999976</v>
      </c>
      <c r="DQ39">
        <v>1837</v>
      </c>
      <c r="DR39">
        <v>-0.74986212047027068</v>
      </c>
      <c r="DS39">
        <v>-1.7682407742438278</v>
      </c>
      <c r="DT39" s="11">
        <v>-0.50666666666666671</v>
      </c>
      <c r="DU39">
        <v>-2.9649999999999999</v>
      </c>
      <c r="DV39">
        <v>-3.4716666666666667</v>
      </c>
      <c r="DW39">
        <v>5.337037037037037</v>
      </c>
      <c r="DX39">
        <v>0.77161616161616187</v>
      </c>
      <c r="DY39">
        <v>5.121878039655817</v>
      </c>
      <c r="DZ39">
        <v>5025</v>
      </c>
      <c r="EA39">
        <v>5.0019803988432718</v>
      </c>
      <c r="EB39">
        <v>5</v>
      </c>
      <c r="EC39">
        <v>0.29461327604778431</v>
      </c>
      <c r="ED39">
        <v>0.81471269074666608</v>
      </c>
      <c r="EE39" s="12">
        <v>-2.0070000000000001</v>
      </c>
      <c r="EF39">
        <v>-2.0122100000000001</v>
      </c>
      <c r="EG39">
        <v>41.361616161616162</v>
      </c>
      <c r="EH39" t="s">
        <v>1461</v>
      </c>
      <c r="EI39">
        <v>1</v>
      </c>
      <c r="EJ39">
        <v>0</v>
      </c>
      <c r="EK39" s="14">
        <v>45504</v>
      </c>
      <c r="EL39" s="15">
        <v>0.28999999999999998</v>
      </c>
      <c r="EM39" s="15">
        <v>-0.44</v>
      </c>
      <c r="EN39" s="15">
        <v>6.28</v>
      </c>
      <c r="EO39" s="15">
        <v>2.75</v>
      </c>
      <c r="EP39" s="15">
        <v>-1.92</v>
      </c>
    </row>
    <row r="40" spans="1:146" ht="96" x14ac:dyDescent="0.25">
      <c r="A40" s="7"/>
      <c r="B40" s="7"/>
      <c r="C40" s="7" t="str">
        <f>""&amp;CHAR(10)&amp;Basic_Fundamental_Information_Constructure(F40)&amp;CHAR(10)&amp;Basic_Fundamental_Information_Concatenate("")</f>
        <v xml:space="preserve">
市值41.643974亿, 利润-9.77亿; PE; 平均PE269.84; 平均PEG34.56, PB1.6; ROIC5.035%; ROE-1.5633%; 股利率0%; 毛利56.6067%; 净利-14.62%; 上一年度营收增-36.06%, 利润增-3516.26%; 当季营收增8.51%, 利润增17.07%; 过往5年营收增7.81%, 利润增-705.13%
Income profile:
</v>
      </c>
      <c r="D40" t="s">
        <v>114</v>
      </c>
      <c r="E40" t="s">
        <v>60</v>
      </c>
      <c r="F40">
        <v>5.21</v>
      </c>
      <c r="G40">
        <v>3.37</v>
      </c>
      <c r="H40" t="s">
        <v>3940</v>
      </c>
      <c r="I40">
        <v>4164397400</v>
      </c>
      <c r="K40">
        <v>1.6</v>
      </c>
      <c r="L40" t="s">
        <v>1277</v>
      </c>
      <c r="M40" t="s">
        <v>2396</v>
      </c>
      <c r="N40" t="s">
        <v>1709</v>
      </c>
      <c r="O40" t="s">
        <v>625</v>
      </c>
      <c r="P40">
        <v>8.48</v>
      </c>
      <c r="Q40" t="s">
        <v>1738</v>
      </c>
      <c r="R40">
        <v>-150109800</v>
      </c>
      <c r="S40" s="6">
        <v>0.17280000000000001</v>
      </c>
      <c r="T40" t="s">
        <v>2409</v>
      </c>
      <c r="U40">
        <v>798229070</v>
      </c>
      <c r="V40">
        <v>799308530</v>
      </c>
      <c r="W40">
        <v>1.55</v>
      </c>
      <c r="X40">
        <v>0.09</v>
      </c>
      <c r="Y40">
        <v>-42.1</v>
      </c>
      <c r="Z40" t="s">
        <v>806</v>
      </c>
      <c r="AA40" t="s">
        <v>408</v>
      </c>
      <c r="AB40" t="s">
        <v>262</v>
      </c>
      <c r="AC40" t="s">
        <v>2397</v>
      </c>
      <c r="AD40" t="s">
        <v>63</v>
      </c>
      <c r="AE40">
        <v>4352661</v>
      </c>
      <c r="AF40" t="s">
        <v>2398</v>
      </c>
      <c r="AG40" t="s">
        <v>2399</v>
      </c>
      <c r="AH40" t="s">
        <v>2400</v>
      </c>
      <c r="AI40" t="s">
        <v>323</v>
      </c>
      <c r="AJ40" t="s">
        <v>2401</v>
      </c>
      <c r="AK40" t="s">
        <v>500</v>
      </c>
      <c r="AL40" t="s">
        <v>2402</v>
      </c>
      <c r="AM40" t="s">
        <v>63</v>
      </c>
      <c r="AN40">
        <v>0</v>
      </c>
      <c r="AO40" t="s">
        <v>1756</v>
      </c>
      <c r="AP40" t="s">
        <v>2403</v>
      </c>
      <c r="AQ40" t="s">
        <v>766</v>
      </c>
      <c r="AR40" t="s">
        <v>2404</v>
      </c>
      <c r="AS40" t="s">
        <v>612</v>
      </c>
      <c r="AT40" t="s">
        <v>63</v>
      </c>
      <c r="AU40" t="s">
        <v>2405</v>
      </c>
      <c r="AV40" t="s">
        <v>2406</v>
      </c>
      <c r="AW40" t="s">
        <v>2407</v>
      </c>
      <c r="AX40" t="s">
        <v>1483</v>
      </c>
      <c r="AY40" t="s">
        <v>1169</v>
      </c>
      <c r="AZ40" t="s">
        <v>858</v>
      </c>
      <c r="BA40" t="s">
        <v>501</v>
      </c>
      <c r="BB40" t="s">
        <v>519</v>
      </c>
      <c r="BC40" t="s">
        <v>2408</v>
      </c>
      <c r="BD40" t="s">
        <v>254</v>
      </c>
      <c r="BE40" t="s">
        <v>310</v>
      </c>
      <c r="BF40" t="s">
        <v>204</v>
      </c>
      <c r="BG40" t="s">
        <v>186</v>
      </c>
      <c r="BH40" t="s">
        <v>1738</v>
      </c>
      <c r="BI40" t="s">
        <v>1683</v>
      </c>
      <c r="BJ40" t="s">
        <v>1483</v>
      </c>
      <c r="BK40" t="s">
        <v>2409</v>
      </c>
      <c r="BL40" t="s">
        <v>3941</v>
      </c>
      <c r="BM40" t="s">
        <v>2408</v>
      </c>
      <c r="BN40" t="s">
        <v>63</v>
      </c>
      <c r="BO40">
        <v>0.57999999999999996</v>
      </c>
      <c r="BP40">
        <v>9.49</v>
      </c>
      <c r="BQ40">
        <v>-15.45</v>
      </c>
      <c r="BR40">
        <v>0.78</v>
      </c>
      <c r="BS40">
        <v>9.98</v>
      </c>
      <c r="BT40" t="s">
        <v>1409</v>
      </c>
      <c r="BU40" t="s">
        <v>1830</v>
      </c>
      <c r="BV40">
        <v>46.15</v>
      </c>
      <c r="BW40">
        <v>62.28</v>
      </c>
      <c r="BX40">
        <v>61.39</v>
      </c>
      <c r="BY40">
        <v>-58.16</v>
      </c>
      <c r="BZ40">
        <v>1.08</v>
      </c>
      <c r="CA40">
        <v>13.22</v>
      </c>
      <c r="CB40">
        <v>8.32</v>
      </c>
      <c r="CC40">
        <v>-6.96</v>
      </c>
      <c r="CD40" t="s">
        <v>3942</v>
      </c>
      <c r="CE40" t="s">
        <v>542</v>
      </c>
      <c r="CF40" s="9">
        <v>8.5106382978723402E-2</v>
      </c>
      <c r="CG40" s="10">
        <v>0.17066408839779004</v>
      </c>
      <c r="CH40" s="9">
        <v>-0.36059337854385376</v>
      </c>
      <c r="CI40" s="9">
        <v>7.6657724566757679E-3</v>
      </c>
      <c r="CJ40" s="9">
        <v>0.29800993204116821</v>
      </c>
      <c r="CK40" s="9">
        <v>0.20287248492240906</v>
      </c>
      <c r="CL40" s="9">
        <v>0.24237929284572601</v>
      </c>
      <c r="CM40" s="10">
        <v>-35.162631988525391</v>
      </c>
      <c r="CN40" s="10">
        <v>-0.91710579395294189</v>
      </c>
      <c r="CO40" s="10">
        <v>0.14617940783500671</v>
      </c>
      <c r="CP40" s="10">
        <v>0.3259911835193634</v>
      </c>
      <c r="CQ40" s="10">
        <v>0.3511904776096344</v>
      </c>
      <c r="CR40">
        <v>269.8357360000432</v>
      </c>
      <c r="CS40">
        <v>34.564714359693305</v>
      </c>
      <c r="CT40">
        <v>0</v>
      </c>
      <c r="CU40" s="9">
        <v>7.8066820744425058E-2</v>
      </c>
      <c r="CV40" s="10">
        <v>-7.0512753427028656</v>
      </c>
      <c r="CW40">
        <v>0.06</v>
      </c>
      <c r="CX40" t="e">
        <v>#VALUE!</v>
      </c>
      <c r="CY40" t="s">
        <v>1282</v>
      </c>
      <c r="CZ40">
        <v>7.8066820744425058E-2</v>
      </c>
      <c r="DA40" t="e">
        <v>#VALUE!</v>
      </c>
      <c r="DB40" t="s">
        <v>1283</v>
      </c>
      <c r="DC40">
        <v>7.41634797072038E-2</v>
      </c>
      <c r="DD40" t="e">
        <v>#VALUE!</v>
      </c>
      <c r="DE40" t="s">
        <v>1283</v>
      </c>
      <c r="DF40">
        <v>6.8698802255094046E-2</v>
      </c>
      <c r="DG40" t="e">
        <v>#VALUE!</v>
      </c>
      <c r="DH40" t="s">
        <v>1283</v>
      </c>
      <c r="DI40">
        <v>6.2453456595540052E-2</v>
      </c>
      <c r="DJ40" t="e">
        <v>#VALUE!</v>
      </c>
      <c r="DK40" t="s">
        <v>1283</v>
      </c>
      <c r="DL40">
        <v>5.4646774521097535E-2</v>
      </c>
      <c r="DM40">
        <v>-977000000</v>
      </c>
      <c r="DN40">
        <v>7.8066820744425058E-2</v>
      </c>
      <c r="DO40">
        <v>2973397400</v>
      </c>
      <c r="DP40">
        <v>1046030500</v>
      </c>
      <c r="DQ40">
        <v>1839</v>
      </c>
      <c r="DR40">
        <v>7.0395622342983438E-3</v>
      </c>
      <c r="DS40">
        <v>7.2219394311006555</v>
      </c>
      <c r="DT40" s="11">
        <v>-0.25666666666666677</v>
      </c>
      <c r="DU40">
        <v>-1.7316666666666667</v>
      </c>
      <c r="DV40">
        <v>-1.9883333333333335</v>
      </c>
      <c r="DW40">
        <v>5.8365384615384617</v>
      </c>
      <c r="DX40">
        <v>0.44838492063491925</v>
      </c>
      <c r="DY40">
        <v>5.1324950778388274</v>
      </c>
      <c r="DZ40">
        <v>4372</v>
      </c>
      <c r="EA40">
        <v>5.0190909117637776</v>
      </c>
      <c r="EB40">
        <v>5</v>
      </c>
      <c r="EC40">
        <v>9.9868820366523545E-2</v>
      </c>
      <c r="ED40">
        <v>0.63054500369212874</v>
      </c>
      <c r="EE40" s="12">
        <v>-4.0160099999999996</v>
      </c>
      <c r="EF40">
        <v>-4.0176999999999996</v>
      </c>
      <c r="EG40">
        <v>29.158384920634919</v>
      </c>
      <c r="EH40" t="s">
        <v>1719</v>
      </c>
      <c r="EI40">
        <v>1</v>
      </c>
      <c r="EJ40">
        <v>0</v>
      </c>
      <c r="EK40" s="14">
        <v>45504</v>
      </c>
      <c r="EL40" s="15">
        <v>-3.22</v>
      </c>
      <c r="EM40" s="15">
        <v>0.83</v>
      </c>
      <c r="EN40" s="15">
        <v>0.21</v>
      </c>
      <c r="EO40" s="15">
        <v>2.06</v>
      </c>
      <c r="EP40" s="15">
        <v>3.37</v>
      </c>
    </row>
    <row r="41" spans="1:146" ht="108" hidden="1" x14ac:dyDescent="0.25">
      <c r="A41" s="7"/>
      <c r="B41" s="7"/>
      <c r="C41" s="7" t="str">
        <f>""&amp;CHAR(10)&amp;Basic_Fundamental_Information_Constructure(F41)&amp;CHAR(10)&amp;Basic_Fundamental_Information_Concatenate("")</f>
        <v xml:space="preserve">
市值45.665365亿, 利润6763.61万; PE65.88; 平均PE38.05; 平均PEG1.85, PB1.56; ROIC4.815%; ROE3.8067%; 股利率.6579%; 毛利54.4267%; 净利10.38%; 上一年度营收增15.95%, 利润增9.98%; 当季营收增-10.7%, 利润增1.86%; 过往5年营收增20.51%, 利润增321.55%
Income profile:
</v>
      </c>
      <c r="D41" t="s">
        <v>135</v>
      </c>
      <c r="E41" t="s">
        <v>39</v>
      </c>
      <c r="F41">
        <v>6.08</v>
      </c>
      <c r="G41">
        <v>8.77</v>
      </c>
      <c r="H41" t="s">
        <v>3943</v>
      </c>
      <c r="I41">
        <v>4566536500</v>
      </c>
      <c r="J41">
        <v>65.88</v>
      </c>
      <c r="K41">
        <v>1.56</v>
      </c>
      <c r="L41" t="s">
        <v>1277</v>
      </c>
      <c r="M41" t="s">
        <v>357</v>
      </c>
      <c r="N41" t="s">
        <v>2410</v>
      </c>
      <c r="O41" t="s">
        <v>263</v>
      </c>
      <c r="P41">
        <v>-10.86</v>
      </c>
      <c r="Q41" t="s">
        <v>872</v>
      </c>
      <c r="R41">
        <v>-88709008</v>
      </c>
      <c r="S41" s="5">
        <v>1.8599999999999998E-2</v>
      </c>
      <c r="T41" t="s">
        <v>2422</v>
      </c>
      <c r="U41">
        <v>671083510</v>
      </c>
      <c r="V41">
        <v>751075080</v>
      </c>
      <c r="W41">
        <v>1.0900000000000001</v>
      </c>
      <c r="X41">
        <v>7.0000000000000007E-2</v>
      </c>
      <c r="Y41">
        <v>-38.479999999999997</v>
      </c>
      <c r="Z41" t="s">
        <v>590</v>
      </c>
      <c r="AA41" t="s">
        <v>66</v>
      </c>
      <c r="AB41" t="s">
        <v>2411</v>
      </c>
      <c r="AC41" t="s">
        <v>2412</v>
      </c>
      <c r="AD41" t="s">
        <v>63</v>
      </c>
      <c r="AE41">
        <v>-627351</v>
      </c>
      <c r="AF41" t="s">
        <v>2413</v>
      </c>
      <c r="AG41" t="s">
        <v>2414</v>
      </c>
      <c r="AH41" t="s">
        <v>2415</v>
      </c>
      <c r="AI41" t="s">
        <v>261</v>
      </c>
      <c r="AJ41" t="s">
        <v>2416</v>
      </c>
      <c r="AK41" t="s">
        <v>63</v>
      </c>
      <c r="AL41" t="s">
        <v>2417</v>
      </c>
      <c r="AM41" t="s">
        <v>63</v>
      </c>
      <c r="AN41">
        <v>0</v>
      </c>
      <c r="AO41" t="s">
        <v>63</v>
      </c>
      <c r="AP41" t="s">
        <v>63</v>
      </c>
      <c r="AQ41" t="s">
        <v>2418</v>
      </c>
      <c r="AR41" t="s">
        <v>2419</v>
      </c>
      <c r="AS41" t="s">
        <v>383</v>
      </c>
      <c r="AT41" t="s">
        <v>63</v>
      </c>
      <c r="AU41" t="s">
        <v>1486</v>
      </c>
      <c r="AV41" t="s">
        <v>2420</v>
      </c>
      <c r="AW41" t="s">
        <v>2421</v>
      </c>
      <c r="AX41" t="s">
        <v>1386</v>
      </c>
      <c r="AY41" t="s">
        <v>1170</v>
      </c>
      <c r="AZ41" t="s">
        <v>820</v>
      </c>
      <c r="BA41" t="s">
        <v>504</v>
      </c>
      <c r="BB41" t="s">
        <v>340</v>
      </c>
      <c r="BC41" t="s">
        <v>1484</v>
      </c>
      <c r="BD41" t="s">
        <v>387</v>
      </c>
      <c r="BE41" t="s">
        <v>860</v>
      </c>
      <c r="BF41" t="s">
        <v>447</v>
      </c>
      <c r="BG41" t="s">
        <v>342</v>
      </c>
      <c r="BH41" t="s">
        <v>872</v>
      </c>
      <c r="BI41" t="s">
        <v>277</v>
      </c>
      <c r="BJ41" t="s">
        <v>1386</v>
      </c>
      <c r="BK41" t="s">
        <v>2422</v>
      </c>
      <c r="BL41" t="s">
        <v>3944</v>
      </c>
      <c r="BM41" t="s">
        <v>1484</v>
      </c>
      <c r="BN41" t="s">
        <v>63</v>
      </c>
      <c r="BO41">
        <v>1.53</v>
      </c>
      <c r="BP41">
        <v>8.1</v>
      </c>
      <c r="BQ41">
        <v>0.28999999999999998</v>
      </c>
      <c r="BR41">
        <v>2.04</v>
      </c>
      <c r="BS41">
        <v>9.09</v>
      </c>
      <c r="BT41" t="s">
        <v>1420</v>
      </c>
      <c r="BU41" t="s">
        <v>1848</v>
      </c>
      <c r="BV41">
        <v>45.06</v>
      </c>
      <c r="BW41">
        <v>52.21</v>
      </c>
      <c r="BX41">
        <v>66.010000000000005</v>
      </c>
      <c r="BY41">
        <v>4</v>
      </c>
      <c r="BZ41">
        <v>3.52</v>
      </c>
      <c r="CA41">
        <v>23.62</v>
      </c>
      <c r="CB41">
        <v>23.33</v>
      </c>
      <c r="CC41">
        <v>14.93</v>
      </c>
      <c r="CD41" t="s">
        <v>358</v>
      </c>
      <c r="CE41" t="s">
        <v>609</v>
      </c>
      <c r="CF41" s="9">
        <v>-0.1070110701107011</v>
      </c>
      <c r="CG41" s="10">
        <v>1.8562356450278136E-2</v>
      </c>
      <c r="CH41" s="9">
        <v>0.15950478613376617</v>
      </c>
      <c r="CI41" s="9">
        <v>0.33300966024398804</v>
      </c>
      <c r="CJ41" s="9">
        <v>0.22911694645881653</v>
      </c>
      <c r="CK41" s="9">
        <v>0.27743902802467346</v>
      </c>
      <c r="CL41" s="9">
        <v>2.6604069396853447E-2</v>
      </c>
      <c r="CM41" s="10">
        <v>9.9779285490512848E-2</v>
      </c>
      <c r="CN41" s="10">
        <v>-0.76616084575653076</v>
      </c>
      <c r="CO41" s="10">
        <v>17.877540588378906</v>
      </c>
      <c r="CP41" s="10">
        <v>-0.8975595235824585</v>
      </c>
      <c r="CQ41" s="10">
        <v>-0.23595505952835083</v>
      </c>
      <c r="CR41">
        <v>38.050892992422796</v>
      </c>
      <c r="CS41">
        <v>1.8549205110311255</v>
      </c>
      <c r="CT41">
        <v>0.65789473684210531</v>
      </c>
      <c r="CU41" s="9">
        <v>0.20513489805161952</v>
      </c>
      <c r="CV41" s="10">
        <v>3.2155288890004159</v>
      </c>
      <c r="CW41">
        <v>0.06</v>
      </c>
      <c r="CX41">
        <v>25.911820741444963</v>
      </c>
      <c r="CY41">
        <v>76896815.545385987</v>
      </c>
      <c r="CZ41">
        <v>0.20513489805161952</v>
      </c>
      <c r="DA41">
        <v>7.691244651625234</v>
      </c>
      <c r="DB41">
        <v>259065546.63801494</v>
      </c>
      <c r="DC41">
        <v>0.19487815314903853</v>
      </c>
      <c r="DD41">
        <v>3.3118732667938122</v>
      </c>
      <c r="DE41">
        <v>601634283.52708447</v>
      </c>
      <c r="DF41">
        <v>0.18051871028542518</v>
      </c>
      <c r="DG41">
        <v>1.6976097413051809</v>
      </c>
      <c r="DH41">
        <v>1173730599.8657084</v>
      </c>
      <c r="DI41">
        <v>0.16410791844129563</v>
      </c>
      <c r="DJ41">
        <v>0.60426010590615686</v>
      </c>
      <c r="DK41">
        <v>3297481466.2172089</v>
      </c>
      <c r="DL41">
        <v>0.14359442863613367</v>
      </c>
      <c r="DM41">
        <v>67636100</v>
      </c>
      <c r="DN41">
        <v>0.20513489805161952</v>
      </c>
      <c r="DO41">
        <v>1992536500</v>
      </c>
      <c r="DP41">
        <v>1123398200</v>
      </c>
      <c r="DQ41">
        <v>1846</v>
      </c>
      <c r="DR41">
        <v>-0.31214596816232065</v>
      </c>
      <c r="DS41">
        <v>-3.196966532550138</v>
      </c>
      <c r="DT41" s="11">
        <v>0.12666666666666662</v>
      </c>
      <c r="DU41">
        <v>-0.72166666666666668</v>
      </c>
      <c r="DV41">
        <v>-0.59500000000000008</v>
      </c>
      <c r="DW41">
        <v>5.6399485640805826</v>
      </c>
      <c r="DX41">
        <v>0.86515373352855041</v>
      </c>
      <c r="DY41">
        <v>5.3616693202563761</v>
      </c>
      <c r="DZ41">
        <v>3102</v>
      </c>
      <c r="EA41">
        <v>5.1420338011813413</v>
      </c>
      <c r="EB41">
        <v>5</v>
      </c>
      <c r="EC41">
        <v>0.51392997887774416</v>
      </c>
      <c r="ED41">
        <v>0.90936314915414318</v>
      </c>
      <c r="EE41" s="12">
        <v>-3.0007999999999999</v>
      </c>
      <c r="EF41">
        <v>-3.0884999999999998</v>
      </c>
      <c r="EG41">
        <v>30.56515373352855</v>
      </c>
      <c r="EH41" t="s">
        <v>1470</v>
      </c>
      <c r="EI41">
        <v>1</v>
      </c>
      <c r="EJ41">
        <v>0</v>
      </c>
      <c r="EK41" s="14">
        <v>45504</v>
      </c>
      <c r="EL41" s="15">
        <v>-2.1800000000000002</v>
      </c>
      <c r="EM41" s="15">
        <v>20.079999999999998</v>
      </c>
      <c r="EN41" s="15">
        <v>-4.5599999999999996</v>
      </c>
      <c r="EO41" s="15">
        <v>1.24</v>
      </c>
      <c r="EP41" s="15">
        <v>8.77</v>
      </c>
    </row>
    <row r="42" spans="1:146" ht="96" x14ac:dyDescent="0.25">
      <c r="A42" s="7"/>
      <c r="B42" s="7"/>
      <c r="C42" s="7" t="str">
        <f>""&amp;CHAR(10)&amp;Basic_Fundamental_Information_Constructure(F42)&amp;CHAR(10)&amp;Basic_Fundamental_Information_Concatenate("")</f>
        <v xml:space="preserve">
市值43.525288亿, 利润1.50亿; PE28.79; 平均PE37.35; 平均PEG3.45, PB2.13; ROIC5.2133%; ROE5.72%; 股利率.7115%; 毛利64.51%; 净利6.7233%; 上一年度营收增11.68%, 利润增11.94%; 当季营收增13.41%, 利润增8.73%; 过往5年营收增10.81%, 利润增14.32%
Income profile:
</v>
      </c>
      <c r="D42" t="s">
        <v>134</v>
      </c>
      <c r="E42" t="s">
        <v>47</v>
      </c>
      <c r="F42">
        <v>16.149999999999999</v>
      </c>
      <c r="G42">
        <v>6.88</v>
      </c>
      <c r="H42" t="s">
        <v>3945</v>
      </c>
      <c r="I42">
        <v>4352528800</v>
      </c>
      <c r="J42">
        <v>28.79</v>
      </c>
      <c r="K42">
        <v>2.13</v>
      </c>
      <c r="L42" t="s">
        <v>1277</v>
      </c>
      <c r="M42" t="s">
        <v>1478</v>
      </c>
      <c r="N42" t="s">
        <v>2423</v>
      </c>
      <c r="O42" t="s">
        <v>237</v>
      </c>
      <c r="P42">
        <v>13.27</v>
      </c>
      <c r="Q42" t="s">
        <v>2434</v>
      </c>
      <c r="R42">
        <v>-9693691</v>
      </c>
      <c r="S42" s="5">
        <v>8.7300000000000003E-2</v>
      </c>
      <c r="T42" t="s">
        <v>235</v>
      </c>
      <c r="U42">
        <v>267784430</v>
      </c>
      <c r="V42">
        <v>269506430</v>
      </c>
      <c r="W42">
        <v>1.34</v>
      </c>
      <c r="X42">
        <v>0.13</v>
      </c>
      <c r="Y42">
        <v>-4.4000000000000004</v>
      </c>
      <c r="Z42" t="s">
        <v>481</v>
      </c>
      <c r="AA42" t="s">
        <v>202</v>
      </c>
      <c r="AB42" t="s">
        <v>319</v>
      </c>
      <c r="AC42" t="s">
        <v>2424</v>
      </c>
      <c r="AD42" t="s">
        <v>63</v>
      </c>
      <c r="AE42">
        <v>-1246534</v>
      </c>
      <c r="AF42" t="s">
        <v>2425</v>
      </c>
      <c r="AG42" t="s">
        <v>2426</v>
      </c>
      <c r="AH42" t="s">
        <v>2427</v>
      </c>
      <c r="AI42" t="s">
        <v>539</v>
      </c>
      <c r="AJ42" t="s">
        <v>2428</v>
      </c>
      <c r="AK42" t="s">
        <v>255</v>
      </c>
      <c r="AL42" t="s">
        <v>2429</v>
      </c>
      <c r="AM42" t="s">
        <v>63</v>
      </c>
      <c r="AN42" t="s">
        <v>2430</v>
      </c>
      <c r="AO42" t="s">
        <v>63</v>
      </c>
      <c r="AP42" t="s">
        <v>2431</v>
      </c>
      <c r="AQ42" t="s">
        <v>256</v>
      </c>
      <c r="AR42" t="s">
        <v>63</v>
      </c>
      <c r="AS42" t="s">
        <v>846</v>
      </c>
      <c r="AT42" t="s">
        <v>63</v>
      </c>
      <c r="AU42" t="s">
        <v>1081</v>
      </c>
      <c r="AV42" t="s">
        <v>2432</v>
      </c>
      <c r="AW42" t="s">
        <v>2433</v>
      </c>
      <c r="AX42" t="s">
        <v>1485</v>
      </c>
      <c r="AY42" t="s">
        <v>1171</v>
      </c>
      <c r="AZ42" t="s">
        <v>861</v>
      </c>
      <c r="BA42" t="s">
        <v>507</v>
      </c>
      <c r="BB42" t="s">
        <v>862</v>
      </c>
      <c r="BC42" t="s">
        <v>230</v>
      </c>
      <c r="BD42" t="s">
        <v>290</v>
      </c>
      <c r="BE42" t="s">
        <v>492</v>
      </c>
      <c r="BF42" t="s">
        <v>276</v>
      </c>
      <c r="BG42" t="s">
        <v>863</v>
      </c>
      <c r="BH42" t="s">
        <v>2434</v>
      </c>
      <c r="BI42" t="s">
        <v>571</v>
      </c>
      <c r="BJ42" t="s">
        <v>1485</v>
      </c>
      <c r="BK42" t="s">
        <v>235</v>
      </c>
      <c r="BL42" t="s">
        <v>3946</v>
      </c>
      <c r="BM42" t="s">
        <v>230</v>
      </c>
      <c r="BN42">
        <v>2.12</v>
      </c>
      <c r="BO42">
        <v>7.17</v>
      </c>
      <c r="BP42">
        <v>6.35</v>
      </c>
      <c r="BQ42">
        <v>2.5499999999999998</v>
      </c>
      <c r="BR42">
        <v>7.58</v>
      </c>
      <c r="BS42">
        <v>7.03</v>
      </c>
      <c r="BT42" t="s">
        <v>2435</v>
      </c>
      <c r="BU42" t="s">
        <v>1830</v>
      </c>
      <c r="BV42">
        <v>61.91</v>
      </c>
      <c r="BW42">
        <v>65.319999999999993</v>
      </c>
      <c r="BX42">
        <v>66.3</v>
      </c>
      <c r="BY42">
        <v>6.96</v>
      </c>
      <c r="BZ42">
        <v>6.93</v>
      </c>
      <c r="CA42">
        <v>6.28</v>
      </c>
      <c r="CB42">
        <v>8.9700000000000006</v>
      </c>
      <c r="CC42">
        <v>-6.32</v>
      </c>
      <c r="CD42" t="s">
        <v>3947</v>
      </c>
      <c r="CE42" t="s">
        <v>408</v>
      </c>
      <c r="CF42" s="9">
        <v>0.13407821229050262</v>
      </c>
      <c r="CG42" s="10">
        <v>8.7291823591443204E-2</v>
      </c>
      <c r="CH42" s="9">
        <v>0.11679194122552872</v>
      </c>
      <c r="CI42" s="9">
        <v>0.11577184498310089</v>
      </c>
      <c r="CJ42" s="9">
        <v>0.19518716633319855</v>
      </c>
      <c r="CK42" s="9">
        <v>1.9768189638853073E-2</v>
      </c>
      <c r="CL42" s="9">
        <v>9.3144610524177551E-2</v>
      </c>
      <c r="CM42" s="10">
        <v>0.11940298229455948</v>
      </c>
      <c r="CN42" s="10">
        <v>0.1964285671710968</v>
      </c>
      <c r="CO42" s="10">
        <v>-7.4380166828632355E-2</v>
      </c>
      <c r="CP42" s="10">
        <v>0.17475728690624237</v>
      </c>
      <c r="CQ42" s="10">
        <v>0.29990261793136597</v>
      </c>
      <c r="CR42">
        <v>37.348115166151892</v>
      </c>
      <c r="CS42">
        <v>3.4539133592093916</v>
      </c>
      <c r="CT42">
        <v>0.71154798761609905</v>
      </c>
      <c r="CU42" s="9">
        <v>0.10813275054097175</v>
      </c>
      <c r="CV42" s="10">
        <v>0.14322225749492645</v>
      </c>
      <c r="CW42">
        <v>0.06</v>
      </c>
      <c r="CX42">
        <v>20.767190130212771</v>
      </c>
      <c r="CY42">
        <v>156811238.28409979</v>
      </c>
      <c r="CZ42">
        <v>0.10813275054097175</v>
      </c>
      <c r="DA42">
        <v>6.6833282759722463</v>
      </c>
      <c r="DB42">
        <v>487261535.79913169</v>
      </c>
      <c r="DC42">
        <v>0.10272611301392316</v>
      </c>
      <c r="DD42">
        <v>3.222862608342099</v>
      </c>
      <c r="DE42">
        <v>1010446052.3916717</v>
      </c>
      <c r="DF42">
        <v>9.5156820476055143E-2</v>
      </c>
      <c r="DG42">
        <v>1.8904993302006516</v>
      </c>
      <c r="DH42">
        <v>1722576013.6367583</v>
      </c>
      <c r="DI42">
        <v>8.6506200432777403E-2</v>
      </c>
      <c r="DJ42">
        <v>0.92695727779240567</v>
      </c>
      <c r="DK42">
        <v>3513137960.0962663</v>
      </c>
      <c r="DL42">
        <v>7.569292537868022E-2</v>
      </c>
      <c r="DM42">
        <v>150000000</v>
      </c>
      <c r="DN42">
        <v>0.10813275054097175</v>
      </c>
      <c r="DO42">
        <v>3256528800</v>
      </c>
      <c r="DP42">
        <v>741979200</v>
      </c>
      <c r="DQ42">
        <v>1847</v>
      </c>
      <c r="DR42">
        <v>2.5945461749530871E-2</v>
      </c>
      <c r="DS42">
        <v>-5.5930433903483248E-2</v>
      </c>
      <c r="DT42" s="11">
        <v>-0.3066666666666667</v>
      </c>
      <c r="DU42">
        <v>-9.1666666666666743E-2</v>
      </c>
      <c r="DV42">
        <v>-0.39833333333333343</v>
      </c>
      <c r="DW42">
        <v>5.7045707915273134</v>
      </c>
      <c r="DX42">
        <v>0.74069007092198913</v>
      </c>
      <c r="DY42">
        <v>5.1061718225448107</v>
      </c>
      <c r="DZ42">
        <v>2746</v>
      </c>
      <c r="EA42">
        <v>5.0490951144970326</v>
      </c>
      <c r="EB42">
        <v>5</v>
      </c>
      <c r="EC42">
        <v>7.8837822162536153E-2</v>
      </c>
      <c r="ED42">
        <v>0.52317861210213057</v>
      </c>
      <c r="EE42" s="12">
        <v>6.5100000000000002E-3</v>
      </c>
      <c r="EF42">
        <v>6.2300000000000001E-2</v>
      </c>
      <c r="EG42">
        <v>59.150690070921989</v>
      </c>
      <c r="EH42" t="s">
        <v>1099</v>
      </c>
      <c r="EI42">
        <v>1</v>
      </c>
      <c r="EJ42">
        <v>0</v>
      </c>
      <c r="EK42" s="14">
        <v>45504</v>
      </c>
      <c r="EL42" s="15">
        <v>-1.33</v>
      </c>
      <c r="EM42" s="15">
        <v>0</v>
      </c>
      <c r="EN42" s="15">
        <v>1.42</v>
      </c>
      <c r="EO42" s="15">
        <v>0.8</v>
      </c>
      <c r="EP42" s="15">
        <v>6.88</v>
      </c>
    </row>
    <row r="43" spans="1:146" ht="96" hidden="1" x14ac:dyDescent="0.25">
      <c r="A43" s="7"/>
      <c r="B43" s="7"/>
      <c r="C43" s="7" t="str">
        <f>""&amp;CHAR(10)&amp;Basic_Fundamental_Information_Constructure(F43)&amp;CHAR(10)&amp;Basic_Fundamental_Information_Concatenate("")</f>
        <v xml:space="preserve">
市值46.642348亿, 利润-6.73亿; PE; 平均PE656.42; 平均PEG55.32, PB1.31; ROIC11.32%; ROE2.3667%; 股利率0%; 毛利70.45%; 净利-32.3567%; 上一年度营收增-29.58%, 利润增-1609.58%; 当季营收增102.01%, 利润增17.66%; 过往5年营收增11.87%, 利润增-327.04%
Income profile:
</v>
      </c>
      <c r="D43" t="s">
        <v>90</v>
      </c>
      <c r="E43" t="s">
        <v>15</v>
      </c>
      <c r="F43">
        <v>8.36</v>
      </c>
      <c r="G43">
        <v>4.1100000000000003</v>
      </c>
      <c r="H43" t="s">
        <v>3948</v>
      </c>
      <c r="I43">
        <v>4664234800</v>
      </c>
      <c r="K43">
        <v>1.31</v>
      </c>
      <c r="L43" t="s">
        <v>1277</v>
      </c>
      <c r="M43" t="s">
        <v>485</v>
      </c>
      <c r="N43" t="s">
        <v>1866</v>
      </c>
      <c r="O43" t="s">
        <v>2436</v>
      </c>
      <c r="P43">
        <v>102.01</v>
      </c>
      <c r="Q43" t="s">
        <v>741</v>
      </c>
      <c r="R43">
        <v>-72937986</v>
      </c>
      <c r="S43" s="5">
        <v>0.17660000000000001</v>
      </c>
      <c r="T43" t="s">
        <v>2450</v>
      </c>
      <c r="U43">
        <v>526637560</v>
      </c>
      <c r="V43">
        <v>557922830</v>
      </c>
      <c r="W43">
        <v>1.1599999999999999</v>
      </c>
      <c r="X43">
        <v>0.02</v>
      </c>
      <c r="Y43">
        <v>-96.35</v>
      </c>
      <c r="Z43" t="s">
        <v>561</v>
      </c>
      <c r="AA43" t="s">
        <v>2437</v>
      </c>
      <c r="AB43" t="s">
        <v>2438</v>
      </c>
      <c r="AC43" t="s">
        <v>2439</v>
      </c>
      <c r="AD43" t="s">
        <v>63</v>
      </c>
      <c r="AE43">
        <v>-5405907</v>
      </c>
      <c r="AF43" t="s">
        <v>2440</v>
      </c>
      <c r="AG43">
        <v>7103.55</v>
      </c>
      <c r="AH43" t="s">
        <v>2441</v>
      </c>
      <c r="AI43" t="s">
        <v>2442</v>
      </c>
      <c r="AJ43" t="s">
        <v>2443</v>
      </c>
      <c r="AK43" t="s">
        <v>2444</v>
      </c>
      <c r="AL43" t="s">
        <v>2445</v>
      </c>
      <c r="AM43" t="s">
        <v>63</v>
      </c>
      <c r="AN43">
        <v>0</v>
      </c>
      <c r="AO43" t="s">
        <v>2446</v>
      </c>
      <c r="AP43" t="s">
        <v>63</v>
      </c>
      <c r="AQ43" t="s">
        <v>2447</v>
      </c>
      <c r="AR43" t="s">
        <v>63</v>
      </c>
      <c r="AS43" t="s">
        <v>1369</v>
      </c>
      <c r="AT43" t="s">
        <v>63</v>
      </c>
      <c r="AU43" t="s">
        <v>173</v>
      </c>
      <c r="AV43" t="s">
        <v>845</v>
      </c>
      <c r="AW43" t="s">
        <v>1496</v>
      </c>
      <c r="AX43" t="s">
        <v>2448</v>
      </c>
      <c r="AY43" t="s">
        <v>1172</v>
      </c>
      <c r="AZ43" t="s">
        <v>429</v>
      </c>
      <c r="BA43" t="s">
        <v>509</v>
      </c>
      <c r="BB43" t="s">
        <v>559</v>
      </c>
      <c r="BC43" t="s">
        <v>2449</v>
      </c>
      <c r="BD43" t="s">
        <v>216</v>
      </c>
      <c r="BE43" t="s">
        <v>535</v>
      </c>
      <c r="BF43" t="s">
        <v>408</v>
      </c>
      <c r="BG43" t="s">
        <v>182</v>
      </c>
      <c r="BH43" t="s">
        <v>741</v>
      </c>
      <c r="BI43" t="s">
        <v>3949</v>
      </c>
      <c r="BJ43" t="s">
        <v>2448</v>
      </c>
      <c r="BK43" t="s">
        <v>2450</v>
      </c>
      <c r="BL43" t="s">
        <v>3950</v>
      </c>
      <c r="BM43" t="s">
        <v>2449</v>
      </c>
      <c r="BN43" t="s">
        <v>63</v>
      </c>
      <c r="BO43" t="s">
        <v>63</v>
      </c>
      <c r="BP43">
        <v>11.32</v>
      </c>
      <c r="BQ43">
        <v>-6.92</v>
      </c>
      <c r="BR43">
        <v>2.57</v>
      </c>
      <c r="BS43">
        <v>11.45</v>
      </c>
      <c r="BT43" t="s">
        <v>1409</v>
      </c>
      <c r="BU43" t="s">
        <v>1848</v>
      </c>
      <c r="BV43">
        <v>68.33</v>
      </c>
      <c r="BW43">
        <v>66.06</v>
      </c>
      <c r="BX43">
        <v>76.959999999999994</v>
      </c>
      <c r="BY43">
        <v>-120.83</v>
      </c>
      <c r="BZ43">
        <v>-4.9800000000000004</v>
      </c>
      <c r="CA43">
        <v>28.74</v>
      </c>
      <c r="CB43">
        <v>6.63</v>
      </c>
      <c r="CC43">
        <v>-8.0299999999999994</v>
      </c>
      <c r="CD43" t="s">
        <v>3951</v>
      </c>
      <c r="CE43" t="s">
        <v>3952</v>
      </c>
      <c r="CF43" s="9">
        <v>1.0200516100797101</v>
      </c>
      <c r="CG43" s="10">
        <v>0.17662719395288562</v>
      </c>
      <c r="CH43" s="9">
        <v>-0.29582807421684265</v>
      </c>
      <c r="CI43" s="9">
        <v>-8.3429895341396332E-2</v>
      </c>
      <c r="CJ43" s="9">
        <v>0.34843748807907104</v>
      </c>
      <c r="CK43" s="9">
        <v>0.2800000011920929</v>
      </c>
      <c r="CL43" s="9">
        <v>0.34408602118492126</v>
      </c>
      <c r="CM43" s="10">
        <v>-16.095752716064453</v>
      </c>
      <c r="CN43" s="10">
        <v>-1.1587358713150024</v>
      </c>
      <c r="CO43" s="10">
        <v>1.6393441706895828E-2</v>
      </c>
      <c r="CP43" s="10">
        <v>0.73049646615982056</v>
      </c>
      <c r="CQ43" s="10">
        <v>0.15573769807815552</v>
      </c>
      <c r="CR43">
        <v>656.41828139843085</v>
      </c>
      <c r="CS43">
        <v>55.322468283343191</v>
      </c>
      <c r="CT43">
        <v>0</v>
      </c>
      <c r="CU43" s="9">
        <v>0.11865310817956924</v>
      </c>
      <c r="CV43" s="10">
        <v>-3.2703721962869166</v>
      </c>
      <c r="CW43">
        <v>0.06</v>
      </c>
      <c r="CX43" t="e">
        <v>#VALUE!</v>
      </c>
      <c r="CY43" t="s">
        <v>1282</v>
      </c>
      <c r="CZ43">
        <v>0.11865310817956924</v>
      </c>
      <c r="DA43" t="e">
        <v>#VALUE!</v>
      </c>
      <c r="DB43" t="s">
        <v>1283</v>
      </c>
      <c r="DC43">
        <v>0.11272045277059077</v>
      </c>
      <c r="DD43" t="e">
        <v>#VALUE!</v>
      </c>
      <c r="DE43" t="s">
        <v>1283</v>
      </c>
      <c r="DF43">
        <v>0.10441473519802093</v>
      </c>
      <c r="DG43" t="e">
        <v>#VALUE!</v>
      </c>
      <c r="DH43" t="s">
        <v>1283</v>
      </c>
      <c r="DI43">
        <v>9.4922486543655399E-2</v>
      </c>
      <c r="DJ43" t="e">
        <v>#VALUE!</v>
      </c>
      <c r="DK43" t="s">
        <v>1283</v>
      </c>
      <c r="DL43">
        <v>8.3057175725698471E-2</v>
      </c>
      <c r="DM43">
        <v>-673000000</v>
      </c>
      <c r="DN43">
        <v>0.11865310817956924</v>
      </c>
      <c r="DO43">
        <v>1425234800</v>
      </c>
      <c r="DP43">
        <v>2359026400</v>
      </c>
      <c r="DQ43">
        <v>1848</v>
      </c>
      <c r="DR43">
        <v>0.90139850190014092</v>
      </c>
      <c r="DS43">
        <v>3.4469993902398022</v>
      </c>
      <c r="DT43" s="11">
        <v>-0.25666666666666677</v>
      </c>
      <c r="DU43">
        <v>-2.0316666666666667</v>
      </c>
      <c r="DV43">
        <v>-2.2883333333333336</v>
      </c>
      <c r="DW43">
        <v>7.4522510231923604</v>
      </c>
      <c r="DX43">
        <v>0.47499563333333356</v>
      </c>
      <c r="DY43">
        <v>7.0746194439972712</v>
      </c>
      <c r="DZ43">
        <v>4552</v>
      </c>
      <c r="EA43">
        <v>7.0081222417506819</v>
      </c>
      <c r="EB43">
        <v>7</v>
      </c>
      <c r="EC43">
        <v>0.14195135194593131</v>
      </c>
      <c r="ED43">
        <v>0.86033403580204815</v>
      </c>
      <c r="EE43" s="12">
        <v>-3.0223100000000001</v>
      </c>
      <c r="EF43">
        <v>-3.0188000000000001</v>
      </c>
      <c r="EG43">
        <v>31.164995633333334</v>
      </c>
      <c r="EH43" t="s">
        <v>1470</v>
      </c>
      <c r="EI43">
        <v>1</v>
      </c>
      <c r="EJ43">
        <v>0</v>
      </c>
      <c r="EK43" s="14">
        <v>45504</v>
      </c>
      <c r="EL43" s="15">
        <v>-3.8</v>
      </c>
      <c r="EM43" s="15">
        <v>-0.64</v>
      </c>
      <c r="EN43" s="15">
        <v>0.51</v>
      </c>
      <c r="EO43" s="15">
        <v>1.02</v>
      </c>
      <c r="EP43" s="15">
        <v>4.1100000000000003</v>
      </c>
    </row>
    <row r="44" spans="1:146" ht="96" hidden="1" x14ac:dyDescent="0.25">
      <c r="A44" s="7"/>
      <c r="B44" s="7"/>
      <c r="C44" s="7" t="str">
        <f>""&amp;CHAR(10)&amp;Basic_Fundamental_Information_Constructure(F44)&amp;CHAR(10)&amp;Basic_Fundamental_Information_Concatenate("")</f>
        <v xml:space="preserve">
市值27.023303亿, 利润-4602.97万; PE; 平均PE1102.72; 平均PEG106.36, PB7.34; ROIC2.41%; ROE-7.5833%; 股利率0%; 毛利24.9633%; 净利-4.94%; 上一年度营收增13.99%, 利润增36.53%; 当季营收增10.4%, 利润增119.32%; 过往5年营收增10.37%, 利润增-131.91%
Income profile:
</v>
      </c>
      <c r="D44" t="s">
        <v>95</v>
      </c>
      <c r="E44" t="s">
        <v>20</v>
      </c>
      <c r="F44">
        <v>19.52</v>
      </c>
      <c r="G44">
        <v>8.26</v>
      </c>
      <c r="H44" t="s">
        <v>3953</v>
      </c>
      <c r="I44">
        <v>2702330300</v>
      </c>
      <c r="K44">
        <v>7.34</v>
      </c>
      <c r="L44" t="s">
        <v>1277</v>
      </c>
      <c r="M44" t="s">
        <v>1469</v>
      </c>
      <c r="N44" t="s">
        <v>370</v>
      </c>
      <c r="O44" t="s">
        <v>488</v>
      </c>
      <c r="P44">
        <v>10.029999999999999</v>
      </c>
      <c r="Q44" t="s">
        <v>2460</v>
      </c>
      <c r="R44">
        <v>2575048</v>
      </c>
      <c r="S44" s="5">
        <v>1.1930000000000001</v>
      </c>
      <c r="T44" t="s">
        <v>2461</v>
      </c>
      <c r="U44">
        <v>127379543</v>
      </c>
      <c r="V44">
        <v>138439050</v>
      </c>
      <c r="W44">
        <v>2.9</v>
      </c>
      <c r="X44">
        <v>0.14000000000000001</v>
      </c>
      <c r="Y44">
        <v>-0.13</v>
      </c>
      <c r="Z44" t="s">
        <v>447</v>
      </c>
      <c r="AA44" t="s">
        <v>2451</v>
      </c>
      <c r="AB44" t="s">
        <v>2452</v>
      </c>
      <c r="AC44" t="s">
        <v>2453</v>
      </c>
      <c r="AD44" t="s">
        <v>63</v>
      </c>
      <c r="AE44">
        <v>2050846</v>
      </c>
      <c r="AF44" t="s">
        <v>2454</v>
      </c>
      <c r="AG44" t="s">
        <v>63</v>
      </c>
      <c r="AH44" t="s">
        <v>2455</v>
      </c>
      <c r="AI44" t="s">
        <v>295</v>
      </c>
      <c r="AJ44" t="s">
        <v>2456</v>
      </c>
      <c r="AK44" t="s">
        <v>63</v>
      </c>
      <c r="AL44" t="s">
        <v>2457</v>
      </c>
      <c r="AM44" t="s">
        <v>63</v>
      </c>
      <c r="AN44">
        <v>0</v>
      </c>
      <c r="AO44" t="s">
        <v>218</v>
      </c>
      <c r="AP44" t="s">
        <v>63</v>
      </c>
      <c r="AQ44" t="s">
        <v>2458</v>
      </c>
      <c r="AR44" t="s">
        <v>63</v>
      </c>
      <c r="AS44" t="s">
        <v>1304</v>
      </c>
      <c r="AT44" t="s">
        <v>63</v>
      </c>
      <c r="AU44" t="s">
        <v>1730</v>
      </c>
      <c r="AV44" t="s">
        <v>2459</v>
      </c>
      <c r="AW44" t="s">
        <v>412</v>
      </c>
      <c r="AX44" t="s">
        <v>1372</v>
      </c>
      <c r="AY44" t="s">
        <v>1045</v>
      </c>
      <c r="AZ44" t="s">
        <v>605</v>
      </c>
      <c r="BA44" t="s">
        <v>511</v>
      </c>
      <c r="BB44" t="s">
        <v>226</v>
      </c>
      <c r="BC44" t="s">
        <v>1487</v>
      </c>
      <c r="BD44" t="s">
        <v>1173</v>
      </c>
      <c r="BE44" t="s">
        <v>864</v>
      </c>
      <c r="BF44" t="s">
        <v>512</v>
      </c>
      <c r="BG44" t="s">
        <v>865</v>
      </c>
      <c r="BH44" t="s">
        <v>2460</v>
      </c>
      <c r="BI44" t="s">
        <v>318</v>
      </c>
      <c r="BJ44" t="s">
        <v>1372</v>
      </c>
      <c r="BK44" t="s">
        <v>2461</v>
      </c>
      <c r="BL44" t="s">
        <v>3954</v>
      </c>
      <c r="BM44" t="s">
        <v>1487</v>
      </c>
      <c r="BN44" t="s">
        <v>63</v>
      </c>
      <c r="BO44" t="s">
        <v>63</v>
      </c>
      <c r="BP44">
        <v>2.41</v>
      </c>
      <c r="BQ44">
        <v>-8.7899999999999991</v>
      </c>
      <c r="BR44">
        <v>-16.46</v>
      </c>
      <c r="BS44">
        <v>2.5</v>
      </c>
      <c r="BT44" t="s">
        <v>1409</v>
      </c>
      <c r="BU44" t="s">
        <v>1848</v>
      </c>
      <c r="BV44">
        <v>20.72</v>
      </c>
      <c r="BW44">
        <v>20.309999999999999</v>
      </c>
      <c r="BX44">
        <v>33.86</v>
      </c>
      <c r="BY44">
        <v>-6.02</v>
      </c>
      <c r="BZ44">
        <v>-10.23</v>
      </c>
      <c r="CA44">
        <v>1.43</v>
      </c>
      <c r="CB44">
        <v>11.29</v>
      </c>
      <c r="CC44">
        <v>22.92</v>
      </c>
      <c r="CD44" t="s">
        <v>3955</v>
      </c>
      <c r="CE44" t="s">
        <v>842</v>
      </c>
      <c r="CF44" s="9">
        <v>0.104</v>
      </c>
      <c r="CG44" s="10">
        <v>1.1931624034205985</v>
      </c>
      <c r="CH44" s="9">
        <v>0.13992297649383545</v>
      </c>
      <c r="CI44" s="9">
        <v>3.1788080930709839E-2</v>
      </c>
      <c r="CJ44" s="9">
        <v>0.1422087699174881</v>
      </c>
      <c r="CK44" s="9">
        <v>2.1638330072164536E-2</v>
      </c>
      <c r="CL44" s="9">
        <v>0.18281535804271698</v>
      </c>
      <c r="CM44" s="10">
        <v>0.36525201797485352</v>
      </c>
      <c r="CN44" s="10">
        <v>-7.1858835220336914</v>
      </c>
      <c r="CO44" s="10">
        <v>-0.80852258205413818</v>
      </c>
      <c r="CP44" s="10">
        <v>0.96944665908813477</v>
      </c>
      <c r="CQ44" s="10">
        <v>6.3993781805038452E-2</v>
      </c>
      <c r="CR44">
        <v>1102.7219048396312</v>
      </c>
      <c r="CS44">
        <v>106.36364242756967</v>
      </c>
      <c r="CT44">
        <v>0</v>
      </c>
      <c r="CU44" s="9">
        <v>0.10367470309138298</v>
      </c>
      <c r="CV44" s="10">
        <v>-1.3191427290439606</v>
      </c>
      <c r="CW44">
        <v>0.06</v>
      </c>
      <c r="CX44" t="e">
        <v>#VALUE!</v>
      </c>
      <c r="CY44" t="s">
        <v>1283</v>
      </c>
      <c r="CZ44">
        <v>0.10367470309138298</v>
      </c>
      <c r="DA44" t="e">
        <v>#VALUE!</v>
      </c>
      <c r="DB44" t="s">
        <v>1283</v>
      </c>
      <c r="DC44">
        <v>9.849096793681382E-2</v>
      </c>
      <c r="DD44" t="e">
        <v>#VALUE!</v>
      </c>
      <c r="DE44" t="s">
        <v>1283</v>
      </c>
      <c r="DF44">
        <v>9.1233738720417026E-2</v>
      </c>
      <c r="DG44" t="e">
        <v>#VALUE!</v>
      </c>
      <c r="DH44" t="s">
        <v>1283</v>
      </c>
      <c r="DI44">
        <v>8.2939762473106388E-2</v>
      </c>
      <c r="DJ44" t="e">
        <v>#VALUE!</v>
      </c>
      <c r="DK44" t="s">
        <v>1283</v>
      </c>
      <c r="DL44">
        <v>7.2572292163968086E-2</v>
      </c>
      <c r="DM44">
        <v>-46029700</v>
      </c>
      <c r="DN44">
        <v>0.10367470309138298</v>
      </c>
      <c r="DO44">
        <v>2789330300</v>
      </c>
      <c r="DP44">
        <v>278338320</v>
      </c>
      <c r="DQ44">
        <v>1849</v>
      </c>
      <c r="DR44">
        <v>3.2529690861701765E-4</v>
      </c>
      <c r="DS44">
        <v>2.5123051324645589</v>
      </c>
      <c r="DT44" s="11">
        <v>-0.34</v>
      </c>
      <c r="DU44">
        <v>-0.55999999999999994</v>
      </c>
      <c r="DV44">
        <v>-0.89999999999999991</v>
      </c>
      <c r="DW44">
        <v>9.4925828970331594</v>
      </c>
      <c r="DX44">
        <v>0.77390801687764021</v>
      </c>
      <c r="DY44">
        <v>9.1546257203555204</v>
      </c>
      <c r="DZ44">
        <v>3513</v>
      </c>
      <c r="EA44">
        <v>9.0482826985056874</v>
      </c>
      <c r="EB44">
        <v>9</v>
      </c>
      <c r="EC44">
        <v>0.53739317049633029</v>
      </c>
      <c r="ED44">
        <v>1.711944715020798</v>
      </c>
      <c r="EE44" s="12">
        <v>-5.0461999999999998</v>
      </c>
      <c r="EF44">
        <v>-5.1288</v>
      </c>
      <c r="EG44">
        <v>46.31390801687764</v>
      </c>
      <c r="EH44" t="s">
        <v>1802</v>
      </c>
      <c r="EI44">
        <v>1</v>
      </c>
      <c r="EJ44">
        <v>0</v>
      </c>
      <c r="EK44" s="14">
        <v>45504</v>
      </c>
      <c r="EL44" s="15">
        <v>-3.78</v>
      </c>
      <c r="EM44" s="15">
        <v>-0.74</v>
      </c>
      <c r="EN44" s="15">
        <v>0.46</v>
      </c>
      <c r="EO44" s="15">
        <v>0.4</v>
      </c>
      <c r="EP44" s="15">
        <v>8.26</v>
      </c>
    </row>
    <row r="45" spans="1:146" ht="108" hidden="1" x14ac:dyDescent="0.25">
      <c r="A45" s="7"/>
      <c r="B45" s="7"/>
      <c r="C45" s="7" t="str">
        <f>""&amp;CHAR(10)&amp;Basic_Fundamental_Information_Constructure(F45)&amp;CHAR(10)&amp;Basic_Fundamental_Information_Concatenate("")</f>
        <v xml:space="preserve">
市值53.444802亿, 利润3668.85万; PE138.2; 平均PE23.73; 平均PEG4.3, PB1.16; ROIC3.73%; ROE4.1067%; 股利率.2899%; 毛利50.1967%; 净利9.1133%; 上一年度营收增5.83%, 利润增-13.93%; 当季营收增7.76%, 利润增19.03%; 过往5年营收增5.52%, 利润增-5.21%
Income profile:
</v>
      </c>
      <c r="D45" t="s">
        <v>136</v>
      </c>
      <c r="E45" t="s">
        <v>35</v>
      </c>
      <c r="F45">
        <v>3.45</v>
      </c>
      <c r="G45">
        <v>4.55</v>
      </c>
      <c r="H45" t="s">
        <v>3956</v>
      </c>
      <c r="I45">
        <v>5344480200</v>
      </c>
      <c r="J45">
        <v>138.19999999999999</v>
      </c>
      <c r="K45">
        <v>1.1599999999999999</v>
      </c>
      <c r="L45" t="s">
        <v>1277</v>
      </c>
      <c r="M45" t="s">
        <v>1367</v>
      </c>
      <c r="N45" t="s">
        <v>2462</v>
      </c>
      <c r="O45" t="s">
        <v>568</v>
      </c>
      <c r="P45">
        <v>7.76</v>
      </c>
      <c r="Q45" t="s">
        <v>1368</v>
      </c>
      <c r="R45">
        <v>12359663</v>
      </c>
      <c r="S45" s="5">
        <v>0.1903</v>
      </c>
      <c r="T45" t="s">
        <v>2478</v>
      </c>
      <c r="U45">
        <v>1341649310</v>
      </c>
      <c r="V45">
        <v>1549124700</v>
      </c>
      <c r="W45">
        <v>1.21</v>
      </c>
      <c r="X45">
        <v>7.0000000000000007E-2</v>
      </c>
      <c r="Y45">
        <v>3.8</v>
      </c>
      <c r="Z45" t="s">
        <v>590</v>
      </c>
      <c r="AA45" t="s">
        <v>304</v>
      </c>
      <c r="AB45" t="s">
        <v>2463</v>
      </c>
      <c r="AC45" t="s">
        <v>2464</v>
      </c>
      <c r="AD45" t="s">
        <v>63</v>
      </c>
      <c r="AE45">
        <v>-10848488</v>
      </c>
      <c r="AF45" t="s">
        <v>2465</v>
      </c>
      <c r="AG45" t="s">
        <v>2466</v>
      </c>
      <c r="AH45" t="s">
        <v>2467</v>
      </c>
      <c r="AI45" t="s">
        <v>377</v>
      </c>
      <c r="AJ45" t="s">
        <v>2468</v>
      </c>
      <c r="AK45" t="s">
        <v>2469</v>
      </c>
      <c r="AL45" t="s">
        <v>2470</v>
      </c>
      <c r="AM45" t="s">
        <v>63</v>
      </c>
      <c r="AN45" t="s">
        <v>332</v>
      </c>
      <c r="AO45" t="s">
        <v>2471</v>
      </c>
      <c r="AP45" t="s">
        <v>2472</v>
      </c>
      <c r="AQ45" t="s">
        <v>869</v>
      </c>
      <c r="AR45" t="s">
        <v>2473</v>
      </c>
      <c r="AS45" t="s">
        <v>850</v>
      </c>
      <c r="AT45" t="s">
        <v>63</v>
      </c>
      <c r="AU45" t="s">
        <v>2474</v>
      </c>
      <c r="AV45" t="s">
        <v>2475</v>
      </c>
      <c r="AW45" t="s">
        <v>2476</v>
      </c>
      <c r="AX45" t="s">
        <v>1080</v>
      </c>
      <c r="AY45" t="s">
        <v>1175</v>
      </c>
      <c r="AZ45" t="s">
        <v>867</v>
      </c>
      <c r="BA45" t="s">
        <v>522</v>
      </c>
      <c r="BB45" t="s">
        <v>868</v>
      </c>
      <c r="BC45" t="s">
        <v>2477</v>
      </c>
      <c r="BD45" t="s">
        <v>544</v>
      </c>
      <c r="BE45" t="s">
        <v>459</v>
      </c>
      <c r="BF45" t="s">
        <v>434</v>
      </c>
      <c r="BG45" t="s">
        <v>378</v>
      </c>
      <c r="BH45" t="s">
        <v>1368</v>
      </c>
      <c r="BI45" t="s">
        <v>67</v>
      </c>
      <c r="BJ45" t="s">
        <v>1080</v>
      </c>
      <c r="BK45" t="s">
        <v>2478</v>
      </c>
      <c r="BL45" t="s">
        <v>3957</v>
      </c>
      <c r="BM45" t="s">
        <v>2477</v>
      </c>
      <c r="BN45">
        <v>1.77</v>
      </c>
      <c r="BO45">
        <v>0.56999999999999995</v>
      </c>
      <c r="BP45">
        <v>8.85</v>
      </c>
      <c r="BQ45">
        <v>1.96</v>
      </c>
      <c r="BR45">
        <v>0.92</v>
      </c>
      <c r="BS45">
        <v>9.44</v>
      </c>
      <c r="BT45" t="s">
        <v>1415</v>
      </c>
      <c r="BU45" t="s">
        <v>1848</v>
      </c>
      <c r="BV45">
        <v>46.98</v>
      </c>
      <c r="BW45">
        <v>49.39</v>
      </c>
      <c r="BX45">
        <v>54.22</v>
      </c>
      <c r="BY45">
        <v>2.83</v>
      </c>
      <c r="BZ45">
        <v>2.7</v>
      </c>
      <c r="CA45">
        <v>21.81</v>
      </c>
      <c r="CB45">
        <v>0.88</v>
      </c>
      <c r="CC45">
        <v>-10.62</v>
      </c>
      <c r="CD45" t="s">
        <v>595</v>
      </c>
      <c r="CE45" t="s">
        <v>3958</v>
      </c>
      <c r="CF45" s="9">
        <v>7.7586206896551727E-2</v>
      </c>
      <c r="CG45" s="10">
        <v>0.19034054683963672</v>
      </c>
      <c r="CH45" s="9">
        <v>5.8284174650907516E-2</v>
      </c>
      <c r="CI45" s="9">
        <v>-0.19589251279830933</v>
      </c>
      <c r="CJ45" s="9">
        <v>0.16289038956165314</v>
      </c>
      <c r="CK45" s="9">
        <v>0.10337833315134048</v>
      </c>
      <c r="CL45" s="9">
        <v>0.14728681743144989</v>
      </c>
      <c r="CM45" s="10">
        <v>-0.13931916654109955</v>
      </c>
      <c r="CN45" s="10">
        <v>-0.89678621292114258</v>
      </c>
      <c r="CO45" s="10">
        <v>0.24397590756416321</v>
      </c>
      <c r="CP45" s="10">
        <v>5.7324841618537903E-2</v>
      </c>
      <c r="CQ45" s="10">
        <v>0.47417840361595154</v>
      </c>
      <c r="CR45">
        <v>23.730116379901723</v>
      </c>
      <c r="CS45">
        <v>4.2997566578254567</v>
      </c>
      <c r="CT45">
        <v>0.28985507246376813</v>
      </c>
      <c r="CU45" s="9">
        <v>5.5189440399408339E-2</v>
      </c>
      <c r="CV45" s="10">
        <v>-5.2125245332717896E-2</v>
      </c>
      <c r="CW45">
        <v>0.06</v>
      </c>
      <c r="CX45">
        <v>48.860421174678777</v>
      </c>
      <c r="CY45">
        <v>36521997.909522355</v>
      </c>
      <c r="CZ45">
        <v>5.5189440399408339E-2</v>
      </c>
      <c r="DA45">
        <v>16.446686128700836</v>
      </c>
      <c r="DB45">
        <v>108500897.14340286</v>
      </c>
      <c r="DC45">
        <v>5.2429968379437919E-2</v>
      </c>
      <c r="DD45">
        <v>8.4186091245610015</v>
      </c>
      <c r="DE45">
        <v>211968529.90761155</v>
      </c>
      <c r="DF45">
        <v>4.8566707551479342E-2</v>
      </c>
      <c r="DG45">
        <v>5.279078398056896</v>
      </c>
      <c r="DH45">
        <v>338028736.35231954</v>
      </c>
      <c r="DI45">
        <v>4.4151552319526673E-2</v>
      </c>
      <c r="DJ45">
        <v>2.9910446509484752</v>
      </c>
      <c r="DK45">
        <v>596607676.66378117</v>
      </c>
      <c r="DL45">
        <v>3.8632608279585832E-2</v>
      </c>
      <c r="DM45">
        <v>36688500</v>
      </c>
      <c r="DN45">
        <v>5.5189440399408339E-2</v>
      </c>
      <c r="DO45">
        <v>1784480200</v>
      </c>
      <c r="DP45">
        <v>2062377800</v>
      </c>
      <c r="DQ45">
        <v>1918</v>
      </c>
      <c r="DR45">
        <v>2.2396766497143387E-2</v>
      </c>
      <c r="DS45">
        <v>0.24246579217235462</v>
      </c>
      <c r="DT45" s="11">
        <v>-0.45666666666666672</v>
      </c>
      <c r="DU45">
        <v>0.15333333333333332</v>
      </c>
      <c r="DV45">
        <v>-0.3033333333333334</v>
      </c>
      <c r="DW45">
        <v>-2.1061999999999999</v>
      </c>
      <c r="DX45">
        <v>0.50135592173099597</v>
      </c>
      <c r="DY45">
        <v>-2.0256319988878317</v>
      </c>
      <c r="DZ45">
        <v>2534</v>
      </c>
      <c r="EA45">
        <v>-2.0129163596588251</v>
      </c>
      <c r="EB45">
        <v>2</v>
      </c>
      <c r="EC45">
        <v>0.22980719370106228</v>
      </c>
      <c r="ED45">
        <v>0.95215059187940132</v>
      </c>
      <c r="EE45" s="12">
        <v>-3.09151</v>
      </c>
      <c r="EF45">
        <v>-3.0460099999999999</v>
      </c>
      <c r="EG45">
        <v>26.241355921730996</v>
      </c>
      <c r="EH45" t="s">
        <v>1433</v>
      </c>
      <c r="EI45">
        <v>0</v>
      </c>
      <c r="EJ45">
        <v>0</v>
      </c>
      <c r="EK45" s="14">
        <v>45504</v>
      </c>
      <c r="EL45" s="15">
        <v>-4.47</v>
      </c>
      <c r="EM45" s="15">
        <v>-4.3899999999999997</v>
      </c>
      <c r="EN45" s="15">
        <v>0</v>
      </c>
      <c r="EO45" s="15">
        <v>0.31</v>
      </c>
      <c r="EP45" s="15">
        <v>4.55</v>
      </c>
    </row>
    <row r="46" spans="1:146" ht="96" x14ac:dyDescent="0.25">
      <c r="A46" s="7"/>
      <c r="B46" s="7"/>
      <c r="C46" s="7" t="str">
        <f>""&amp;CHAR(10)&amp;Basic_Fundamental_Information_Constructure(F46)&amp;CHAR(10)&amp;Basic_Fundamental_Information_Concatenate("")</f>
        <v xml:space="preserve">
市值198.65129亿, 利润1.98亿; PE164.1; 平均PE42.03; 平均PEG2.14, PB2.53; ROIC.61%; ROE-.1233%; 股利率.1011%; 毛利64.8133%; 净利3.0733%; 上一年度营收增3.36%, 利润增2.06%; 当季营收增-14.67%, 利润增-18.63%; 过往5年营收增19.65%, 利润增-12.13%
Income profile:
</v>
      </c>
      <c r="D46" t="s">
        <v>106</v>
      </c>
      <c r="E46" t="s">
        <v>37</v>
      </c>
      <c r="F46">
        <v>49.44</v>
      </c>
      <c r="G46">
        <v>3.97</v>
      </c>
      <c r="H46" t="s">
        <v>3959</v>
      </c>
      <c r="I46">
        <v>19865129000</v>
      </c>
      <c r="J46">
        <v>164.1</v>
      </c>
      <c r="K46">
        <v>2.5299999999999998</v>
      </c>
      <c r="L46" t="s">
        <v>1277</v>
      </c>
      <c r="M46" t="s">
        <v>2479</v>
      </c>
      <c r="N46" t="s">
        <v>2480</v>
      </c>
      <c r="O46" t="s">
        <v>1712</v>
      </c>
      <c r="P46">
        <v>-14.66</v>
      </c>
      <c r="Q46" t="s">
        <v>2492</v>
      </c>
      <c r="R46">
        <v>-488764950</v>
      </c>
      <c r="S46" s="5">
        <v>-0.18640000000000001</v>
      </c>
      <c r="T46" t="s">
        <v>513</v>
      </c>
      <c r="U46">
        <v>251569030</v>
      </c>
      <c r="V46">
        <v>401802770</v>
      </c>
      <c r="W46">
        <v>1.74</v>
      </c>
      <c r="X46">
        <v>7.0000000000000007E-2</v>
      </c>
      <c r="Y46">
        <v>-47.24</v>
      </c>
      <c r="Z46" t="s">
        <v>2481</v>
      </c>
      <c r="AA46" t="s">
        <v>1313</v>
      </c>
      <c r="AB46" t="s">
        <v>797</v>
      </c>
      <c r="AC46" t="s">
        <v>2482</v>
      </c>
      <c r="AD46" t="s">
        <v>63</v>
      </c>
      <c r="AE46">
        <v>-51932735</v>
      </c>
      <c r="AF46" t="s">
        <v>2483</v>
      </c>
      <c r="AG46" t="s">
        <v>2484</v>
      </c>
      <c r="AH46" t="s">
        <v>2485</v>
      </c>
      <c r="AI46" t="s">
        <v>2486</v>
      </c>
      <c r="AJ46" t="s">
        <v>2487</v>
      </c>
      <c r="AK46" t="s">
        <v>2488</v>
      </c>
      <c r="AL46" t="s">
        <v>2489</v>
      </c>
      <c r="AM46" t="s">
        <v>63</v>
      </c>
      <c r="AN46" t="s">
        <v>411</v>
      </c>
      <c r="AO46" t="s">
        <v>1687</v>
      </c>
      <c r="AP46" t="s">
        <v>195</v>
      </c>
      <c r="AQ46" t="s">
        <v>300</v>
      </c>
      <c r="AR46" t="s">
        <v>63</v>
      </c>
      <c r="AS46" t="s">
        <v>2490</v>
      </c>
      <c r="AT46" t="s">
        <v>63</v>
      </c>
      <c r="AU46" t="s">
        <v>2491</v>
      </c>
      <c r="AV46" t="s">
        <v>755</v>
      </c>
      <c r="AW46" t="s">
        <v>253</v>
      </c>
      <c r="AX46" t="s">
        <v>1490</v>
      </c>
      <c r="AY46" t="s">
        <v>1176</v>
      </c>
      <c r="AZ46" t="s">
        <v>870</v>
      </c>
      <c r="BA46" t="s">
        <v>525</v>
      </c>
      <c r="BB46" t="s">
        <v>857</v>
      </c>
      <c r="BC46" t="s">
        <v>470</v>
      </c>
      <c r="BD46" t="s">
        <v>834</v>
      </c>
      <c r="BE46" t="s">
        <v>438</v>
      </c>
      <c r="BF46" t="s">
        <v>225</v>
      </c>
      <c r="BG46" t="s">
        <v>574</v>
      </c>
      <c r="BH46" t="s">
        <v>2492</v>
      </c>
      <c r="BI46" t="s">
        <v>944</v>
      </c>
      <c r="BJ46" t="s">
        <v>1490</v>
      </c>
      <c r="BK46" t="s">
        <v>513</v>
      </c>
      <c r="BL46" t="s">
        <v>3960</v>
      </c>
      <c r="BM46" t="s">
        <v>470</v>
      </c>
      <c r="BN46" t="s">
        <v>63</v>
      </c>
      <c r="BO46">
        <v>0.28000000000000003</v>
      </c>
      <c r="BP46">
        <v>0.94</v>
      </c>
      <c r="BQ46">
        <v>-6.99</v>
      </c>
      <c r="BR46">
        <v>2.6</v>
      </c>
      <c r="BS46">
        <v>4.0199999999999996</v>
      </c>
      <c r="BT46" t="s">
        <v>2493</v>
      </c>
      <c r="BU46" t="s">
        <v>1830</v>
      </c>
      <c r="BV46">
        <v>65.13</v>
      </c>
      <c r="BW46">
        <v>63.82</v>
      </c>
      <c r="BX46">
        <v>65.489999999999995</v>
      </c>
      <c r="BY46">
        <v>2.59</v>
      </c>
      <c r="BZ46">
        <v>2.62</v>
      </c>
      <c r="CA46">
        <v>4.01</v>
      </c>
      <c r="CB46">
        <v>2.25</v>
      </c>
      <c r="CC46">
        <v>-4.76</v>
      </c>
      <c r="CD46" t="s">
        <v>3961</v>
      </c>
      <c r="CE46" t="s">
        <v>3962</v>
      </c>
      <c r="CF46" s="9">
        <v>-0.14674361088211046</v>
      </c>
      <c r="CG46" s="10">
        <v>-0.18632269417475728</v>
      </c>
      <c r="CH46" s="9">
        <v>3.3589631319046021E-2</v>
      </c>
      <c r="CI46" s="9">
        <v>8.9346066117286682E-2</v>
      </c>
      <c r="CJ46" s="9">
        <v>0.24679376184940338</v>
      </c>
      <c r="CK46" s="9">
        <v>0.18910668790340424</v>
      </c>
      <c r="CL46" s="9">
        <v>0.42369732260704041</v>
      </c>
      <c r="CM46" s="10">
        <v>2.0618556067347527E-2</v>
      </c>
      <c r="CN46" s="10">
        <v>-0.28937730193138123</v>
      </c>
      <c r="CO46" s="10">
        <v>-0.66254633665084839</v>
      </c>
      <c r="CP46" s="10">
        <v>6.5876156091690063E-2</v>
      </c>
      <c r="CQ46" s="10">
        <v>0.2587064802646637</v>
      </c>
      <c r="CR46">
        <v>42.027776445698166</v>
      </c>
      <c r="CS46">
        <v>2.1387452813397041</v>
      </c>
      <c r="CT46">
        <v>0.1011326860841424</v>
      </c>
      <c r="CU46" s="9">
        <v>0.19650669395923615</v>
      </c>
      <c r="CV46" s="10">
        <v>-0.12134448923170567</v>
      </c>
      <c r="CW46">
        <v>0.06</v>
      </c>
      <c r="CX46">
        <v>79.602929562927301</v>
      </c>
      <c r="CY46">
        <v>223498420.19238561</v>
      </c>
      <c r="CZ46">
        <v>0.19650669395923615</v>
      </c>
      <c r="DA46">
        <v>23.796744502919708</v>
      </c>
      <c r="DB46">
        <v>747628693.40455973</v>
      </c>
      <c r="DC46">
        <v>0.18668135926127433</v>
      </c>
      <c r="DD46">
        <v>10.352385611286332</v>
      </c>
      <c r="DE46">
        <v>1718553545.8226976</v>
      </c>
      <c r="DF46">
        <v>0.17292589068412781</v>
      </c>
      <c r="DG46">
        <v>5.3735405232438085</v>
      </c>
      <c r="DH46">
        <v>3310876492.5178514</v>
      </c>
      <c r="DI46">
        <v>0.15720535516738893</v>
      </c>
      <c r="DJ46">
        <v>1.9728422843833489</v>
      </c>
      <c r="DK46">
        <v>9018018896.3057289</v>
      </c>
      <c r="DL46">
        <v>0.13755468577146529</v>
      </c>
      <c r="DM46">
        <v>198000000</v>
      </c>
      <c r="DN46">
        <v>0.19650669395923615</v>
      </c>
      <c r="DO46">
        <v>17791129000</v>
      </c>
      <c r="DP46">
        <v>1720186000</v>
      </c>
      <c r="DQ46">
        <v>1921</v>
      </c>
      <c r="DR46">
        <v>-0.34325030484134661</v>
      </c>
      <c r="DS46">
        <v>-6.4978204943051607E-2</v>
      </c>
      <c r="DT46" s="11">
        <v>-9.000000000000008E-2</v>
      </c>
      <c r="DU46">
        <v>-0.77500000000000002</v>
      </c>
      <c r="DV46">
        <v>-0.8650000000000001</v>
      </c>
      <c r="DW46">
        <v>-1.0476000000000001</v>
      </c>
      <c r="DX46">
        <v>0.61748564587869792</v>
      </c>
      <c r="DY46">
        <v>-1.0065443167438262</v>
      </c>
      <c r="DZ46">
        <v>3485</v>
      </c>
      <c r="EA46">
        <v>-1.0020793708056441</v>
      </c>
      <c r="EB46">
        <v>1</v>
      </c>
      <c r="EC46">
        <v>2.7489855283974275E-2</v>
      </c>
      <c r="ED46">
        <v>0.19994710340100444</v>
      </c>
      <c r="EE46" s="12">
        <v>1.0762100000000001</v>
      </c>
      <c r="EF46">
        <v>1.03651</v>
      </c>
      <c r="EG46">
        <v>48.137485645878698</v>
      </c>
      <c r="EH46" t="s">
        <v>1287</v>
      </c>
      <c r="EI46">
        <v>0</v>
      </c>
      <c r="EJ46">
        <v>0</v>
      </c>
      <c r="EK46" s="14">
        <v>45504</v>
      </c>
      <c r="EL46" s="15">
        <v>-0.41</v>
      </c>
      <c r="EM46" s="15">
        <v>0.31</v>
      </c>
      <c r="EN46" s="15">
        <v>0</v>
      </c>
      <c r="EO46" s="15">
        <v>-1.01</v>
      </c>
      <c r="EP46" s="15">
        <v>3.97</v>
      </c>
    </row>
    <row r="47" spans="1:146" ht="96" hidden="1" x14ac:dyDescent="0.25">
      <c r="A47" s="7"/>
      <c r="B47" s="7"/>
      <c r="C47" s="7" t="str">
        <f>""&amp;CHAR(10)&amp;Basic_Fundamental_Information_Constructure(F47)&amp;CHAR(10)&amp;Basic_Fundamental_Information_Concatenate("")</f>
        <v xml:space="preserve">
市值32.390264亿, 利润2871.25万; PE160; 平均PE-54.85; 平均PEG-323.57, PB5; ROIC8.19%; ROE3.8533%; 股利率0%; 毛利18.1467%; 净利.8%; 上一年度营收增-2.57%, 利润增138.28%; 当季营收增-23.17%, 利润增-80.66%; 过往5年营收增-.17%, 利润增-95.37%
Income profile:
</v>
      </c>
      <c r="D47" t="s">
        <v>139</v>
      </c>
      <c r="E47" t="s">
        <v>25</v>
      </c>
      <c r="F47">
        <v>7.25</v>
      </c>
      <c r="G47">
        <v>4.62</v>
      </c>
      <c r="H47" t="s">
        <v>3963</v>
      </c>
      <c r="I47">
        <v>3239026400</v>
      </c>
      <c r="J47">
        <v>160</v>
      </c>
      <c r="K47">
        <v>5</v>
      </c>
      <c r="L47" t="s">
        <v>1277</v>
      </c>
      <c r="M47" t="s">
        <v>1776</v>
      </c>
      <c r="N47" t="s">
        <v>2494</v>
      </c>
      <c r="O47" t="s">
        <v>1300</v>
      </c>
      <c r="P47">
        <v>-23.22</v>
      </c>
      <c r="Q47" t="s">
        <v>2506</v>
      </c>
      <c r="R47">
        <v>2030372</v>
      </c>
      <c r="S47" s="5">
        <v>-0.80659999999999998</v>
      </c>
      <c r="T47" t="s">
        <v>2507</v>
      </c>
      <c r="U47">
        <v>446762260</v>
      </c>
      <c r="V47">
        <v>446762260</v>
      </c>
      <c r="W47">
        <v>1.98</v>
      </c>
      <c r="X47">
        <v>0.15</v>
      </c>
      <c r="Y47">
        <v>1.0900000000000001</v>
      </c>
      <c r="Z47" t="s">
        <v>513</v>
      </c>
      <c r="AA47" t="s">
        <v>269</v>
      </c>
      <c r="AB47" t="s">
        <v>2495</v>
      </c>
      <c r="AC47" t="s">
        <v>2496</v>
      </c>
      <c r="AD47" t="s">
        <v>63</v>
      </c>
      <c r="AE47">
        <v>3238691</v>
      </c>
      <c r="AF47" t="s">
        <v>2497</v>
      </c>
      <c r="AG47" t="s">
        <v>2498</v>
      </c>
      <c r="AH47" t="s">
        <v>2499</v>
      </c>
      <c r="AI47" t="s">
        <v>269</v>
      </c>
      <c r="AJ47" t="s">
        <v>2500</v>
      </c>
      <c r="AK47" t="s">
        <v>2501</v>
      </c>
      <c r="AL47" t="s">
        <v>2502</v>
      </c>
      <c r="AM47" t="s">
        <v>63</v>
      </c>
      <c r="AN47">
        <v>0</v>
      </c>
      <c r="AO47" t="s">
        <v>345</v>
      </c>
      <c r="AP47" t="s">
        <v>63</v>
      </c>
      <c r="AQ47" t="s">
        <v>2503</v>
      </c>
      <c r="AR47" t="s">
        <v>63</v>
      </c>
      <c r="AS47" t="s">
        <v>1740</v>
      </c>
      <c r="AT47" t="s">
        <v>63</v>
      </c>
      <c r="AU47" t="s">
        <v>1704</v>
      </c>
      <c r="AV47" t="s">
        <v>2504</v>
      </c>
      <c r="AW47" t="s">
        <v>2505</v>
      </c>
      <c r="AX47" t="s">
        <v>1491</v>
      </c>
      <c r="AY47" t="s">
        <v>750</v>
      </c>
      <c r="AZ47" t="s">
        <v>805</v>
      </c>
      <c r="BA47" t="s">
        <v>528</v>
      </c>
      <c r="BB47" t="s">
        <v>872</v>
      </c>
      <c r="BC47" t="s">
        <v>1492</v>
      </c>
      <c r="BD47" t="s">
        <v>463</v>
      </c>
      <c r="BE47" t="s">
        <v>871</v>
      </c>
      <c r="BF47" t="s">
        <v>230</v>
      </c>
      <c r="BG47" t="s">
        <v>415</v>
      </c>
      <c r="BH47" t="s">
        <v>2506</v>
      </c>
      <c r="BI47" t="s">
        <v>374</v>
      </c>
      <c r="BJ47" t="s">
        <v>1491</v>
      </c>
      <c r="BK47" t="s">
        <v>2507</v>
      </c>
      <c r="BL47" t="s">
        <v>3964</v>
      </c>
      <c r="BM47" t="s">
        <v>1492</v>
      </c>
      <c r="BN47">
        <v>3.2</v>
      </c>
      <c r="BO47" t="s">
        <v>63</v>
      </c>
      <c r="BP47">
        <v>13.18</v>
      </c>
      <c r="BQ47">
        <v>3.38</v>
      </c>
      <c r="BR47">
        <v>-11.44</v>
      </c>
      <c r="BS47">
        <v>19.62</v>
      </c>
      <c r="BT47" t="s">
        <v>1409</v>
      </c>
      <c r="BU47" t="s">
        <v>1848</v>
      </c>
      <c r="BV47">
        <v>18.510000000000002</v>
      </c>
      <c r="BW47">
        <v>18.940000000000001</v>
      </c>
      <c r="BX47">
        <v>16.989999999999998</v>
      </c>
      <c r="BY47">
        <v>2.0299999999999998</v>
      </c>
      <c r="BZ47">
        <v>-5.22</v>
      </c>
      <c r="CA47">
        <v>5.59</v>
      </c>
      <c r="CB47">
        <v>11.37</v>
      </c>
      <c r="CC47">
        <v>0</v>
      </c>
      <c r="CD47" t="s">
        <v>3965</v>
      </c>
      <c r="CE47" t="s">
        <v>3966</v>
      </c>
      <c r="CF47" s="9">
        <v>-0.23166023166023167</v>
      </c>
      <c r="CG47" s="10">
        <v>-0.80663492123959546</v>
      </c>
      <c r="CH47" s="9">
        <v>-2.567657083272934E-2</v>
      </c>
      <c r="CI47" s="9">
        <v>-0.36770516633987427</v>
      </c>
      <c r="CJ47" s="9">
        <v>0.20327353477478027</v>
      </c>
      <c r="CK47" s="9">
        <v>7.7360637485980988E-2</v>
      </c>
      <c r="CL47" s="9">
        <v>0.10427135974168777</v>
      </c>
      <c r="CM47" s="10">
        <v>1.3827924728393555</v>
      </c>
      <c r="CN47" s="10">
        <v>-1.6049032211303711</v>
      </c>
      <c r="CO47" s="10">
        <v>1.1847988367080688</v>
      </c>
      <c r="CP47" s="10">
        <v>-6.0074625015258789</v>
      </c>
      <c r="CQ47" s="10">
        <v>0.27619048953056335</v>
      </c>
      <c r="CR47">
        <v>-54.852964262882253</v>
      </c>
      <c r="CS47">
        <v>-323.57029567915686</v>
      </c>
      <c r="CT47">
        <v>0</v>
      </c>
      <c r="CU47" s="9">
        <v>-1.6952410340309143E-3</v>
      </c>
      <c r="CV47" s="10">
        <v>-0.95371678471565247</v>
      </c>
      <c r="CW47">
        <v>0.06</v>
      </c>
      <c r="CX47">
        <v>114.06273922507619</v>
      </c>
      <c r="CY47" t="s">
        <v>3967</v>
      </c>
      <c r="CZ47">
        <v>-1.6952410340309143E-3</v>
      </c>
      <c r="DA47">
        <v>38.020913075025398</v>
      </c>
      <c r="DB47" t="s">
        <v>3968</v>
      </c>
      <c r="DC47">
        <v>-1.6104789823293685E-3</v>
      </c>
      <c r="DD47">
        <v>19.010456537512699</v>
      </c>
      <c r="DE47" t="s">
        <v>3969</v>
      </c>
      <c r="DF47">
        <v>-1.4918121099472045E-3</v>
      </c>
      <c r="DG47">
        <v>11.406273922507619</v>
      </c>
      <c r="DH47" t="s">
        <v>3970</v>
      </c>
      <c r="DI47">
        <v>-1.3561928272247314E-3</v>
      </c>
      <c r="DJ47">
        <v>5.7031369612538096</v>
      </c>
      <c r="DK47" t="s">
        <v>3971</v>
      </c>
      <c r="DL47">
        <v>-1.1866687238216399E-3</v>
      </c>
      <c r="DM47">
        <v>28712500</v>
      </c>
      <c r="DN47">
        <v>-1.6952410340309143E-3</v>
      </c>
      <c r="DO47">
        <v>3275026400</v>
      </c>
      <c r="DP47">
        <v>524556940</v>
      </c>
      <c r="DQ47">
        <v>1932</v>
      </c>
      <c r="DR47">
        <v>-0.22996499062620077</v>
      </c>
      <c r="DS47">
        <v>0.14708186347605701</v>
      </c>
      <c r="DT47" s="11">
        <v>-0.45666666666666672</v>
      </c>
      <c r="DU47">
        <v>-1.1066666666666665</v>
      </c>
      <c r="DV47">
        <v>-1.5633333333333332</v>
      </c>
      <c r="DW47">
        <v>5</v>
      </c>
      <c r="DX47">
        <v>0.51388611111111404</v>
      </c>
      <c r="DY47">
        <v>5</v>
      </c>
      <c r="DZ47">
        <v>4062</v>
      </c>
      <c r="EA47">
        <v>5</v>
      </c>
      <c r="EB47">
        <v>5</v>
      </c>
      <c r="EC47">
        <v>0.11929991579861737</v>
      </c>
      <c r="ED47">
        <v>1.0475370054757982</v>
      </c>
      <c r="EE47" s="12">
        <v>-4.0312099999999997</v>
      </c>
      <c r="EF47">
        <v>-4.0149999999999997</v>
      </c>
      <c r="EG47">
        <v>40.113886111111114</v>
      </c>
      <c r="EH47" t="s">
        <v>1719</v>
      </c>
      <c r="EI47">
        <v>0</v>
      </c>
      <c r="EJ47">
        <v>0</v>
      </c>
      <c r="EK47" s="14">
        <v>45504</v>
      </c>
      <c r="EL47" s="15">
        <v>-2.84</v>
      </c>
      <c r="EM47" s="15">
        <v>2.92</v>
      </c>
      <c r="EN47" s="15">
        <v>1.19</v>
      </c>
      <c r="EO47" s="15">
        <v>2.5099999999999998</v>
      </c>
      <c r="EP47" s="15">
        <v>4.62</v>
      </c>
    </row>
    <row r="48" spans="1:146" ht="96" hidden="1" x14ac:dyDescent="0.25">
      <c r="A48" s="7"/>
      <c r="B48" s="7"/>
      <c r="C48" s="7" t="str">
        <f>""&amp;CHAR(10)&amp;Basic_Fundamental_Information_Constructure(F48)&amp;CHAR(10)&amp;Basic_Fundamental_Information_Concatenate("")</f>
        <v xml:space="preserve">
市值45.476643亿, 利润4737.94万; PE92.47; 平均PE69.09; 平均PEG8.2, PB2.8; ROIC3.8%; ROE4.11%; 股利率.7001%; 毛利35.37%; 净利7.7033%; 上一年度营收增9.94%, 利润增14.97%; 当季营收增4.38%, 利润增12.31%; 过往5年营收增8.43%, 利润增-3.28%
Income profile:
</v>
      </c>
      <c r="D48" t="s">
        <v>89</v>
      </c>
      <c r="E48" t="s">
        <v>52</v>
      </c>
      <c r="F48">
        <v>8.57</v>
      </c>
      <c r="G48">
        <v>3.75</v>
      </c>
      <c r="H48" t="s">
        <v>3972</v>
      </c>
      <c r="I48">
        <v>4547664300</v>
      </c>
      <c r="J48">
        <v>92.47</v>
      </c>
      <c r="K48">
        <v>2.8</v>
      </c>
      <c r="L48" t="s">
        <v>1277</v>
      </c>
      <c r="M48" t="s">
        <v>319</v>
      </c>
      <c r="N48" t="s">
        <v>2508</v>
      </c>
      <c r="O48" t="s">
        <v>453</v>
      </c>
      <c r="P48">
        <v>4.62</v>
      </c>
      <c r="Q48" t="s">
        <v>752</v>
      </c>
      <c r="R48">
        <v>16433008</v>
      </c>
      <c r="S48" s="5">
        <v>0.1231</v>
      </c>
      <c r="T48" t="s">
        <v>2519</v>
      </c>
      <c r="U48">
        <v>529086960</v>
      </c>
      <c r="V48">
        <v>530649280</v>
      </c>
      <c r="W48">
        <v>1.0900000000000001</v>
      </c>
      <c r="X48">
        <v>0.1</v>
      </c>
      <c r="Y48">
        <v>9.82</v>
      </c>
      <c r="Z48" t="s">
        <v>235</v>
      </c>
      <c r="AA48" t="s">
        <v>199</v>
      </c>
      <c r="AB48" t="s">
        <v>2509</v>
      </c>
      <c r="AC48" t="s">
        <v>2510</v>
      </c>
      <c r="AD48" t="s">
        <v>63</v>
      </c>
      <c r="AE48">
        <v>321958</v>
      </c>
      <c r="AF48" t="s">
        <v>175</v>
      </c>
      <c r="AG48" t="s">
        <v>2511</v>
      </c>
      <c r="AH48" t="s">
        <v>2512</v>
      </c>
      <c r="AI48" t="s">
        <v>1712</v>
      </c>
      <c r="AJ48" t="s">
        <v>2513</v>
      </c>
      <c r="AK48" t="s">
        <v>63</v>
      </c>
      <c r="AL48" t="s">
        <v>2514</v>
      </c>
      <c r="AM48" t="s">
        <v>63</v>
      </c>
      <c r="AN48" t="s">
        <v>1494</v>
      </c>
      <c r="AO48" t="s">
        <v>63</v>
      </c>
      <c r="AP48" t="s">
        <v>63</v>
      </c>
      <c r="AQ48" t="s">
        <v>2515</v>
      </c>
      <c r="AR48" t="s">
        <v>63</v>
      </c>
      <c r="AS48" t="s">
        <v>386</v>
      </c>
      <c r="AT48" t="s">
        <v>63</v>
      </c>
      <c r="AU48" t="s">
        <v>2516</v>
      </c>
      <c r="AV48" t="s">
        <v>2517</v>
      </c>
      <c r="AW48" t="s">
        <v>2518</v>
      </c>
      <c r="AX48" t="s">
        <v>700</v>
      </c>
      <c r="AY48" t="s">
        <v>940</v>
      </c>
      <c r="AZ48" t="s">
        <v>728</v>
      </c>
      <c r="BA48" t="s">
        <v>530</v>
      </c>
      <c r="BB48" t="s">
        <v>677</v>
      </c>
      <c r="BC48" t="s">
        <v>1493</v>
      </c>
      <c r="BD48" t="s">
        <v>1178</v>
      </c>
      <c r="BE48" t="s">
        <v>873</v>
      </c>
      <c r="BF48" t="s">
        <v>531</v>
      </c>
      <c r="BG48" t="s">
        <v>874</v>
      </c>
      <c r="BH48" t="s">
        <v>752</v>
      </c>
      <c r="BI48" t="s">
        <v>195</v>
      </c>
      <c r="BJ48" t="s">
        <v>700</v>
      </c>
      <c r="BK48" t="s">
        <v>2519</v>
      </c>
      <c r="BL48" t="s">
        <v>3973</v>
      </c>
      <c r="BM48" t="s">
        <v>1493</v>
      </c>
      <c r="BN48">
        <v>3.08</v>
      </c>
      <c r="BO48">
        <v>2.87</v>
      </c>
      <c r="BP48">
        <v>5.45</v>
      </c>
      <c r="BQ48">
        <v>3.88</v>
      </c>
      <c r="BR48">
        <v>2.77</v>
      </c>
      <c r="BS48">
        <v>5.68</v>
      </c>
      <c r="BT48" t="s">
        <v>1418</v>
      </c>
      <c r="BU48" t="s">
        <v>1848</v>
      </c>
      <c r="BV48">
        <v>30.24</v>
      </c>
      <c r="BW48">
        <v>32.979999999999997</v>
      </c>
      <c r="BX48">
        <v>42.89</v>
      </c>
      <c r="BY48">
        <v>6.49</v>
      </c>
      <c r="BZ48">
        <v>6.21</v>
      </c>
      <c r="CA48">
        <v>10.41</v>
      </c>
      <c r="CB48">
        <v>9.59</v>
      </c>
      <c r="CC48">
        <v>-2.94</v>
      </c>
      <c r="CD48" t="s">
        <v>3974</v>
      </c>
      <c r="CE48" t="s">
        <v>747</v>
      </c>
      <c r="CF48" s="9">
        <v>4.3749999999999997E-2</v>
      </c>
      <c r="CG48" s="10">
        <v>0.12313298795740653</v>
      </c>
      <c r="CH48" s="9">
        <v>9.939759224653244E-2</v>
      </c>
      <c r="CI48" s="9">
        <v>3.4267913550138474E-2</v>
      </c>
      <c r="CJ48" s="9">
        <v>0.11846689879894257</v>
      </c>
      <c r="CK48" s="9">
        <v>9.1254755854606628E-2</v>
      </c>
      <c r="CL48" s="9">
        <v>7.7868849039077759E-2</v>
      </c>
      <c r="CM48" s="10">
        <v>0.14973428845405579</v>
      </c>
      <c r="CN48" s="10">
        <v>-0.38270235061645508</v>
      </c>
      <c r="CO48" s="10">
        <v>-0.10459258407354355</v>
      </c>
      <c r="CP48" s="10">
        <v>-0.22531084716320038</v>
      </c>
      <c r="CQ48" s="10">
        <v>0.3987274169921875</v>
      </c>
      <c r="CR48">
        <v>69.088327317704938</v>
      </c>
      <c r="CS48">
        <v>8.2002779499173108</v>
      </c>
      <c r="CT48">
        <v>0.70011668611435229</v>
      </c>
      <c r="CU48" s="9">
        <v>8.4251201897859576E-2</v>
      </c>
      <c r="CV48" s="10">
        <v>-3.2828815281391144E-2</v>
      </c>
      <c r="CW48">
        <v>0.06</v>
      </c>
      <c r="CX48">
        <v>63.236715647554256</v>
      </c>
      <c r="CY48">
        <v>48463369.240754187</v>
      </c>
      <c r="CZ48">
        <v>8.4251201897859576E-2</v>
      </c>
      <c r="DA48">
        <v>20.766077375179748</v>
      </c>
      <c r="DB48">
        <v>147580317.87279096</v>
      </c>
      <c r="DC48">
        <v>8.003864180296659E-2</v>
      </c>
      <c r="DD48">
        <v>10.289322839872154</v>
      </c>
      <c r="DE48">
        <v>297848978.76117945</v>
      </c>
      <c r="DF48">
        <v>7.4141057670116431E-2</v>
      </c>
      <c r="DG48">
        <v>6.2242516902408545</v>
      </c>
      <c r="DH48">
        <v>492374738.76661456</v>
      </c>
      <c r="DI48">
        <v>6.7400961518287658E-2</v>
      </c>
      <c r="DJ48">
        <v>3.2671166718988629</v>
      </c>
      <c r="DK48">
        <v>938033320.43811071</v>
      </c>
      <c r="DL48">
        <v>5.8975841328501699E-2</v>
      </c>
      <c r="DM48">
        <v>47379399.999999993</v>
      </c>
      <c r="DN48">
        <v>8.4251201897859576E-2</v>
      </c>
      <c r="DO48">
        <v>3064664300</v>
      </c>
      <c r="DP48">
        <v>1201919890</v>
      </c>
      <c r="DQ48">
        <v>1935</v>
      </c>
      <c r="DR48">
        <v>-4.0501201897859579E-2</v>
      </c>
      <c r="DS48">
        <v>0.15596180323879766</v>
      </c>
      <c r="DT48" s="11">
        <v>-0.44</v>
      </c>
      <c r="DU48">
        <v>5.3333333333333344E-2</v>
      </c>
      <c r="DV48">
        <v>-0.38666666666666666</v>
      </c>
      <c r="DW48">
        <v>5.3065693430656937</v>
      </c>
      <c r="DX48">
        <v>0.47118837209302511</v>
      </c>
      <c r="DY48">
        <v>5.0340869461891016</v>
      </c>
      <c r="DZ48">
        <v>2714</v>
      </c>
      <c r="EA48">
        <v>5.0159757535584788</v>
      </c>
      <c r="EB48">
        <v>5</v>
      </c>
      <c r="EC48">
        <v>0.11712877477191715</v>
      </c>
      <c r="ED48">
        <v>1.0534264740734218</v>
      </c>
      <c r="EE48" s="12">
        <v>6.7000000000000004E-2</v>
      </c>
      <c r="EF48">
        <v>0.10450000000000001</v>
      </c>
      <c r="EG48">
        <v>36.111188372093025</v>
      </c>
      <c r="EH48" t="s">
        <v>1099</v>
      </c>
      <c r="EI48">
        <v>1</v>
      </c>
      <c r="EJ48">
        <v>0</v>
      </c>
      <c r="EK48" s="14">
        <v>45504</v>
      </c>
      <c r="EL48" s="15">
        <v>-3.46</v>
      </c>
      <c r="EM48" s="15">
        <v>1.79</v>
      </c>
      <c r="EN48" s="15">
        <v>0.75</v>
      </c>
      <c r="EO48" s="15">
        <v>2</v>
      </c>
      <c r="EP48" s="15">
        <v>3.75</v>
      </c>
    </row>
    <row r="49" spans="1:146" ht="96" hidden="1" x14ac:dyDescent="0.25">
      <c r="A49" s="7"/>
      <c r="B49" s="7"/>
      <c r="C49" s="7" t="str">
        <f>""&amp;CHAR(10)&amp;Basic_Fundamental_Information_Constructure(F49)&amp;CHAR(10)&amp;Basic_Fundamental_Information_Concatenate("")</f>
        <v xml:space="preserve">
市值32.643405亿, 利润-1.85亿; PE; 平均PE-32.94; 平均PEG-1.82, PB5.9; ROIC0%; ROE-64.11%; 股利率0%; 毛利23.18%; 净利-59.95%; 上一年度营收增-6.82%, 利润增-16.35%; 当季营收增-34.01%, 利润增-29.96%; 过往5年营收增-18.12%, 利润增-103.85%
Income profile:
</v>
      </c>
      <c r="D49" t="s">
        <v>98</v>
      </c>
      <c r="E49" t="s">
        <v>10</v>
      </c>
      <c r="F49">
        <v>13.15</v>
      </c>
      <c r="G49">
        <v>2.73</v>
      </c>
      <c r="H49" t="s">
        <v>3975</v>
      </c>
      <c r="I49">
        <v>3264340500</v>
      </c>
      <c r="K49">
        <v>5.9</v>
      </c>
      <c r="L49" t="s">
        <v>1277</v>
      </c>
      <c r="M49" t="s">
        <v>1740</v>
      </c>
      <c r="N49" t="s">
        <v>603</v>
      </c>
      <c r="O49" t="s">
        <v>2520</v>
      </c>
      <c r="P49">
        <v>-34.01</v>
      </c>
      <c r="Q49" t="s">
        <v>355</v>
      </c>
      <c r="R49">
        <v>-23685027</v>
      </c>
      <c r="S49" s="5">
        <v>-0.29959999999999998</v>
      </c>
      <c r="T49" t="s">
        <v>1753</v>
      </c>
      <c r="U49">
        <v>235448980</v>
      </c>
      <c r="V49">
        <v>248238820</v>
      </c>
      <c r="W49">
        <v>2.0299999999999998</v>
      </c>
      <c r="X49">
        <v>0.02</v>
      </c>
      <c r="Y49">
        <v>-147.07</v>
      </c>
      <c r="Z49" t="s">
        <v>2521</v>
      </c>
      <c r="AA49" t="s">
        <v>2522</v>
      </c>
      <c r="AB49" t="s">
        <v>2523</v>
      </c>
      <c r="AC49" t="s">
        <v>2524</v>
      </c>
      <c r="AD49" t="s">
        <v>63</v>
      </c>
      <c r="AE49">
        <v>1159381</v>
      </c>
      <c r="AF49" t="s">
        <v>2525</v>
      </c>
      <c r="AG49">
        <v>2701.92</v>
      </c>
      <c r="AH49" t="s">
        <v>2526</v>
      </c>
      <c r="AI49" t="s">
        <v>1242</v>
      </c>
      <c r="AJ49" t="s">
        <v>2527</v>
      </c>
      <c r="AK49" t="s">
        <v>63</v>
      </c>
      <c r="AL49" t="s">
        <v>2528</v>
      </c>
      <c r="AM49" t="s">
        <v>63</v>
      </c>
      <c r="AN49" t="s">
        <v>2529</v>
      </c>
      <c r="AO49" t="s">
        <v>349</v>
      </c>
      <c r="AP49" t="s">
        <v>63</v>
      </c>
      <c r="AQ49" t="s">
        <v>306</v>
      </c>
      <c r="AR49" t="s">
        <v>63</v>
      </c>
      <c r="AS49" t="s">
        <v>2530</v>
      </c>
      <c r="AT49" t="s">
        <v>2531</v>
      </c>
      <c r="AU49" t="s">
        <v>2532</v>
      </c>
      <c r="AV49" t="s">
        <v>2533</v>
      </c>
      <c r="AW49" t="s">
        <v>2534</v>
      </c>
      <c r="AX49" t="s">
        <v>275</v>
      </c>
      <c r="AY49" t="s">
        <v>442</v>
      </c>
      <c r="AZ49" t="s">
        <v>431</v>
      </c>
      <c r="BA49" t="s">
        <v>429</v>
      </c>
      <c r="BB49" t="s">
        <v>792</v>
      </c>
      <c r="BC49" t="s">
        <v>690</v>
      </c>
      <c r="BD49" t="s">
        <v>1179</v>
      </c>
      <c r="BE49" t="s">
        <v>875</v>
      </c>
      <c r="BF49" t="s">
        <v>533</v>
      </c>
      <c r="BG49" t="s">
        <v>878</v>
      </c>
      <c r="BH49" t="s">
        <v>355</v>
      </c>
      <c r="BI49" t="s">
        <v>3976</v>
      </c>
      <c r="BJ49" t="s">
        <v>275</v>
      </c>
      <c r="BK49" t="s">
        <v>1753</v>
      </c>
      <c r="BL49" t="s">
        <v>3977</v>
      </c>
      <c r="BM49" t="s">
        <v>690</v>
      </c>
      <c r="BN49" t="s">
        <v>63</v>
      </c>
      <c r="BO49" t="s">
        <v>63</v>
      </c>
      <c r="BP49" t="s">
        <v>63</v>
      </c>
      <c r="BQ49">
        <v>-15.41</v>
      </c>
      <c r="BR49">
        <v>-135.22</v>
      </c>
      <c r="BS49">
        <v>-41.7</v>
      </c>
      <c r="BT49" t="s">
        <v>1409</v>
      </c>
      <c r="BU49" t="s">
        <v>1848</v>
      </c>
      <c r="BV49">
        <v>19.55</v>
      </c>
      <c r="BW49">
        <v>25.32</v>
      </c>
      <c r="BX49">
        <v>24.67</v>
      </c>
      <c r="BY49">
        <v>-93.21</v>
      </c>
      <c r="BZ49">
        <v>-68.930000000000007</v>
      </c>
      <c r="CA49">
        <v>-17.71</v>
      </c>
      <c r="CB49">
        <v>4.2</v>
      </c>
      <c r="CC49">
        <v>4.37</v>
      </c>
      <c r="CD49" t="s">
        <v>430</v>
      </c>
      <c r="CE49" t="s">
        <v>3978</v>
      </c>
      <c r="CF49" s="9">
        <v>-0.34008051795965127</v>
      </c>
      <c r="CG49" s="10">
        <v>-0.29958282807776088</v>
      </c>
      <c r="CH49" s="9">
        <v>-6.8181820213794708E-2</v>
      </c>
      <c r="CI49" s="9">
        <v>-0.37440758943557739</v>
      </c>
      <c r="CJ49" s="9">
        <v>-0.26223775744438171</v>
      </c>
      <c r="CK49" s="9">
        <v>-0.10625000298023224</v>
      </c>
      <c r="CL49" s="9">
        <v>-9.4766616821289063E-2</v>
      </c>
      <c r="CM49" s="10">
        <v>-0.16352201998233795</v>
      </c>
      <c r="CN49" s="10">
        <v>-0.97466957569122314</v>
      </c>
      <c r="CO49" s="10">
        <v>-0.26090571284294128</v>
      </c>
      <c r="CP49" s="10">
        <v>0.5770946741104126</v>
      </c>
      <c r="CQ49" s="10">
        <v>-4.3702950477600098</v>
      </c>
      <c r="CR49">
        <v>-32.941232170256654</v>
      </c>
      <c r="CS49">
        <v>-1.8182623012274963</v>
      </c>
      <c r="CT49">
        <v>0</v>
      </c>
      <c r="CU49" s="9">
        <v>-0.18116875737905502</v>
      </c>
      <c r="CV49" s="10">
        <v>-1.0384595364332199</v>
      </c>
      <c r="CW49">
        <v>0.06</v>
      </c>
      <c r="CX49" t="e">
        <v>#VALUE!</v>
      </c>
      <c r="CY49" t="s">
        <v>1282</v>
      </c>
      <c r="CZ49">
        <v>-0.18116875737905502</v>
      </c>
      <c r="DA49" t="e">
        <v>#VALUE!</v>
      </c>
      <c r="DB49" t="s">
        <v>1283</v>
      </c>
      <c r="DC49">
        <v>-0.17211031951010228</v>
      </c>
      <c r="DD49" t="e">
        <v>#VALUE!</v>
      </c>
      <c r="DE49" t="s">
        <v>1283</v>
      </c>
      <c r="DF49">
        <v>-0.15942850649356843</v>
      </c>
      <c r="DG49" t="e">
        <v>#VALUE!</v>
      </c>
      <c r="DH49" t="s">
        <v>1283</v>
      </c>
      <c r="DI49">
        <v>-0.14493500590324401</v>
      </c>
      <c r="DJ49" t="e">
        <v>#VALUE!</v>
      </c>
      <c r="DK49" t="s">
        <v>1283</v>
      </c>
      <c r="DL49">
        <v>-0.12681813016533852</v>
      </c>
      <c r="DM49">
        <v>-185000000</v>
      </c>
      <c r="DN49">
        <v>-0.18116875737905502</v>
      </c>
      <c r="DO49">
        <v>3215340500</v>
      </c>
      <c r="DP49">
        <v>323001800</v>
      </c>
      <c r="DQ49">
        <v>1936</v>
      </c>
      <c r="DR49">
        <v>-0.15891176058059625</v>
      </c>
      <c r="DS49">
        <v>0.73887670835545904</v>
      </c>
      <c r="DT49" s="11">
        <v>-0.72333333333333327</v>
      </c>
      <c r="DU49">
        <v>-3.6650000000000005</v>
      </c>
      <c r="DV49">
        <v>-4.3883333333333336</v>
      </c>
      <c r="DW49">
        <v>8.9610983981693373</v>
      </c>
      <c r="DX49">
        <v>0.44364611547096244</v>
      </c>
      <c r="DY49">
        <v>8.0803921475922333</v>
      </c>
      <c r="DZ49">
        <v>5093</v>
      </c>
      <c r="EA49">
        <v>8.0002360771757797</v>
      </c>
      <c r="EB49">
        <v>8</v>
      </c>
      <c r="EC49">
        <v>0.62842709290996468</v>
      </c>
      <c r="ED49">
        <v>7.5129264633146411</v>
      </c>
      <c r="EE49" s="12">
        <v>-2.0498099999999999</v>
      </c>
      <c r="EF49">
        <v>-2.02251</v>
      </c>
      <c r="EG49">
        <v>36.083646115470962</v>
      </c>
      <c r="EH49" t="s">
        <v>1461</v>
      </c>
      <c r="EI49">
        <v>0</v>
      </c>
      <c r="EJ49">
        <v>0</v>
      </c>
      <c r="EK49" s="14">
        <v>45504</v>
      </c>
      <c r="EL49" s="15">
        <v>-6.59</v>
      </c>
      <c r="EM49" s="15">
        <v>-0.48</v>
      </c>
      <c r="EN49" s="15">
        <v>-0.8</v>
      </c>
      <c r="EO49" s="15">
        <v>5.0599999999999996</v>
      </c>
      <c r="EP49" s="15">
        <v>2.73</v>
      </c>
    </row>
    <row r="50" spans="1:146" ht="96" hidden="1" x14ac:dyDescent="0.25">
      <c r="A50" s="7"/>
      <c r="B50" s="7"/>
      <c r="C50" s="7" t="str">
        <f>""&amp;CHAR(10)&amp;Basic_Fundamental_Information_Constructure(F50)&amp;CHAR(10)&amp;Basic_Fundamental_Information_Concatenate("")</f>
        <v xml:space="preserve">
市值48.392025亿, 利润-3.80亿; PE; 平均PE-232.8; 平均PEG-10.19, PB2.58; ROIC4.71%; ROE2.51%; 股利率0%; 毛利29.2467%; 净利-3.9833%; 上一年度营收增4.79%, 利润增-556.73%; 当季营收增-42.75%, 利润增146.97%; 过往5年营收增22.85%, 利润增-94.75%
Income profile:
</v>
      </c>
      <c r="D50" t="s">
        <v>130</v>
      </c>
      <c r="E50" t="s">
        <v>17</v>
      </c>
      <c r="F50">
        <v>16.62</v>
      </c>
      <c r="G50">
        <v>2.21</v>
      </c>
      <c r="H50" t="s">
        <v>3979</v>
      </c>
      <c r="I50">
        <v>4839202500</v>
      </c>
      <c r="K50">
        <v>2.58</v>
      </c>
      <c r="L50" t="s">
        <v>1277</v>
      </c>
      <c r="M50" t="s">
        <v>2535</v>
      </c>
      <c r="N50" t="s">
        <v>2536</v>
      </c>
      <c r="O50" t="s">
        <v>606</v>
      </c>
      <c r="P50">
        <v>-42.77</v>
      </c>
      <c r="Q50" t="s">
        <v>1769</v>
      </c>
      <c r="R50">
        <v>5885253</v>
      </c>
      <c r="S50" s="5">
        <v>1.47</v>
      </c>
      <c r="T50" t="s">
        <v>1708</v>
      </c>
      <c r="U50">
        <v>277372660</v>
      </c>
      <c r="V50">
        <v>291167420</v>
      </c>
      <c r="W50">
        <v>2.4</v>
      </c>
      <c r="X50">
        <v>0.06</v>
      </c>
      <c r="Y50">
        <v>2.27</v>
      </c>
      <c r="Z50" t="s">
        <v>345</v>
      </c>
      <c r="AA50" t="s">
        <v>278</v>
      </c>
      <c r="AB50" t="s">
        <v>2537</v>
      </c>
      <c r="AC50" t="s">
        <v>2538</v>
      </c>
      <c r="AD50" t="s">
        <v>63</v>
      </c>
      <c r="AE50">
        <v>3893413</v>
      </c>
      <c r="AF50" t="s">
        <v>2539</v>
      </c>
      <c r="AG50" t="s">
        <v>2540</v>
      </c>
      <c r="AH50" t="s">
        <v>2541</v>
      </c>
      <c r="AI50" t="s">
        <v>1731</v>
      </c>
      <c r="AJ50" t="s">
        <v>2542</v>
      </c>
      <c r="AK50" t="s">
        <v>2543</v>
      </c>
      <c r="AL50" t="s">
        <v>2544</v>
      </c>
      <c r="AM50" t="s">
        <v>63</v>
      </c>
      <c r="AN50" t="s">
        <v>319</v>
      </c>
      <c r="AO50" t="s">
        <v>814</v>
      </c>
      <c r="AP50" t="s">
        <v>2545</v>
      </c>
      <c r="AQ50" t="s">
        <v>1693</v>
      </c>
      <c r="AR50" t="s">
        <v>63</v>
      </c>
      <c r="AS50" t="s">
        <v>2546</v>
      </c>
      <c r="AT50" t="s">
        <v>412</v>
      </c>
      <c r="AU50" t="s">
        <v>1561</v>
      </c>
      <c r="AV50" t="s">
        <v>2547</v>
      </c>
      <c r="AW50" t="s">
        <v>1343</v>
      </c>
      <c r="AX50" t="s">
        <v>1495</v>
      </c>
      <c r="AY50" t="s">
        <v>1072</v>
      </c>
      <c r="AZ50" t="s">
        <v>770</v>
      </c>
      <c r="BA50" t="s">
        <v>538</v>
      </c>
      <c r="BB50" t="s">
        <v>881</v>
      </c>
      <c r="BC50" t="s">
        <v>2548</v>
      </c>
      <c r="BD50" t="s">
        <v>415</v>
      </c>
      <c r="BE50" t="s">
        <v>880</v>
      </c>
      <c r="BF50" t="s">
        <v>210</v>
      </c>
      <c r="BG50" t="s">
        <v>882</v>
      </c>
      <c r="BH50" t="s">
        <v>1769</v>
      </c>
      <c r="BI50" t="s">
        <v>1079</v>
      </c>
      <c r="BJ50" t="s">
        <v>1495</v>
      </c>
      <c r="BK50" t="s">
        <v>1708</v>
      </c>
      <c r="BL50" t="s">
        <v>3980</v>
      </c>
      <c r="BM50" t="s">
        <v>2548</v>
      </c>
      <c r="BN50">
        <v>3.85</v>
      </c>
      <c r="BO50" t="s">
        <v>63</v>
      </c>
      <c r="BP50">
        <v>5.57</v>
      </c>
      <c r="BQ50">
        <v>4.33</v>
      </c>
      <c r="BR50">
        <v>-3.94</v>
      </c>
      <c r="BS50">
        <v>7.14</v>
      </c>
      <c r="BT50" t="s">
        <v>1409</v>
      </c>
      <c r="BU50" t="s">
        <v>1848</v>
      </c>
      <c r="BV50">
        <v>24.38</v>
      </c>
      <c r="BW50">
        <v>26.04</v>
      </c>
      <c r="BX50">
        <v>37.32</v>
      </c>
      <c r="BY50">
        <v>-15.34</v>
      </c>
      <c r="BZ50">
        <v>-2.71</v>
      </c>
      <c r="CA50">
        <v>6.1</v>
      </c>
      <c r="CB50">
        <v>8.49</v>
      </c>
      <c r="CC50">
        <v>-3.48</v>
      </c>
      <c r="CD50" t="s">
        <v>3981</v>
      </c>
      <c r="CE50" t="s">
        <v>434</v>
      </c>
      <c r="CF50" s="9">
        <v>-0.42750929368029739</v>
      </c>
      <c r="CG50" s="10">
        <v>1.4696823331934536</v>
      </c>
      <c r="CH50" s="9">
        <v>4.791669175028801E-2</v>
      </c>
      <c r="CI50" s="9">
        <v>0.39534884691238403</v>
      </c>
      <c r="CJ50" s="9">
        <v>0.13756613433361053</v>
      </c>
      <c r="CK50" s="9">
        <v>-3.6942675709724426E-2</v>
      </c>
      <c r="CL50" s="9">
        <v>0.59877800941467285</v>
      </c>
      <c r="CM50" s="10">
        <v>-5.5673384666442871</v>
      </c>
      <c r="CN50" s="10">
        <v>-1.551067590713501</v>
      </c>
      <c r="CO50" s="10">
        <v>1.6066750288009644</v>
      </c>
      <c r="CP50" s="10">
        <v>-0.66150254011154175</v>
      </c>
      <c r="CQ50" s="10">
        <v>1.435495138168335</v>
      </c>
      <c r="CR50">
        <v>-232.80282584537227</v>
      </c>
      <c r="CS50">
        <v>-10.186818402915627</v>
      </c>
      <c r="CT50">
        <v>0</v>
      </c>
      <c r="CU50" s="9">
        <v>0.22853340134024619</v>
      </c>
      <c r="CV50" s="10">
        <v>-0.94754768610000606</v>
      </c>
      <c r="CW50">
        <v>0.06</v>
      </c>
      <c r="CX50" t="e">
        <v>#VALUE!</v>
      </c>
      <c r="CY50" t="s">
        <v>1283</v>
      </c>
      <c r="CZ50">
        <v>0.22853340134024619</v>
      </c>
      <c r="DA50" t="e">
        <v>#VALUE!</v>
      </c>
      <c r="DB50" t="s">
        <v>1283</v>
      </c>
      <c r="DC50">
        <v>0.21710673127323388</v>
      </c>
      <c r="DD50" t="e">
        <v>#VALUE!</v>
      </c>
      <c r="DE50" t="s">
        <v>1283</v>
      </c>
      <c r="DF50">
        <v>0.20110939317941665</v>
      </c>
      <c r="DG50" t="e">
        <v>#VALUE!</v>
      </c>
      <c r="DH50" t="s">
        <v>1283</v>
      </c>
      <c r="DI50">
        <v>0.18282672107219697</v>
      </c>
      <c r="DJ50" t="e">
        <v>#VALUE!</v>
      </c>
      <c r="DK50" t="s">
        <v>1283</v>
      </c>
      <c r="DL50">
        <v>0.15997338093817232</v>
      </c>
      <c r="DM50">
        <v>-380000000</v>
      </c>
      <c r="DN50">
        <v>0.22853340134024619</v>
      </c>
      <c r="DO50">
        <v>5450202500</v>
      </c>
      <c r="DP50">
        <v>878047600</v>
      </c>
      <c r="DQ50">
        <v>1987</v>
      </c>
      <c r="DR50">
        <v>-0.65604269502054358</v>
      </c>
      <c r="DS50">
        <v>2.4172300192934597</v>
      </c>
      <c r="DT50" s="11">
        <v>-0.19000000000000003</v>
      </c>
      <c r="DU50">
        <v>-0.79333333333333345</v>
      </c>
      <c r="DV50">
        <v>-0.9833333333333335</v>
      </c>
      <c r="DW50">
        <v>5.4098939929328624</v>
      </c>
      <c r="DX50">
        <v>0.55455541401273556</v>
      </c>
      <c r="DY50">
        <v>5.0592523958497448</v>
      </c>
      <c r="DZ50">
        <v>3599</v>
      </c>
      <c r="EA50">
        <v>5.0175042806063557</v>
      </c>
      <c r="EB50">
        <v>5</v>
      </c>
      <c r="EC50">
        <v>0.15589106775751216</v>
      </c>
      <c r="ED50">
        <v>1.0784173586454144</v>
      </c>
      <c r="EE50" s="12">
        <v>-3.0487000000000002</v>
      </c>
      <c r="EF50">
        <v>-3.0708000000000002</v>
      </c>
      <c r="EG50">
        <v>41.144555414012736</v>
      </c>
      <c r="EH50" t="s">
        <v>1470</v>
      </c>
      <c r="EI50">
        <v>1</v>
      </c>
      <c r="EJ50">
        <v>0</v>
      </c>
      <c r="EK50" s="14">
        <v>45504</v>
      </c>
      <c r="EL50" s="15">
        <v>-2.48</v>
      </c>
      <c r="EM50" s="15">
        <v>0</v>
      </c>
      <c r="EN50" s="15">
        <v>3.52</v>
      </c>
      <c r="EO50" s="15">
        <v>1.64</v>
      </c>
      <c r="EP50" s="15">
        <v>2.21</v>
      </c>
    </row>
    <row r="51" spans="1:146" ht="96" hidden="1" x14ac:dyDescent="0.25">
      <c r="A51" s="7"/>
      <c r="B51" s="7"/>
      <c r="C51" s="7" t="str">
        <f>""&amp;CHAR(10)&amp;Basic_Fundamental_Information_Constructure(F51)&amp;CHAR(10)&amp;Basic_Fundamental_Information_Concatenate("")</f>
        <v xml:space="preserve">
市值87.39122亿, 利润3.27亿; PE26.58; 平均PE45.03; 平均PEG1.46, PB3.48; ROIC13.365%; ROE10.1967%; 股利率1.2788%; 毛利64.4567%; 净利16.5467%; 上一年度营收增6.51%, 利润增28.74%; 当季营收增15.56%, 利润增3.64%; 过往5年营收增30.81%, 利润增31.56%
Income profile:
</v>
      </c>
      <c r="D51" t="s">
        <v>93</v>
      </c>
      <c r="E51" t="s">
        <v>46</v>
      </c>
      <c r="F51">
        <v>11.73</v>
      </c>
      <c r="G51">
        <v>4.2699999999999996</v>
      </c>
      <c r="H51" t="s">
        <v>3982</v>
      </c>
      <c r="I51">
        <v>8739122000</v>
      </c>
      <c r="J51">
        <v>26.58</v>
      </c>
      <c r="K51">
        <v>3.48</v>
      </c>
      <c r="L51" t="s">
        <v>1277</v>
      </c>
      <c r="M51" t="s">
        <v>1774</v>
      </c>
      <c r="N51" t="s">
        <v>2549</v>
      </c>
      <c r="O51" t="s">
        <v>417</v>
      </c>
      <c r="P51">
        <v>15.73</v>
      </c>
      <c r="Q51" t="s">
        <v>2561</v>
      </c>
      <c r="R51">
        <v>-56289440</v>
      </c>
      <c r="S51" s="5">
        <v>3.6400000000000002E-2</v>
      </c>
      <c r="T51" t="s">
        <v>733</v>
      </c>
      <c r="U51">
        <v>614156240</v>
      </c>
      <c r="V51">
        <v>752438860</v>
      </c>
      <c r="W51">
        <v>1.31</v>
      </c>
      <c r="X51">
        <v>0.06</v>
      </c>
      <c r="Y51">
        <v>-32.85</v>
      </c>
      <c r="Z51" t="s">
        <v>622</v>
      </c>
      <c r="AA51" t="s">
        <v>177</v>
      </c>
      <c r="AB51" t="s">
        <v>2550</v>
      </c>
      <c r="AC51" t="s">
        <v>2551</v>
      </c>
      <c r="AD51" t="s">
        <v>63</v>
      </c>
      <c r="AE51">
        <v>-2757025</v>
      </c>
      <c r="AF51" t="s">
        <v>2552</v>
      </c>
      <c r="AG51">
        <v>10000</v>
      </c>
      <c r="AH51" t="s">
        <v>2553</v>
      </c>
      <c r="AI51" t="s">
        <v>2554</v>
      </c>
      <c r="AJ51" t="s">
        <v>2555</v>
      </c>
      <c r="AK51" t="s">
        <v>2556</v>
      </c>
      <c r="AL51" t="s">
        <v>2557</v>
      </c>
      <c r="AM51" t="s">
        <v>63</v>
      </c>
      <c r="AN51" t="s">
        <v>542</v>
      </c>
      <c r="AO51" t="s">
        <v>63</v>
      </c>
      <c r="AP51" t="s">
        <v>63</v>
      </c>
      <c r="AQ51" t="s">
        <v>513</v>
      </c>
      <c r="AR51" t="s">
        <v>63</v>
      </c>
      <c r="AS51" t="s">
        <v>2530</v>
      </c>
      <c r="AT51" t="s">
        <v>222</v>
      </c>
      <c r="AU51" t="s">
        <v>2558</v>
      </c>
      <c r="AV51" t="s">
        <v>2559</v>
      </c>
      <c r="AW51" t="s">
        <v>2560</v>
      </c>
      <c r="AX51" t="s">
        <v>473</v>
      </c>
      <c r="AY51" t="s">
        <v>1180</v>
      </c>
      <c r="AZ51" t="s">
        <v>885</v>
      </c>
      <c r="BA51" t="s">
        <v>462</v>
      </c>
      <c r="BB51" t="s">
        <v>747</v>
      </c>
      <c r="BC51" t="s">
        <v>681</v>
      </c>
      <c r="BD51" t="s">
        <v>520</v>
      </c>
      <c r="BE51" t="s">
        <v>207</v>
      </c>
      <c r="BF51" t="s">
        <v>228</v>
      </c>
      <c r="BG51" t="s">
        <v>886</v>
      </c>
      <c r="BH51" t="s">
        <v>2561</v>
      </c>
      <c r="BI51" t="s">
        <v>521</v>
      </c>
      <c r="BJ51" t="s">
        <v>473</v>
      </c>
      <c r="BK51" t="s">
        <v>733</v>
      </c>
      <c r="BL51" t="s">
        <v>3983</v>
      </c>
      <c r="BM51" t="s">
        <v>681</v>
      </c>
      <c r="BN51" t="s">
        <v>63</v>
      </c>
      <c r="BO51">
        <v>12.94</v>
      </c>
      <c r="BP51">
        <v>13.79</v>
      </c>
      <c r="BQ51">
        <v>0.84</v>
      </c>
      <c r="BR51">
        <v>14.41</v>
      </c>
      <c r="BS51">
        <v>15.34</v>
      </c>
      <c r="BT51" t="s">
        <v>1423</v>
      </c>
      <c r="BU51" t="s">
        <v>1848</v>
      </c>
      <c r="BV51">
        <v>66.66</v>
      </c>
      <c r="BW51">
        <v>61.63</v>
      </c>
      <c r="BX51">
        <v>65.08</v>
      </c>
      <c r="BY51">
        <v>18.190000000000001</v>
      </c>
      <c r="BZ51">
        <v>15.19</v>
      </c>
      <c r="CA51">
        <v>16.260000000000002</v>
      </c>
      <c r="CB51">
        <v>5.39</v>
      </c>
      <c r="CC51">
        <v>-7.05</v>
      </c>
      <c r="CD51" t="s">
        <v>3984</v>
      </c>
      <c r="CE51" t="s">
        <v>570</v>
      </c>
      <c r="CF51" s="9">
        <v>0.15555555555555556</v>
      </c>
      <c r="CG51" s="10">
        <v>3.6387229307540875E-2</v>
      </c>
      <c r="CH51" s="9">
        <v>6.5138056874275208E-2</v>
      </c>
      <c r="CI51" s="9">
        <v>0.22698213160037994</v>
      </c>
      <c r="CJ51" s="9">
        <v>0.3767605721950531</v>
      </c>
      <c r="CK51" s="9">
        <v>0.26362624764442444</v>
      </c>
      <c r="CL51" s="9">
        <v>0.60822898149490356</v>
      </c>
      <c r="CM51" s="10">
        <v>0.28740158677101135</v>
      </c>
      <c r="CN51" s="10">
        <v>0.10917030274868011</v>
      </c>
      <c r="CO51" s="10">
        <v>0.41358023881912231</v>
      </c>
      <c r="CP51" s="10">
        <v>0.514018714427948</v>
      </c>
      <c r="CQ51" s="10">
        <v>0.25367313623428345</v>
      </c>
      <c r="CR51">
        <v>45.033510565387083</v>
      </c>
      <c r="CS51">
        <v>1.4614285271212717</v>
      </c>
      <c r="CT51">
        <v>1.2787723785166241</v>
      </c>
      <c r="CU51" s="9">
        <v>0.30814719796180723</v>
      </c>
      <c r="CV51" s="10">
        <v>0.31556879580020902</v>
      </c>
      <c r="CW51">
        <v>0.06</v>
      </c>
      <c r="CX51">
        <v>16.868055900392882</v>
      </c>
      <c r="CY51">
        <v>403551069.55991602</v>
      </c>
      <c r="CZ51">
        <v>0.30814719796180723</v>
      </c>
      <c r="DA51">
        <v>4.6046735213218453</v>
      </c>
      <c r="DB51">
        <v>1478307195.6089313</v>
      </c>
      <c r="DC51">
        <v>0.29273983806371684</v>
      </c>
      <c r="DD51">
        <v>1.7515763767752182</v>
      </c>
      <c r="DE51">
        <v>3886283287.5905848</v>
      </c>
      <c r="DF51">
        <v>0.27116953420639034</v>
      </c>
      <c r="DG51">
        <v>0.76769946965362645</v>
      </c>
      <c r="DH51">
        <v>8866909863.9227448</v>
      </c>
      <c r="DI51">
        <v>0.24651775836944578</v>
      </c>
      <c r="DJ51">
        <v>0.18382702442102344</v>
      </c>
      <c r="DK51">
        <v>37030039633.397346</v>
      </c>
      <c r="DL51">
        <v>0.21570303857326506</v>
      </c>
      <c r="DM51">
        <v>327000000</v>
      </c>
      <c r="DN51">
        <v>0.30814719796180723</v>
      </c>
      <c r="DO51">
        <v>6807122000</v>
      </c>
      <c r="DP51">
        <v>2017147600</v>
      </c>
      <c r="DQ51">
        <v>1991</v>
      </c>
      <c r="DR51">
        <v>-0.15259164240625167</v>
      </c>
      <c r="DS51">
        <v>-0.27918156649266812</v>
      </c>
      <c r="DT51" s="11">
        <v>0.16</v>
      </c>
      <c r="DU51">
        <v>5.8333333333333237E-2</v>
      </c>
      <c r="DV51">
        <v>0.21833333333333324</v>
      </c>
      <c r="DW51">
        <v>6.433279742765273</v>
      </c>
      <c r="DX51">
        <v>0.53216948529411434</v>
      </c>
      <c r="DY51">
        <v>6.0399351708790432</v>
      </c>
      <c r="DZ51">
        <v>1307</v>
      </c>
      <c r="EA51">
        <v>6.0297168333029063</v>
      </c>
      <c r="EB51">
        <v>6</v>
      </c>
      <c r="EC51">
        <v>3.331845460506918E-2</v>
      </c>
      <c r="ED51">
        <v>0.36149116487683797</v>
      </c>
      <c r="EE51" s="12">
        <v>-3.0040100000000001</v>
      </c>
      <c r="EF51">
        <v>-3.0387</v>
      </c>
      <c r="EG51">
        <v>44.092169485294114</v>
      </c>
      <c r="EH51" t="s">
        <v>1470</v>
      </c>
      <c r="EI51">
        <v>0</v>
      </c>
      <c r="EJ51">
        <v>1</v>
      </c>
      <c r="EK51" s="14">
        <v>45504</v>
      </c>
      <c r="EL51" s="15">
        <v>-0.18</v>
      </c>
      <c r="EM51" s="15">
        <v>0.72</v>
      </c>
      <c r="EN51" s="15">
        <v>0.54</v>
      </c>
      <c r="EO51" s="15">
        <v>-0.98</v>
      </c>
      <c r="EP51" s="15">
        <v>4.2699999999999996</v>
      </c>
    </row>
    <row r="52" spans="1:146" ht="108" hidden="1" x14ac:dyDescent="0.25">
      <c r="A52" s="7"/>
      <c r="B52" s="7"/>
      <c r="C52" s="7" t="str">
        <f>""&amp;CHAR(10)&amp;Basic_Fundamental_Information_Constructure(F52)&amp;CHAR(10)&amp;Basic_Fundamental_Information_Concatenate("")</f>
        <v xml:space="preserve">
市值42.36565亿, 利润3636.45万; PE143.6; 平均PE80.95; 平均PEG4.65, PB6.66; ROIC8.325%; ROE5.0133%; 股利率.0987%; 毛利21.1167%; 净利4.28%; 上一年度营收增19.24%, 利润增-30.24%; 当季营收增17.18%, 利润增-108.19%; 过往5年营收增17.41%, 利润增2.49%
Income profile:
</v>
      </c>
      <c r="D52" t="s">
        <v>91</v>
      </c>
      <c r="E52" t="s">
        <v>16</v>
      </c>
      <c r="F52">
        <v>14.19</v>
      </c>
      <c r="G52">
        <v>17.47</v>
      </c>
      <c r="H52" t="s">
        <v>3985</v>
      </c>
      <c r="I52">
        <v>4236565000</v>
      </c>
      <c r="J52">
        <v>143.6</v>
      </c>
      <c r="K52">
        <v>6.66</v>
      </c>
      <c r="L52" t="s">
        <v>1277</v>
      </c>
      <c r="M52" t="s">
        <v>822</v>
      </c>
      <c r="N52" t="s">
        <v>1700</v>
      </c>
      <c r="O52" t="s">
        <v>537</v>
      </c>
      <c r="P52">
        <v>17.37</v>
      </c>
      <c r="Q52" t="s">
        <v>390</v>
      </c>
      <c r="R52">
        <v>-13206695</v>
      </c>
      <c r="S52" s="5">
        <v>-1.0820000000000001</v>
      </c>
      <c r="T52" t="s">
        <v>2574</v>
      </c>
      <c r="U52">
        <v>244121120</v>
      </c>
      <c r="V52">
        <v>298559900</v>
      </c>
      <c r="W52">
        <v>2.19</v>
      </c>
      <c r="X52">
        <v>0.13</v>
      </c>
      <c r="Y52">
        <v>-6.97</v>
      </c>
      <c r="Z52" t="s">
        <v>373</v>
      </c>
      <c r="AA52" t="s">
        <v>183</v>
      </c>
      <c r="AB52" t="s">
        <v>2562</v>
      </c>
      <c r="AC52" t="s">
        <v>2563</v>
      </c>
      <c r="AD52" t="s">
        <v>63</v>
      </c>
      <c r="AE52">
        <v>1754556</v>
      </c>
      <c r="AF52" t="s">
        <v>175</v>
      </c>
      <c r="AG52">
        <v>1</v>
      </c>
      <c r="AH52" t="s">
        <v>2564</v>
      </c>
      <c r="AI52" t="s">
        <v>380</v>
      </c>
      <c r="AJ52" t="s">
        <v>2565</v>
      </c>
      <c r="AK52" t="s">
        <v>2566</v>
      </c>
      <c r="AL52" t="s">
        <v>2567</v>
      </c>
      <c r="AM52" t="s">
        <v>63</v>
      </c>
      <c r="AN52">
        <v>0</v>
      </c>
      <c r="AO52" t="s">
        <v>187</v>
      </c>
      <c r="AP52" t="s">
        <v>2568</v>
      </c>
      <c r="AQ52" t="s">
        <v>455</v>
      </c>
      <c r="AR52" t="s">
        <v>2569</v>
      </c>
      <c r="AS52" t="s">
        <v>866</v>
      </c>
      <c r="AT52" t="s">
        <v>63</v>
      </c>
      <c r="AU52" t="s">
        <v>2570</v>
      </c>
      <c r="AV52" t="s">
        <v>2571</v>
      </c>
      <c r="AW52" t="s">
        <v>2572</v>
      </c>
      <c r="AX52" t="s">
        <v>1150</v>
      </c>
      <c r="AY52" t="s">
        <v>1077</v>
      </c>
      <c r="AZ52" t="s">
        <v>757</v>
      </c>
      <c r="BA52" t="s">
        <v>330</v>
      </c>
      <c r="BB52" t="s">
        <v>240</v>
      </c>
      <c r="BC52" t="s">
        <v>2573</v>
      </c>
      <c r="BD52" t="s">
        <v>1182</v>
      </c>
      <c r="BE52" t="s">
        <v>891</v>
      </c>
      <c r="BF52" t="s">
        <v>545</v>
      </c>
      <c r="BG52" t="s">
        <v>892</v>
      </c>
      <c r="BH52" t="s">
        <v>390</v>
      </c>
      <c r="BI52" t="s">
        <v>561</v>
      </c>
      <c r="BJ52" t="s">
        <v>1150</v>
      </c>
      <c r="BK52" t="s">
        <v>2574</v>
      </c>
      <c r="BL52" t="s">
        <v>3986</v>
      </c>
      <c r="BM52" t="s">
        <v>2573</v>
      </c>
      <c r="BN52" t="s">
        <v>63</v>
      </c>
      <c r="BO52">
        <v>7.11</v>
      </c>
      <c r="BP52">
        <v>9.5399999999999991</v>
      </c>
      <c r="BQ52">
        <v>-3.15</v>
      </c>
      <c r="BR52">
        <v>8.6</v>
      </c>
      <c r="BS52">
        <v>9.59</v>
      </c>
      <c r="BT52" t="s">
        <v>2575</v>
      </c>
      <c r="BU52" t="s">
        <v>1848</v>
      </c>
      <c r="BV52">
        <v>17.72</v>
      </c>
      <c r="BW52">
        <v>19.690000000000001</v>
      </c>
      <c r="BX52">
        <v>25.94</v>
      </c>
      <c r="BY52">
        <v>2.15</v>
      </c>
      <c r="BZ52">
        <v>3.77</v>
      </c>
      <c r="CA52">
        <v>6.92</v>
      </c>
      <c r="CB52">
        <v>29.23</v>
      </c>
      <c r="CC52">
        <v>-1.77</v>
      </c>
      <c r="CD52" t="s">
        <v>177</v>
      </c>
      <c r="CE52" t="s">
        <v>3813</v>
      </c>
      <c r="CF52" s="9">
        <v>0.17177914110429449</v>
      </c>
      <c r="CG52" s="10">
        <v>-1.0818599555464476</v>
      </c>
      <c r="CH52" s="9">
        <v>0.19243985414505005</v>
      </c>
      <c r="CI52" s="9">
        <v>0.37134784460067749</v>
      </c>
      <c r="CJ52" s="9">
        <v>-7.6588287949562073E-2</v>
      </c>
      <c r="CK52" s="9">
        <v>5.9963040053844452E-2</v>
      </c>
      <c r="CL52" s="9">
        <v>0.32356533408164978</v>
      </c>
      <c r="CM52" s="10">
        <v>-0.30244669318199158</v>
      </c>
      <c r="CN52" s="10">
        <v>-0.18009285628795624</v>
      </c>
      <c r="CO52" s="10">
        <v>-6.8784318864345551E-2</v>
      </c>
      <c r="CP52" s="10">
        <v>0.23498883843421936</v>
      </c>
      <c r="CQ52" s="10">
        <v>0.44094505906105042</v>
      </c>
      <c r="CR52">
        <v>80.950300354476553</v>
      </c>
      <c r="CS52">
        <v>4.648427542761258</v>
      </c>
      <c r="CT52">
        <v>9.8661028893587049E-2</v>
      </c>
      <c r="CU52" s="9">
        <v>0.17414555698633194</v>
      </c>
      <c r="CV52" s="10">
        <v>2.4922005832195282E-2</v>
      </c>
      <c r="CW52">
        <v>0.06</v>
      </c>
      <c r="CX52">
        <v>113.34460045050217</v>
      </c>
      <c r="CY52">
        <v>40280392.55380138</v>
      </c>
      <c r="CZ52">
        <v>0.17414555698633194</v>
      </c>
      <c r="DA52">
        <v>34.516600673955686</v>
      </c>
      <c r="DB52">
        <v>132271571.09491731</v>
      </c>
      <c r="DC52">
        <v>0.16543827913701534</v>
      </c>
      <c r="DD52">
        <v>15.417505240484855</v>
      </c>
      <c r="DE52">
        <v>296128649.14170903</v>
      </c>
      <c r="DF52">
        <v>0.15324809014797211</v>
      </c>
      <c r="DG52">
        <v>8.2635667318351604</v>
      </c>
      <c r="DH52">
        <v>552493269.33021402</v>
      </c>
      <c r="DI52">
        <v>0.13931644558906556</v>
      </c>
      <c r="DJ52">
        <v>3.2806462799806031</v>
      </c>
      <c r="DK52">
        <v>1391666339.6051934</v>
      </c>
      <c r="DL52">
        <v>0.12190188989043235</v>
      </c>
      <c r="DM52">
        <v>36364500</v>
      </c>
      <c r="DN52">
        <v>0.17414555698633194</v>
      </c>
      <c r="DO52">
        <v>4565565000</v>
      </c>
      <c r="DP52">
        <v>317691880</v>
      </c>
      <c r="DQ52">
        <v>2007</v>
      </c>
      <c r="DR52">
        <v>-2.3664158820374537E-3</v>
      </c>
      <c r="DS52">
        <v>-1.1067819613786429</v>
      </c>
      <c r="DT52" s="11">
        <v>-2.3333333333333355E-2</v>
      </c>
      <c r="DU52">
        <v>-0.99833333333333341</v>
      </c>
      <c r="DV52">
        <v>-1.0216666666666667</v>
      </c>
      <c r="DW52">
        <v>5.0605542251111872</v>
      </c>
      <c r="DX52">
        <v>1.1690173410404627</v>
      </c>
      <c r="DY52">
        <v>5.0175012211304013</v>
      </c>
      <c r="DZ52">
        <v>3623</v>
      </c>
      <c r="EA52">
        <v>5.0050879626818023</v>
      </c>
      <c r="EB52">
        <v>5</v>
      </c>
      <c r="EC52">
        <v>0.3349411625606788</v>
      </c>
      <c r="ED52">
        <v>1.1588964224599485</v>
      </c>
      <c r="EE52" s="12">
        <v>-3.0567000000000002</v>
      </c>
      <c r="EF52">
        <v>-2.0813999999999999</v>
      </c>
      <c r="EG52">
        <v>88.289017341040463</v>
      </c>
      <c r="EH52" t="s">
        <v>1431</v>
      </c>
      <c r="EI52">
        <v>1</v>
      </c>
      <c r="EJ52">
        <v>0</v>
      </c>
      <c r="EK52" s="14">
        <v>45504</v>
      </c>
      <c r="EL52" s="15">
        <v>-2.31</v>
      </c>
      <c r="EM52" s="15">
        <v>2</v>
      </c>
      <c r="EN52" s="15">
        <v>3.13</v>
      </c>
      <c r="EO52" s="15">
        <v>3.64</v>
      </c>
      <c r="EP52" s="15">
        <v>17.47</v>
      </c>
    </row>
    <row r="53" spans="1:146" ht="108" hidden="1" x14ac:dyDescent="0.25">
      <c r="A53" s="7"/>
      <c r="B53" s="7"/>
      <c r="C53" s="7" t="str">
        <f>""&amp;CHAR(10)&amp;Basic_Fundamental_Information_Constructure(F53)&amp;CHAR(10)&amp;Basic_Fundamental_Information_Concatenate("")</f>
        <v xml:space="preserve">
市值27.437535亿, 利润3911.62万; PE72.89; 平均PE143.01; 平均PEG40.93, PB2.54; ROIC1.475%; ROE-1.0967%; 股利率.2871%; 毛利31.36%; 净利-2.35%; 上一年度营收增21.94%, 利润增146.95%; 当季营收增-8.5%, 利润增-153.94%; 过往5年营收增3.49%, 利润增-41.63%
Income profile:
</v>
      </c>
      <c r="D53" t="s">
        <v>116</v>
      </c>
      <c r="E53" t="s">
        <v>21</v>
      </c>
      <c r="F53">
        <v>10.45</v>
      </c>
      <c r="G53">
        <v>1.65</v>
      </c>
      <c r="H53" t="s">
        <v>3987</v>
      </c>
      <c r="I53">
        <v>2743753500</v>
      </c>
      <c r="J53">
        <v>72.89</v>
      </c>
      <c r="K53">
        <v>2.54</v>
      </c>
      <c r="L53" t="s">
        <v>1277</v>
      </c>
      <c r="M53" t="s">
        <v>571</v>
      </c>
      <c r="N53" t="s">
        <v>1811</v>
      </c>
      <c r="O53" t="s">
        <v>2576</v>
      </c>
      <c r="P53">
        <v>-8.5</v>
      </c>
      <c r="Q53" t="s">
        <v>746</v>
      </c>
      <c r="R53">
        <v>-515985</v>
      </c>
      <c r="S53" s="5">
        <v>-1.5389999999999999</v>
      </c>
      <c r="T53" t="s">
        <v>2590</v>
      </c>
      <c r="U53">
        <v>262264910</v>
      </c>
      <c r="V53">
        <v>262560140</v>
      </c>
      <c r="W53">
        <v>1.33</v>
      </c>
      <c r="X53">
        <v>0.06</v>
      </c>
      <c r="Y53">
        <v>-0.37</v>
      </c>
      <c r="Z53" t="s">
        <v>2577</v>
      </c>
      <c r="AA53" t="s">
        <v>2578</v>
      </c>
      <c r="AB53" t="s">
        <v>2579</v>
      </c>
      <c r="AC53" t="s">
        <v>2580</v>
      </c>
      <c r="AD53" t="s">
        <v>63</v>
      </c>
      <c r="AE53">
        <v>-1806818</v>
      </c>
      <c r="AF53" t="s">
        <v>2581</v>
      </c>
      <c r="AG53">
        <v>4050</v>
      </c>
      <c r="AH53" t="s">
        <v>2582</v>
      </c>
      <c r="AI53" t="s">
        <v>1242</v>
      </c>
      <c r="AJ53" t="s">
        <v>2583</v>
      </c>
      <c r="AK53" t="s">
        <v>63</v>
      </c>
      <c r="AL53" t="s">
        <v>2584</v>
      </c>
      <c r="AM53" t="s">
        <v>63</v>
      </c>
      <c r="AN53">
        <v>0</v>
      </c>
      <c r="AO53" t="s">
        <v>268</v>
      </c>
      <c r="AP53" t="s">
        <v>2585</v>
      </c>
      <c r="AQ53" t="s">
        <v>212</v>
      </c>
      <c r="AR53" t="s">
        <v>2586</v>
      </c>
      <c r="AS53" t="s">
        <v>638</v>
      </c>
      <c r="AT53" t="s">
        <v>63</v>
      </c>
      <c r="AU53" t="s">
        <v>2587</v>
      </c>
      <c r="AV53" t="s">
        <v>2588</v>
      </c>
      <c r="AW53" t="s">
        <v>2589</v>
      </c>
      <c r="AX53" t="s">
        <v>613</v>
      </c>
      <c r="AY53" t="s">
        <v>1076</v>
      </c>
      <c r="AZ53" t="s">
        <v>518</v>
      </c>
      <c r="BA53" t="s">
        <v>475</v>
      </c>
      <c r="BB53" t="s">
        <v>339</v>
      </c>
      <c r="BC53" t="s">
        <v>1498</v>
      </c>
      <c r="BD53" t="s">
        <v>1499</v>
      </c>
      <c r="BE53" t="s">
        <v>893</v>
      </c>
      <c r="BF53" t="s">
        <v>546</v>
      </c>
      <c r="BG53" t="s">
        <v>894</v>
      </c>
      <c r="BH53" t="s">
        <v>746</v>
      </c>
      <c r="BI53" t="s">
        <v>3988</v>
      </c>
      <c r="BJ53" t="s">
        <v>613</v>
      </c>
      <c r="BK53" t="s">
        <v>2590</v>
      </c>
      <c r="BL53" t="s">
        <v>3989</v>
      </c>
      <c r="BM53" t="s">
        <v>1498</v>
      </c>
      <c r="BN53">
        <v>0.41</v>
      </c>
      <c r="BO53" t="s">
        <v>63</v>
      </c>
      <c r="BP53">
        <v>2.54</v>
      </c>
      <c r="BQ53">
        <v>1.25</v>
      </c>
      <c r="BR53">
        <v>-7.67</v>
      </c>
      <c r="BS53">
        <v>3.13</v>
      </c>
      <c r="BT53" t="s">
        <v>1416</v>
      </c>
      <c r="BU53" t="s">
        <v>1848</v>
      </c>
      <c r="BV53">
        <v>38.92</v>
      </c>
      <c r="BW53">
        <v>20.440000000000001</v>
      </c>
      <c r="BX53">
        <v>34.72</v>
      </c>
      <c r="BY53">
        <v>8.86</v>
      </c>
      <c r="BZ53">
        <v>-23.37</v>
      </c>
      <c r="CA53">
        <v>7.46</v>
      </c>
      <c r="CB53">
        <v>-12.04</v>
      </c>
      <c r="CC53">
        <v>1.65</v>
      </c>
      <c r="CD53" t="s">
        <v>3990</v>
      </c>
      <c r="CE53" t="s">
        <v>207</v>
      </c>
      <c r="CF53" s="9">
        <v>-8.4980364126986674E-2</v>
      </c>
      <c r="CG53" s="10">
        <v>-1.539394731340163</v>
      </c>
      <c r="CH53" s="9">
        <v>0.21944443881511688</v>
      </c>
      <c r="CI53" s="9">
        <v>-0.22413793206214905</v>
      </c>
      <c r="CJ53" s="9">
        <v>1.9780220463871956E-2</v>
      </c>
      <c r="CK53" s="9">
        <v>3.1746033579111099E-2</v>
      </c>
      <c r="CL53" s="9">
        <v>0.12787723541259766</v>
      </c>
      <c r="CM53" s="10">
        <v>1.4695456027984619</v>
      </c>
      <c r="CN53" s="10">
        <v>-3.4159555435180664</v>
      </c>
      <c r="CO53" s="10">
        <v>-0.20075191557407379</v>
      </c>
      <c r="CP53" s="10">
        <v>4.6271596103906631E-2</v>
      </c>
      <c r="CQ53" s="10">
        <v>1.9552962854504585E-2</v>
      </c>
      <c r="CR53">
        <v>143.01170761624871</v>
      </c>
      <c r="CS53">
        <v>40.928312838361556</v>
      </c>
      <c r="CT53">
        <v>0.28708133971291866</v>
      </c>
      <c r="CU53" s="9">
        <v>3.4941999241709709E-2</v>
      </c>
      <c r="CV53" s="10">
        <v>-0.4162674594670534</v>
      </c>
      <c r="CW53">
        <v>0.06</v>
      </c>
      <c r="CX53">
        <v>52.937252764366271</v>
      </c>
      <c r="CY53">
        <v>38191507.764847703</v>
      </c>
      <c r="CZ53">
        <v>3.4941999241709709E-2</v>
      </c>
      <c r="DA53">
        <v>18.130198113658928</v>
      </c>
      <c r="DB53">
        <v>111513039.58873187</v>
      </c>
      <c r="DC53">
        <v>3.319489927962422E-2</v>
      </c>
      <c r="DD53">
        <v>9.4898604757931189</v>
      </c>
      <c r="DE53">
        <v>213043543.17506772</v>
      </c>
      <c r="DF53">
        <v>3.0748959332704544E-2</v>
      </c>
      <c r="DG53">
        <v>6.0955446084640519</v>
      </c>
      <c r="DH53">
        <v>331677254.43148535</v>
      </c>
      <c r="DI53">
        <v>2.7953599393367768E-2</v>
      </c>
      <c r="DJ53">
        <v>3.6265451624262108</v>
      </c>
      <c r="DK53">
        <v>557487473.46287501</v>
      </c>
      <c r="DL53">
        <v>2.4459399469196796E-2</v>
      </c>
      <c r="DM53">
        <v>39116200</v>
      </c>
      <c r="DN53">
        <v>3.4941999241709709E-2</v>
      </c>
      <c r="DO53">
        <v>2021753500</v>
      </c>
      <c r="DP53">
        <v>835158940</v>
      </c>
      <c r="DQ53">
        <v>2014</v>
      </c>
      <c r="DR53">
        <v>-0.11992236336869638</v>
      </c>
      <c r="DS53">
        <v>-1.1231272718731096</v>
      </c>
      <c r="DT53" s="11">
        <v>-0.42333333333333334</v>
      </c>
      <c r="DU53">
        <v>-1.415</v>
      </c>
      <c r="DV53">
        <v>-1.8383333333333334</v>
      </c>
      <c r="DW53">
        <v>-5.1370431893687707</v>
      </c>
      <c r="DX53">
        <v>0.59634938271605098</v>
      </c>
      <c r="DY53">
        <v>-5.0584282791928139</v>
      </c>
      <c r="DZ53">
        <v>4282</v>
      </c>
      <c r="EA53">
        <v>-5.0094482691098792</v>
      </c>
      <c r="EB53">
        <v>5</v>
      </c>
      <c r="EC53">
        <v>0.26305820830229598</v>
      </c>
      <c r="ED53">
        <v>0.61700149916129687</v>
      </c>
      <c r="EE53" s="12">
        <v>3.0043099999999998</v>
      </c>
      <c r="EF53">
        <v>3.0122</v>
      </c>
      <c r="EG53">
        <v>17.426349382716051</v>
      </c>
      <c r="EH53" t="s">
        <v>1451</v>
      </c>
      <c r="EI53">
        <v>0</v>
      </c>
      <c r="EJ53">
        <v>0</v>
      </c>
      <c r="EK53" s="14">
        <v>45504</v>
      </c>
      <c r="EL53" s="15">
        <v>-9.66</v>
      </c>
      <c r="EM53" s="15">
        <v>-7.83</v>
      </c>
      <c r="EN53" s="15">
        <v>-5.39</v>
      </c>
      <c r="EO53" s="15">
        <v>0.77</v>
      </c>
      <c r="EP53" s="15">
        <v>1.65</v>
      </c>
    </row>
    <row r="54" spans="1:146" ht="96" hidden="1" x14ac:dyDescent="0.25">
      <c r="A54" s="7"/>
      <c r="B54" s="7"/>
      <c r="C54" s="7" t="str">
        <f>""&amp;CHAR(10)&amp;Basic_Fundamental_Information_Constructure(F54)&amp;CHAR(10)&amp;Basic_Fundamental_Information_Concatenate("")</f>
        <v xml:space="preserve">
市值20.528974亿, 利润2301.73万; PE; 平均PE43.39; 平均PEG2.77, PB2.38; ROIC7.245%; ROE5.47%; 股利率.2071%; 毛利30.3267%; 净利3.3567%; 上一年度营收增10.84%, 利润增-50.39%; 当季营收增-43.17%, 利润增-82.98%; 过往5年营收增15.69%, 利润增.36%
Income profile:
</v>
      </c>
      <c r="D54" t="s">
        <v>115</v>
      </c>
      <c r="E54" t="s">
        <v>51</v>
      </c>
      <c r="F54">
        <v>16.899999999999999</v>
      </c>
      <c r="G54">
        <v>3.36</v>
      </c>
      <c r="H54" t="s">
        <v>3991</v>
      </c>
      <c r="I54">
        <v>2052897400</v>
      </c>
      <c r="K54">
        <v>2.38</v>
      </c>
      <c r="L54" t="s">
        <v>1277</v>
      </c>
      <c r="M54" t="s">
        <v>2591</v>
      </c>
      <c r="N54" t="s">
        <v>1716</v>
      </c>
      <c r="O54" t="s">
        <v>2592</v>
      </c>
      <c r="P54">
        <v>-43.05</v>
      </c>
      <c r="Q54" t="s">
        <v>1377</v>
      </c>
      <c r="R54">
        <v>-65169644</v>
      </c>
      <c r="S54" s="5">
        <v>-0.82979999999999998</v>
      </c>
      <c r="T54" t="s">
        <v>2604</v>
      </c>
      <c r="U54">
        <v>102804601</v>
      </c>
      <c r="V54">
        <v>121473218</v>
      </c>
      <c r="W54">
        <v>2.2200000000000002</v>
      </c>
      <c r="X54">
        <v>0.04</v>
      </c>
      <c r="Y54">
        <v>-75.8</v>
      </c>
      <c r="Z54" t="s">
        <v>256</v>
      </c>
      <c r="AA54" t="s">
        <v>316</v>
      </c>
      <c r="AB54" t="s">
        <v>2593</v>
      </c>
      <c r="AC54" t="s">
        <v>2594</v>
      </c>
      <c r="AD54" t="s">
        <v>63</v>
      </c>
      <c r="AE54">
        <v>2884196</v>
      </c>
      <c r="AF54" t="s">
        <v>2595</v>
      </c>
      <c r="AG54" t="s">
        <v>2596</v>
      </c>
      <c r="AH54" t="s">
        <v>2597</v>
      </c>
      <c r="AI54" t="s">
        <v>358</v>
      </c>
      <c r="AJ54" t="s">
        <v>2598</v>
      </c>
      <c r="AK54" t="s">
        <v>2599</v>
      </c>
      <c r="AL54" t="s">
        <v>2600</v>
      </c>
      <c r="AM54" t="s">
        <v>63</v>
      </c>
      <c r="AN54">
        <v>0</v>
      </c>
      <c r="AO54" t="s">
        <v>259</v>
      </c>
      <c r="AP54" t="s">
        <v>268</v>
      </c>
      <c r="AQ54" t="s">
        <v>738</v>
      </c>
      <c r="AR54" t="s">
        <v>63</v>
      </c>
      <c r="AS54" t="s">
        <v>241</v>
      </c>
      <c r="AT54" t="s">
        <v>63</v>
      </c>
      <c r="AU54" t="s">
        <v>1128</v>
      </c>
      <c r="AV54" t="s">
        <v>2601</v>
      </c>
      <c r="AW54" t="s">
        <v>2602</v>
      </c>
      <c r="AX54" t="s">
        <v>1500</v>
      </c>
      <c r="AY54" t="s">
        <v>1088</v>
      </c>
      <c r="AZ54" t="s">
        <v>802</v>
      </c>
      <c r="BA54" t="s">
        <v>550</v>
      </c>
      <c r="BB54" t="s">
        <v>679</v>
      </c>
      <c r="BC54" t="s">
        <v>2603</v>
      </c>
      <c r="BD54" t="s">
        <v>1183</v>
      </c>
      <c r="BE54" t="s">
        <v>895</v>
      </c>
      <c r="BF54" t="s">
        <v>551</v>
      </c>
      <c r="BG54" t="s">
        <v>896</v>
      </c>
      <c r="BH54" t="s">
        <v>1377</v>
      </c>
      <c r="BI54" t="s">
        <v>244</v>
      </c>
      <c r="BJ54" t="s">
        <v>1500</v>
      </c>
      <c r="BK54" t="s">
        <v>2604</v>
      </c>
      <c r="BL54" t="s">
        <v>3992</v>
      </c>
      <c r="BM54" t="s">
        <v>2603</v>
      </c>
      <c r="BN54" t="s">
        <v>63</v>
      </c>
      <c r="BO54">
        <v>5.05</v>
      </c>
      <c r="BP54">
        <v>9.44</v>
      </c>
      <c r="BQ54">
        <v>0.5</v>
      </c>
      <c r="BR54">
        <v>5.51</v>
      </c>
      <c r="BS54">
        <v>10.4</v>
      </c>
      <c r="BT54" t="s">
        <v>1417</v>
      </c>
      <c r="BU54" t="s">
        <v>1848</v>
      </c>
      <c r="BV54">
        <v>29.91</v>
      </c>
      <c r="BW54">
        <v>28.99</v>
      </c>
      <c r="BX54">
        <v>32.08</v>
      </c>
      <c r="BY54">
        <v>1.53</v>
      </c>
      <c r="BZ54">
        <v>3.42</v>
      </c>
      <c r="CA54">
        <v>5.12</v>
      </c>
      <c r="CB54">
        <v>10.24</v>
      </c>
      <c r="CC54">
        <v>-5.43</v>
      </c>
      <c r="CD54" t="s">
        <v>3993</v>
      </c>
      <c r="CE54" t="s">
        <v>207</v>
      </c>
      <c r="CF54" s="9">
        <v>-0.43167612903225805</v>
      </c>
      <c r="CG54" s="10">
        <v>-0.82975477726678004</v>
      </c>
      <c r="CH54" s="9">
        <v>0.10844305902719498</v>
      </c>
      <c r="CI54" s="9">
        <v>-7.0554263889789581E-2</v>
      </c>
      <c r="CJ54" s="9">
        <v>0.38346606492996216</v>
      </c>
      <c r="CK54" s="9">
        <v>9.6069872379302979E-2</v>
      </c>
      <c r="CL54" s="9">
        <v>0.2669433057308197</v>
      </c>
      <c r="CM54" s="10">
        <v>-0.50391507148742676</v>
      </c>
      <c r="CN54" s="10">
        <v>-0.35413691401481628</v>
      </c>
      <c r="CO54" s="10">
        <v>0.18534590303897858</v>
      </c>
      <c r="CP54" s="10">
        <v>1.1765656471252441</v>
      </c>
      <c r="CQ54" s="10">
        <v>-0.48584270477294922</v>
      </c>
      <c r="CR54">
        <v>43.392493054669949</v>
      </c>
      <c r="CS54">
        <v>2.766079884864642</v>
      </c>
      <c r="CT54">
        <v>0.20710059171597633</v>
      </c>
      <c r="CU54" s="9">
        <v>0.15687360763549804</v>
      </c>
      <c r="CV54" s="10">
        <v>3.6033719778060915E-3</v>
      </c>
      <c r="CW54">
        <v>0.06</v>
      </c>
      <c r="CX54">
        <v>96.170984091067155</v>
      </c>
      <c r="CY54">
        <v>25120855.555687308</v>
      </c>
      <c r="CZ54">
        <v>0.15687360763549804</v>
      </c>
      <c r="DA54">
        <v>29.710558914382435</v>
      </c>
      <c r="DB54">
        <v>81314437.973447219</v>
      </c>
      <c r="DC54">
        <v>0.14902992725372313</v>
      </c>
      <c r="DD54">
        <v>13.542174978366289</v>
      </c>
      <c r="DE54">
        <v>178398034.57416639</v>
      </c>
      <c r="DF54">
        <v>0.13804877471923827</v>
      </c>
      <c r="DG54">
        <v>7.4368277748062424</v>
      </c>
      <c r="DH54">
        <v>324855902.69877446</v>
      </c>
      <c r="DI54">
        <v>0.12549888610839843</v>
      </c>
      <c r="DJ54">
        <v>3.129457514648609</v>
      </c>
      <c r="DK54">
        <v>771986003.54581547</v>
      </c>
      <c r="DL54">
        <v>0.10981152534484862</v>
      </c>
      <c r="DM54">
        <v>23017300</v>
      </c>
      <c r="DN54">
        <v>0.15687360763549804</v>
      </c>
      <c r="DO54">
        <v>2415897400</v>
      </c>
      <c r="DP54">
        <v>679792900</v>
      </c>
      <c r="DQ54">
        <v>2020</v>
      </c>
      <c r="DR54">
        <v>-0.58854973666775612</v>
      </c>
      <c r="DS54">
        <v>-0.83335814924458618</v>
      </c>
      <c r="DT54" s="11">
        <v>-0.20666666666666669</v>
      </c>
      <c r="DU54">
        <v>-0.94833333333333336</v>
      </c>
      <c r="DV54">
        <v>-1.155</v>
      </c>
      <c r="DW54">
        <v>5.5302734375</v>
      </c>
      <c r="DX54">
        <v>0.4485092592592605</v>
      </c>
      <c r="DY54">
        <v>5.0681450466579863</v>
      </c>
      <c r="DZ54">
        <v>3747</v>
      </c>
      <c r="EA54">
        <v>5.0181568928154894</v>
      </c>
      <c r="EB54">
        <v>5</v>
      </c>
      <c r="EC54">
        <v>0.17138345672212291</v>
      </c>
      <c r="ED54">
        <v>1.3336273021103302</v>
      </c>
      <c r="EE54" s="12">
        <v>2.0491100000000002</v>
      </c>
      <c r="EF54">
        <v>2.0155099999999999</v>
      </c>
      <c r="EG54">
        <v>32.12850925925926</v>
      </c>
      <c r="EH54" t="s">
        <v>1297</v>
      </c>
      <c r="EI54">
        <v>1</v>
      </c>
      <c r="EJ54">
        <v>0</v>
      </c>
      <c r="EK54" s="14">
        <v>45504</v>
      </c>
      <c r="EL54" s="15">
        <v>-2.79</v>
      </c>
      <c r="EM54" s="15">
        <v>0.26</v>
      </c>
      <c r="EN54" s="15">
        <v>2.4700000000000002</v>
      </c>
      <c r="EO54" s="15">
        <v>2.67</v>
      </c>
      <c r="EP54" s="15">
        <v>3.36</v>
      </c>
    </row>
    <row r="55" spans="1:146" ht="96" hidden="1" x14ac:dyDescent="0.25">
      <c r="A55" s="7"/>
      <c r="B55" s="7"/>
      <c r="C55" s="7" t="str">
        <f>""&amp;CHAR(10)&amp;Basic_Fundamental_Information_Constructure(F55)&amp;CHAR(10)&amp;Basic_Fundamental_Information_Concatenate("")</f>
        <v xml:space="preserve">
市值34.877622亿, 利润1.31亿; PE26.01; 平均PE25.47; 平均PEG1.79, PB2.89; ROIC6.0267%; ROE8.5467%; 股利率1.7182%; 毛利54.4033%; 净利18.3333%; 上一年度营收增46.25%, 利润增89.99%; 当季营收增68.64%, 利润增87.31%; 过往5年营收增14.25%, 利润增16.11%
Income profile:
</v>
      </c>
      <c r="D55" t="s">
        <v>137</v>
      </c>
      <c r="E55" t="s">
        <v>41</v>
      </c>
      <c r="F55">
        <v>8.73</v>
      </c>
      <c r="G55">
        <v>4.55</v>
      </c>
      <c r="H55" t="s">
        <v>3994</v>
      </c>
      <c r="I55">
        <v>3487762200</v>
      </c>
      <c r="J55">
        <v>26.01</v>
      </c>
      <c r="K55">
        <v>2.89</v>
      </c>
      <c r="L55" t="s">
        <v>1277</v>
      </c>
      <c r="M55" t="s">
        <v>261</v>
      </c>
      <c r="N55" t="s">
        <v>2605</v>
      </c>
      <c r="O55" t="s">
        <v>285</v>
      </c>
      <c r="P55">
        <v>68.47</v>
      </c>
      <c r="Q55" t="s">
        <v>602</v>
      </c>
      <c r="R55">
        <v>6525365</v>
      </c>
      <c r="S55" s="5">
        <v>0.87309999999999999</v>
      </c>
      <c r="T55" t="s">
        <v>365</v>
      </c>
      <c r="U55">
        <v>311136830</v>
      </c>
      <c r="V55">
        <v>399514570</v>
      </c>
      <c r="W55">
        <v>1.1599999999999999</v>
      </c>
      <c r="X55">
        <v>0.08</v>
      </c>
      <c r="Y55">
        <v>4.42</v>
      </c>
      <c r="Z55" t="s">
        <v>348</v>
      </c>
      <c r="AA55" t="s">
        <v>2606</v>
      </c>
      <c r="AB55" t="s">
        <v>2607</v>
      </c>
      <c r="AC55" t="s">
        <v>2608</v>
      </c>
      <c r="AD55" t="s">
        <v>63</v>
      </c>
      <c r="AE55">
        <v>-3756672</v>
      </c>
      <c r="AF55" t="s">
        <v>2609</v>
      </c>
      <c r="AG55">
        <v>0</v>
      </c>
      <c r="AH55" t="s">
        <v>2610</v>
      </c>
      <c r="AI55" t="s">
        <v>753</v>
      </c>
      <c r="AJ55" t="s">
        <v>2611</v>
      </c>
      <c r="AK55" t="s">
        <v>1722</v>
      </c>
      <c r="AL55" t="s">
        <v>2612</v>
      </c>
      <c r="AM55" t="s">
        <v>63</v>
      </c>
      <c r="AN55">
        <v>0</v>
      </c>
      <c r="AO55" t="s">
        <v>63</v>
      </c>
      <c r="AP55" t="s">
        <v>2613</v>
      </c>
      <c r="AQ55" t="s">
        <v>2614</v>
      </c>
      <c r="AR55" t="s">
        <v>2615</v>
      </c>
      <c r="AS55" t="s">
        <v>66</v>
      </c>
      <c r="AT55" t="s">
        <v>63</v>
      </c>
      <c r="AU55" t="s">
        <v>2616</v>
      </c>
      <c r="AV55" t="s">
        <v>2617</v>
      </c>
      <c r="AW55" t="s">
        <v>2618</v>
      </c>
      <c r="AX55" t="s">
        <v>544</v>
      </c>
      <c r="AY55" t="s">
        <v>370</v>
      </c>
      <c r="AZ55" t="s">
        <v>223</v>
      </c>
      <c r="BA55" t="s">
        <v>253</v>
      </c>
      <c r="BB55" t="s">
        <v>394</v>
      </c>
      <c r="BC55" t="s">
        <v>1501</v>
      </c>
      <c r="BD55" t="s">
        <v>1184</v>
      </c>
      <c r="BE55" t="s">
        <v>314</v>
      </c>
      <c r="BF55" t="s">
        <v>554</v>
      </c>
      <c r="BG55" t="s">
        <v>463</v>
      </c>
      <c r="BH55" t="s">
        <v>602</v>
      </c>
      <c r="BI55" t="s">
        <v>3995</v>
      </c>
      <c r="BJ55" t="s">
        <v>544</v>
      </c>
      <c r="BK55" t="s">
        <v>365</v>
      </c>
      <c r="BL55" t="s">
        <v>3996</v>
      </c>
      <c r="BM55" t="s">
        <v>1501</v>
      </c>
      <c r="BN55">
        <v>9.16</v>
      </c>
      <c r="BO55">
        <v>4.0199999999999996</v>
      </c>
      <c r="BP55">
        <v>4.9000000000000004</v>
      </c>
      <c r="BQ55">
        <v>10.72</v>
      </c>
      <c r="BR55">
        <v>6.8</v>
      </c>
      <c r="BS55">
        <v>8.1199999999999992</v>
      </c>
      <c r="BT55" t="s">
        <v>1423</v>
      </c>
      <c r="BU55" t="s">
        <v>1848</v>
      </c>
      <c r="BV55">
        <v>51.75</v>
      </c>
      <c r="BW55">
        <v>53.81</v>
      </c>
      <c r="BX55">
        <v>57.65</v>
      </c>
      <c r="BY55">
        <v>21.44</v>
      </c>
      <c r="BZ55">
        <v>13.96</v>
      </c>
      <c r="CA55">
        <v>19.600000000000001</v>
      </c>
      <c r="CB55">
        <v>1.75</v>
      </c>
      <c r="CC55">
        <v>-12.53</v>
      </c>
      <c r="CD55" t="s">
        <v>3997</v>
      </c>
      <c r="CE55" t="s">
        <v>191</v>
      </c>
      <c r="CF55" s="9">
        <v>0.68642795328298678</v>
      </c>
      <c r="CG55" s="10">
        <v>0.87305959010276135</v>
      </c>
      <c r="CH55" s="9">
        <v>0.46246972680091858</v>
      </c>
      <c r="CI55" s="9">
        <v>0.11621621251106262</v>
      </c>
      <c r="CJ55" s="9">
        <v>-0.37288135290145874</v>
      </c>
      <c r="CK55" s="9">
        <v>1.2006861157715321E-2</v>
      </c>
      <c r="CL55" s="9">
        <v>0.49487179517745972</v>
      </c>
      <c r="CM55" s="10">
        <v>0.89990806579589844</v>
      </c>
      <c r="CN55" s="10">
        <v>-0.16559119522571564</v>
      </c>
      <c r="CO55" s="10">
        <v>-0.60650378465652466</v>
      </c>
      <c r="CP55" s="10">
        <v>2.4390242993831635E-2</v>
      </c>
      <c r="CQ55" s="10">
        <v>0.65322577953338623</v>
      </c>
      <c r="CR55">
        <v>25.470980783604958</v>
      </c>
      <c r="CS55">
        <v>1.7869776680503218</v>
      </c>
      <c r="CT55">
        <v>1.7182130584192439</v>
      </c>
      <c r="CU55" s="9">
        <v>0.1425366485491395</v>
      </c>
      <c r="CV55" s="10">
        <v>0.1610858216881752</v>
      </c>
      <c r="CW55">
        <v>0.06</v>
      </c>
      <c r="CX55">
        <v>17.44162356867059</v>
      </c>
      <c r="CY55">
        <v>141200283.92446914</v>
      </c>
      <c r="CZ55">
        <v>0.1425366485491395</v>
      </c>
      <c r="DA55">
        <v>5.453218528000245</v>
      </c>
      <c r="DB55">
        <v>451616267.96260482</v>
      </c>
      <c r="DC55">
        <v>0.13540981612168251</v>
      </c>
      <c r="DD55">
        <v>2.5274519143200953</v>
      </c>
      <c r="DE55">
        <v>974405165.15721822</v>
      </c>
      <c r="DF55">
        <v>0.12543225072324277</v>
      </c>
      <c r="DG55">
        <v>1.415740097160975</v>
      </c>
      <c r="DH55">
        <v>1739558132.8371279</v>
      </c>
      <c r="DI55">
        <v>0.11402931883931161</v>
      </c>
      <c r="DJ55">
        <v>0.62428962380934327</v>
      </c>
      <c r="DK55">
        <v>3944903304.6112623</v>
      </c>
      <c r="DL55">
        <v>9.9775653984397639E-2</v>
      </c>
      <c r="DM55">
        <v>131000000</v>
      </c>
      <c r="DN55">
        <v>0.1425366485491395</v>
      </c>
      <c r="DO55">
        <v>2462762200</v>
      </c>
      <c r="DP55">
        <v>787322330</v>
      </c>
      <c r="DQ55">
        <v>2023</v>
      </c>
      <c r="DR55">
        <v>0.54389130473384728</v>
      </c>
      <c r="DS55">
        <v>0.71197376841458615</v>
      </c>
      <c r="DT55" s="11">
        <v>-0.3066666666666667</v>
      </c>
      <c r="DU55">
        <v>0.33666666666666661</v>
      </c>
      <c r="DV55">
        <v>2.9999999999999916E-2</v>
      </c>
      <c r="DW55">
        <v>-2.1253000000000002</v>
      </c>
      <c r="DX55">
        <v>0.81679869281045481</v>
      </c>
      <c r="DY55">
        <v>-2.0284178762091503</v>
      </c>
      <c r="DZ55">
        <v>1725</v>
      </c>
      <c r="EA55">
        <v>-2.0188210014125989</v>
      </c>
      <c r="EB55">
        <v>2</v>
      </c>
      <c r="EC55">
        <v>8.6855906156313653E-2</v>
      </c>
      <c r="ED55">
        <v>0.38296475645431405</v>
      </c>
      <c r="EE55" s="12">
        <v>-4.1128099999999996</v>
      </c>
      <c r="EF55">
        <v>-4.06731</v>
      </c>
      <c r="EG55">
        <v>59.226798692810455</v>
      </c>
      <c r="EH55" t="s">
        <v>1800</v>
      </c>
      <c r="EI55">
        <v>0</v>
      </c>
      <c r="EJ55">
        <v>0</v>
      </c>
      <c r="EK55" s="14">
        <v>45504</v>
      </c>
      <c r="EL55" s="15">
        <v>-1.94</v>
      </c>
      <c r="EM55" s="15">
        <v>0.47</v>
      </c>
      <c r="EN55" s="15">
        <v>-0.7</v>
      </c>
      <c r="EO55" s="15">
        <v>0</v>
      </c>
      <c r="EP55" s="15">
        <v>4.55</v>
      </c>
    </row>
    <row r="56" spans="1:146" ht="108" hidden="1" x14ac:dyDescent="0.25">
      <c r="A56" s="7"/>
      <c r="B56" s="7"/>
      <c r="C56" s="7" t="str">
        <f>""&amp;CHAR(10)&amp;Basic_Fundamental_Information_Constructure(F56)&amp;CHAR(10)&amp;Basic_Fundamental_Information_Concatenate("")</f>
        <v xml:space="preserve">
市值28.873502亿, 利润523.10万; PE1341; 平均PE191.83; 平均PEG18.58, PB4.5; ROIC1.21%; ROE1.35%; 股利率.3977%; 毛利49.7033%; 净利5.82%; 上一年度营收增-11.46%, 利润增-29.84%; 当季营收增-51.86%, 利润增-147.15%; 过往5年营收增-10.33%, 利润增-26.41%
Income profile:
</v>
      </c>
      <c r="D56" t="s">
        <v>80</v>
      </c>
      <c r="E56" t="s">
        <v>22</v>
      </c>
      <c r="F56">
        <v>8.8000000000000007</v>
      </c>
      <c r="G56">
        <v>7.19</v>
      </c>
      <c r="H56" t="s">
        <v>3998</v>
      </c>
      <c r="I56">
        <v>2887350200</v>
      </c>
      <c r="J56">
        <v>1341</v>
      </c>
      <c r="K56">
        <v>4.5</v>
      </c>
      <c r="L56" t="s">
        <v>1277</v>
      </c>
      <c r="M56" t="s">
        <v>2619</v>
      </c>
      <c r="N56" t="s">
        <v>847</v>
      </c>
      <c r="O56" t="s">
        <v>2620</v>
      </c>
      <c r="P56">
        <v>-51.86</v>
      </c>
      <c r="Q56" t="s">
        <v>219</v>
      </c>
      <c r="R56">
        <v>-985961</v>
      </c>
      <c r="S56" s="5">
        <v>-1.4710000000000001</v>
      </c>
      <c r="T56" t="s">
        <v>2638</v>
      </c>
      <c r="U56">
        <v>195513200</v>
      </c>
      <c r="V56">
        <v>328107980</v>
      </c>
      <c r="W56">
        <v>1.04</v>
      </c>
      <c r="X56">
        <v>0.03</v>
      </c>
      <c r="Y56">
        <v>-5.03</v>
      </c>
      <c r="Z56" t="s">
        <v>2621</v>
      </c>
      <c r="AA56" t="s">
        <v>2622</v>
      </c>
      <c r="AB56" t="s">
        <v>2623</v>
      </c>
      <c r="AC56" t="s">
        <v>2624</v>
      </c>
      <c r="AD56" t="s">
        <v>63</v>
      </c>
      <c r="AE56">
        <v>-557953</v>
      </c>
      <c r="AF56" t="s">
        <v>2625</v>
      </c>
      <c r="AG56" t="s">
        <v>63</v>
      </c>
      <c r="AH56" t="s">
        <v>2626</v>
      </c>
      <c r="AI56" t="s">
        <v>2627</v>
      </c>
      <c r="AJ56" t="s">
        <v>2628</v>
      </c>
      <c r="AK56" t="s">
        <v>2629</v>
      </c>
      <c r="AL56" t="s">
        <v>2630</v>
      </c>
      <c r="AM56" t="s">
        <v>63</v>
      </c>
      <c r="AN56" t="s">
        <v>2631</v>
      </c>
      <c r="AO56" t="s">
        <v>63</v>
      </c>
      <c r="AP56" t="s">
        <v>2632</v>
      </c>
      <c r="AQ56" t="s">
        <v>2633</v>
      </c>
      <c r="AR56" t="s">
        <v>63</v>
      </c>
      <c r="AS56" t="s">
        <v>2634</v>
      </c>
      <c r="AT56" t="s">
        <v>63</v>
      </c>
      <c r="AU56" t="s">
        <v>2635</v>
      </c>
      <c r="AV56" t="s">
        <v>2636</v>
      </c>
      <c r="AW56">
        <v>0</v>
      </c>
      <c r="AX56" t="s">
        <v>433</v>
      </c>
      <c r="AY56" t="s">
        <v>453</v>
      </c>
      <c r="AZ56" t="s">
        <v>331</v>
      </c>
      <c r="BA56" t="s">
        <v>555</v>
      </c>
      <c r="BB56" t="s">
        <v>626</v>
      </c>
      <c r="BC56" t="s">
        <v>2637</v>
      </c>
      <c r="BD56" t="s">
        <v>1185</v>
      </c>
      <c r="BE56" t="s">
        <v>897</v>
      </c>
      <c r="BF56" t="s">
        <v>556</v>
      </c>
      <c r="BG56" t="s">
        <v>898</v>
      </c>
      <c r="BH56" t="s">
        <v>219</v>
      </c>
      <c r="BI56" t="s">
        <v>3999</v>
      </c>
      <c r="BJ56" t="s">
        <v>433</v>
      </c>
      <c r="BK56" t="s">
        <v>2638</v>
      </c>
      <c r="BL56" t="s">
        <v>4000</v>
      </c>
      <c r="BM56" t="s">
        <v>2637</v>
      </c>
      <c r="BN56">
        <v>0.5</v>
      </c>
      <c r="BO56">
        <v>1.1000000000000001</v>
      </c>
      <c r="BP56">
        <v>2.0299999999999998</v>
      </c>
      <c r="BQ56">
        <v>0.76</v>
      </c>
      <c r="BR56">
        <v>1.1499999999999999</v>
      </c>
      <c r="BS56">
        <v>2.14</v>
      </c>
      <c r="BT56" t="s">
        <v>1417</v>
      </c>
      <c r="BU56" t="s">
        <v>1848</v>
      </c>
      <c r="BV56">
        <v>47.62</v>
      </c>
      <c r="BW56">
        <v>52.31</v>
      </c>
      <c r="BX56">
        <v>49.18</v>
      </c>
      <c r="BY56">
        <v>4.09</v>
      </c>
      <c r="BZ56">
        <v>5.0599999999999996</v>
      </c>
      <c r="CA56">
        <v>8.31</v>
      </c>
      <c r="CB56">
        <v>11.39</v>
      </c>
      <c r="CC56">
        <v>12.82</v>
      </c>
      <c r="CD56" t="s">
        <v>4001</v>
      </c>
      <c r="CE56" t="s">
        <v>504</v>
      </c>
      <c r="CF56" s="9">
        <v>-0.51860976963777761</v>
      </c>
      <c r="CG56" s="10">
        <v>-1.4714809678653404</v>
      </c>
      <c r="CH56" s="9">
        <v>-0.11464968323707581</v>
      </c>
      <c r="CI56" s="9">
        <v>-5.9880238026380539E-2</v>
      </c>
      <c r="CJ56" s="9">
        <v>-0.18137255311012268</v>
      </c>
      <c r="CK56" s="9">
        <v>3.553299605846405E-2</v>
      </c>
      <c r="CL56" s="9">
        <v>-0.19591836631298065</v>
      </c>
      <c r="CM56" s="10">
        <v>-0.29844561219215393</v>
      </c>
      <c r="CN56" s="10">
        <v>-0.47428277134895325</v>
      </c>
      <c r="CO56" s="10">
        <v>-0.17946566641330719</v>
      </c>
      <c r="CP56" s="10">
        <v>-0.14082203805446625</v>
      </c>
      <c r="CQ56" s="10">
        <v>-0.22733364999294281</v>
      </c>
      <c r="CR56">
        <v>191.8262943548655</v>
      </c>
      <c r="CS56">
        <v>18.577456001607615</v>
      </c>
      <c r="CT56">
        <v>0.39772727272727265</v>
      </c>
      <c r="CU56" s="9">
        <v>-0.10325756892561913</v>
      </c>
      <c r="CV56" s="10">
        <v>-0.26406994760036467</v>
      </c>
      <c r="CW56">
        <v>0.06</v>
      </c>
      <c r="CX56" t="e">
        <v>#VALUE!</v>
      </c>
      <c r="CY56" t="s">
        <v>3817</v>
      </c>
      <c r="CZ56">
        <v>-0.10325756892561913</v>
      </c>
      <c r="DA56">
        <v>145.45480150385521</v>
      </c>
      <c r="DB56" t="s">
        <v>4002</v>
      </c>
      <c r="DC56">
        <v>-9.8094690479338165E-2</v>
      </c>
      <c r="DD56">
        <v>72.727400751927604</v>
      </c>
      <c r="DE56" t="s">
        <v>4003</v>
      </c>
      <c r="DF56">
        <v>-9.0866660654544837E-2</v>
      </c>
      <c r="DG56">
        <v>43.636440451156567</v>
      </c>
      <c r="DH56" t="s">
        <v>4004</v>
      </c>
      <c r="DI56">
        <v>-8.2606055140495308E-2</v>
      </c>
      <c r="DJ56">
        <v>21.818220225578283</v>
      </c>
      <c r="DK56" t="s">
        <v>4005</v>
      </c>
      <c r="DL56">
        <v>-7.2280298247933389E-2</v>
      </c>
      <c r="DM56">
        <v>5231000</v>
      </c>
      <c r="DN56">
        <v>-0.10325756892561913</v>
      </c>
      <c r="DO56">
        <v>2282622200</v>
      </c>
      <c r="DP56">
        <v>174090000</v>
      </c>
      <c r="DQ56">
        <v>2025</v>
      </c>
      <c r="DR56">
        <v>-0.4153522007121585</v>
      </c>
      <c r="DS56">
        <v>-1.2074110202649757</v>
      </c>
      <c r="DT56" s="11">
        <v>-0.67333333333333334</v>
      </c>
      <c r="DU56">
        <v>-1.4483333333333333</v>
      </c>
      <c r="DV56">
        <v>-2.1216666666666666</v>
      </c>
      <c r="DW56">
        <v>9.8884555382215282</v>
      </c>
      <c r="DX56">
        <v>0.66852119512194808</v>
      </c>
      <c r="DY56">
        <v>9.1141853675849465</v>
      </c>
      <c r="DZ56">
        <v>4454</v>
      </c>
      <c r="EA56">
        <v>9.0146196613940006</v>
      </c>
      <c r="EB56">
        <v>9</v>
      </c>
      <c r="EC56">
        <v>0.25695778566556049</v>
      </c>
      <c r="ED56">
        <v>1.9993418020494351</v>
      </c>
      <c r="EE56" s="12">
        <v>-5.0602</v>
      </c>
      <c r="EF56">
        <v>-5.1321000000000003</v>
      </c>
      <c r="EG56">
        <v>54.128521195121948</v>
      </c>
      <c r="EH56" t="s">
        <v>1802</v>
      </c>
      <c r="EI56">
        <v>1</v>
      </c>
      <c r="EJ56">
        <v>0</v>
      </c>
      <c r="EK56" s="14">
        <v>45504</v>
      </c>
      <c r="EL56" s="15">
        <v>-3.78</v>
      </c>
      <c r="EM56" s="15">
        <v>0.13</v>
      </c>
      <c r="EN56" s="15">
        <v>1.26</v>
      </c>
      <c r="EO56" s="15">
        <v>2.87</v>
      </c>
      <c r="EP56" s="15">
        <v>7.19</v>
      </c>
    </row>
    <row r="57" spans="1:146" ht="96" hidden="1" x14ac:dyDescent="0.25">
      <c r="A57" s="7"/>
      <c r="B57" s="7"/>
      <c r="C57" s="7" t="str">
        <f>""&amp;CHAR(10)&amp;Basic_Fundamental_Information_Constructure(F57)&amp;CHAR(10)&amp;Basic_Fundamental_Information_Concatenate("")</f>
        <v xml:space="preserve">
市值59.508亿, 利润-4720.24万; PE; 平均PE78; 平均PEG9.27, PB6.72; ROIC12.11%; ROE7.8867%; 股利率0%; 毛利52.41%; 净利5.3267%; 上一年度营收增-11.56%, 利润增-146.74%; 当季营收增7.88%, 利润增-880.36%; 过往5年营收增8.41%, 利润增-25.71%
Income profile:
</v>
      </c>
      <c r="D57" t="s">
        <v>96</v>
      </c>
      <c r="E57" t="s">
        <v>30</v>
      </c>
      <c r="F57">
        <v>22.04</v>
      </c>
      <c r="G57">
        <v>3.18</v>
      </c>
      <c r="H57" t="s">
        <v>4006</v>
      </c>
      <c r="I57">
        <v>5950800000</v>
      </c>
      <c r="K57">
        <v>6.72</v>
      </c>
      <c r="L57" t="s">
        <v>1277</v>
      </c>
      <c r="M57" t="s">
        <v>660</v>
      </c>
      <c r="N57" t="s">
        <v>2295</v>
      </c>
      <c r="O57" t="s">
        <v>342</v>
      </c>
      <c r="P57">
        <v>8.36</v>
      </c>
      <c r="Q57" t="s">
        <v>830</v>
      </c>
      <c r="R57">
        <v>-24677309</v>
      </c>
      <c r="S57" s="5">
        <v>-8.8030000000000008</v>
      </c>
      <c r="T57" t="s">
        <v>2650</v>
      </c>
      <c r="U57">
        <v>261870940</v>
      </c>
      <c r="V57">
        <v>270000000</v>
      </c>
      <c r="W57">
        <v>1.61</v>
      </c>
      <c r="X57">
        <v>0.12</v>
      </c>
      <c r="Y57">
        <v>-14.29</v>
      </c>
      <c r="Z57" t="s">
        <v>517</v>
      </c>
      <c r="AA57" t="s">
        <v>2639</v>
      </c>
      <c r="AB57" t="s">
        <v>2640</v>
      </c>
      <c r="AC57" t="s">
        <v>2641</v>
      </c>
      <c r="AD57" t="s">
        <v>63</v>
      </c>
      <c r="AE57">
        <v>-327942</v>
      </c>
      <c r="AF57" t="s">
        <v>2642</v>
      </c>
      <c r="AG57" t="s">
        <v>63</v>
      </c>
      <c r="AH57" t="s">
        <v>2643</v>
      </c>
      <c r="AI57" t="s">
        <v>626</v>
      </c>
      <c r="AJ57" t="s">
        <v>2644</v>
      </c>
      <c r="AK57" t="s">
        <v>2645</v>
      </c>
      <c r="AL57" t="s">
        <v>2646</v>
      </c>
      <c r="AM57" t="s">
        <v>63</v>
      </c>
      <c r="AN57">
        <v>0</v>
      </c>
      <c r="AO57" t="s">
        <v>1311</v>
      </c>
      <c r="AP57" t="s">
        <v>2647</v>
      </c>
      <c r="AQ57" t="s">
        <v>285</v>
      </c>
      <c r="AR57" t="s">
        <v>63</v>
      </c>
      <c r="AS57" t="s">
        <v>1064</v>
      </c>
      <c r="AT57" t="s">
        <v>63</v>
      </c>
      <c r="AU57" t="s">
        <v>1843</v>
      </c>
      <c r="AV57" t="s">
        <v>2648</v>
      </c>
      <c r="AW57" t="s">
        <v>2649</v>
      </c>
      <c r="AX57" t="s">
        <v>1040</v>
      </c>
      <c r="AY57" t="s">
        <v>288</v>
      </c>
      <c r="AZ57" t="s">
        <v>899</v>
      </c>
      <c r="BA57" t="s">
        <v>338</v>
      </c>
      <c r="BB57" t="s">
        <v>404</v>
      </c>
      <c r="BC57" t="s">
        <v>181</v>
      </c>
      <c r="BD57" t="s">
        <v>505</v>
      </c>
      <c r="BE57" t="s">
        <v>276</v>
      </c>
      <c r="BF57" t="s">
        <v>557</v>
      </c>
      <c r="BG57" t="s">
        <v>900</v>
      </c>
      <c r="BH57" t="s">
        <v>830</v>
      </c>
      <c r="BI57" t="s">
        <v>588</v>
      </c>
      <c r="BJ57" t="s">
        <v>1040</v>
      </c>
      <c r="BK57" t="s">
        <v>2650</v>
      </c>
      <c r="BL57" t="s">
        <v>4007</v>
      </c>
      <c r="BM57" t="s">
        <v>181</v>
      </c>
      <c r="BN57" t="s">
        <v>63</v>
      </c>
      <c r="BO57">
        <v>10.57</v>
      </c>
      <c r="BP57">
        <v>13.65</v>
      </c>
      <c r="BQ57">
        <v>-2.13</v>
      </c>
      <c r="BR57">
        <v>11.34</v>
      </c>
      <c r="BS57">
        <v>14.45</v>
      </c>
      <c r="BT57" t="s">
        <v>1409</v>
      </c>
      <c r="BU57" t="s">
        <v>1848</v>
      </c>
      <c r="BV57">
        <v>46.19</v>
      </c>
      <c r="BW57">
        <v>54.61</v>
      </c>
      <c r="BX57">
        <v>56.43</v>
      </c>
      <c r="BY57">
        <v>-4.88</v>
      </c>
      <c r="BZ57">
        <v>9.39</v>
      </c>
      <c r="CA57">
        <v>11.47</v>
      </c>
      <c r="CB57">
        <v>9.16</v>
      </c>
      <c r="CC57">
        <v>10.029999999999999</v>
      </c>
      <c r="CD57" t="s">
        <v>4008</v>
      </c>
      <c r="CE57" t="s">
        <v>803</v>
      </c>
      <c r="CF57" s="9">
        <v>7.8787878787878782E-2</v>
      </c>
      <c r="CG57" s="10">
        <v>-8.8035951680738709</v>
      </c>
      <c r="CH57" s="9">
        <v>-0.1155596524477005</v>
      </c>
      <c r="CI57" s="9">
        <v>7.1150161325931549E-2</v>
      </c>
      <c r="CJ57" s="9">
        <v>0.19580419361591339</v>
      </c>
      <c r="CK57" s="9">
        <v>8.0604530870914459E-2</v>
      </c>
      <c r="CL57" s="9">
        <v>0.18862275779247284</v>
      </c>
      <c r="CM57" s="10">
        <v>-1.4673504829406738</v>
      </c>
      <c r="CN57" s="10">
        <v>-0.12931033968925476</v>
      </c>
      <c r="CO57" s="10">
        <v>0.12621359527111053</v>
      </c>
      <c r="CP57" s="10">
        <v>4.540933296084404E-2</v>
      </c>
      <c r="CQ57" s="10">
        <v>0.13961648941040039</v>
      </c>
      <c r="CR57">
        <v>77.995714089112866</v>
      </c>
      <c r="CS57">
        <v>9.2714736424589166</v>
      </c>
      <c r="CT57">
        <v>0</v>
      </c>
      <c r="CU57" s="9">
        <v>8.4124398231506345E-2</v>
      </c>
      <c r="CV57" s="10">
        <v>-0.25708428099751474</v>
      </c>
      <c r="CW57">
        <v>0.06</v>
      </c>
      <c r="CX57" t="e">
        <v>#VALUE!</v>
      </c>
      <c r="CY57" t="s">
        <v>1282</v>
      </c>
      <c r="CZ57">
        <v>8.4124398231506345E-2</v>
      </c>
      <c r="DA57" t="e">
        <v>#VALUE!</v>
      </c>
      <c r="DB57" t="s">
        <v>1283</v>
      </c>
      <c r="DC57">
        <v>7.9918178319931019E-2</v>
      </c>
      <c r="DD57" t="e">
        <v>#VALUE!</v>
      </c>
      <c r="DE57" t="s">
        <v>1283</v>
      </c>
      <c r="DF57">
        <v>7.4029470443725584E-2</v>
      </c>
      <c r="DG57" t="e">
        <v>#VALUE!</v>
      </c>
      <c r="DH57" t="s">
        <v>1283</v>
      </c>
      <c r="DI57">
        <v>6.7299518585205081E-2</v>
      </c>
      <c r="DJ57" t="e">
        <v>#VALUE!</v>
      </c>
      <c r="DK57" t="s">
        <v>1283</v>
      </c>
      <c r="DL57">
        <v>5.8887078762054436E-2</v>
      </c>
      <c r="DM57">
        <v>-47202400</v>
      </c>
      <c r="DN57">
        <v>8.4124398231506345E-2</v>
      </c>
      <c r="DO57">
        <v>5652800000</v>
      </c>
      <c r="DP57">
        <v>579162210</v>
      </c>
      <c r="DQ57">
        <v>2042</v>
      </c>
      <c r="DR57">
        <v>-5.3365194436275631E-3</v>
      </c>
      <c r="DS57">
        <v>-8.5465108870763569</v>
      </c>
      <c r="DT57" s="11">
        <v>-0.20666666666666669</v>
      </c>
      <c r="DU57">
        <v>-1.6483333333333334</v>
      </c>
      <c r="DV57">
        <v>-1.8550000000000002</v>
      </c>
      <c r="DW57">
        <v>9.913260219341975</v>
      </c>
      <c r="DX57">
        <v>0.37471961325966774</v>
      </c>
      <c r="DY57">
        <v>9.1139014613617704</v>
      </c>
      <c r="DZ57">
        <v>4290</v>
      </c>
      <c r="EA57">
        <v>9.018240288839845</v>
      </c>
      <c r="EB57">
        <v>9</v>
      </c>
      <c r="EC57">
        <v>0.16721666666666668</v>
      </c>
      <c r="ED57">
        <v>1.3407407407407408</v>
      </c>
      <c r="EE57" s="12">
        <v>-1.1355</v>
      </c>
      <c r="EF57">
        <v>1.730000000000001E-2</v>
      </c>
      <c r="EG57">
        <v>25.124719613259668</v>
      </c>
      <c r="EH57" t="s">
        <v>1099</v>
      </c>
      <c r="EI57">
        <v>1</v>
      </c>
      <c r="EJ57">
        <v>0</v>
      </c>
      <c r="EK57" s="14">
        <v>45504</v>
      </c>
      <c r="EL57" s="15">
        <v>-2.93</v>
      </c>
      <c r="EM57" s="15">
        <v>-1.63</v>
      </c>
      <c r="EN57" s="15">
        <v>0.55000000000000004</v>
      </c>
      <c r="EO57" s="15">
        <v>10.42</v>
      </c>
      <c r="EP57" s="15">
        <v>3.18</v>
      </c>
    </row>
    <row r="58" spans="1:146" ht="96" hidden="1" x14ac:dyDescent="0.25">
      <c r="A58" s="7"/>
      <c r="B58" s="7"/>
      <c r="C58" s="7" t="str">
        <f>""&amp;CHAR(10)&amp;Basic_Fundamental_Information_Constructure(F58)&amp;CHAR(10)&amp;Basic_Fundamental_Information_Concatenate("")</f>
        <v xml:space="preserve">
市值66.721885亿, 利润1.88亿; PE32.14; 平均PE136.33; 平均PEG4.57, PB4.24; ROIC3.06%; ROE-8.3333%; 股利率.3902%; 毛利19.4867%; 净利.9233%; 上一年度营收增.91%, 利润增211.9%; 当季营收增.72%, 利润增30.06%; 过往5年营收增29.83%, 利润增79.32%
Income profile:
</v>
      </c>
      <c r="D58" t="s">
        <v>71</v>
      </c>
      <c r="E58" t="s">
        <v>19</v>
      </c>
      <c r="F58">
        <v>30.75</v>
      </c>
      <c r="G58">
        <v>2.64</v>
      </c>
      <c r="H58" t="s">
        <v>4009</v>
      </c>
      <c r="I58">
        <v>6672188500</v>
      </c>
      <c r="J58">
        <v>32.14</v>
      </c>
      <c r="K58">
        <v>4.24</v>
      </c>
      <c r="L58" t="s">
        <v>1277</v>
      </c>
      <c r="M58" t="s">
        <v>814</v>
      </c>
      <c r="N58" t="s">
        <v>1783</v>
      </c>
      <c r="O58" t="s">
        <v>403</v>
      </c>
      <c r="P58">
        <v>0.82</v>
      </c>
      <c r="Q58" t="s">
        <v>2663</v>
      </c>
      <c r="R58">
        <v>-45501081</v>
      </c>
      <c r="S58" s="5">
        <v>0.30059999999999998</v>
      </c>
      <c r="T58" t="s">
        <v>794</v>
      </c>
      <c r="U58">
        <v>216920980</v>
      </c>
      <c r="V58">
        <v>216981740</v>
      </c>
      <c r="W58">
        <v>1.4</v>
      </c>
      <c r="X58">
        <v>0.18</v>
      </c>
      <c r="Y58">
        <v>-11.46</v>
      </c>
      <c r="Z58" t="s">
        <v>808</v>
      </c>
      <c r="AA58" t="s">
        <v>766</v>
      </c>
      <c r="AB58" t="s">
        <v>2651</v>
      </c>
      <c r="AC58" t="s">
        <v>2652</v>
      </c>
      <c r="AD58" t="s">
        <v>63</v>
      </c>
      <c r="AE58">
        <v>1265120</v>
      </c>
      <c r="AF58" t="s">
        <v>2653</v>
      </c>
      <c r="AG58">
        <v>2003.56</v>
      </c>
      <c r="AH58" t="s">
        <v>2654</v>
      </c>
      <c r="AI58" t="s">
        <v>734</v>
      </c>
      <c r="AJ58" t="s">
        <v>2655</v>
      </c>
      <c r="AK58" t="s">
        <v>2656</v>
      </c>
      <c r="AL58" t="s">
        <v>2657</v>
      </c>
      <c r="AM58" t="s">
        <v>63</v>
      </c>
      <c r="AN58" t="s">
        <v>2658</v>
      </c>
      <c r="AO58" t="s">
        <v>543</v>
      </c>
      <c r="AP58" t="s">
        <v>2659</v>
      </c>
      <c r="AQ58" t="s">
        <v>2660</v>
      </c>
      <c r="AR58" t="s">
        <v>63</v>
      </c>
      <c r="AS58" t="s">
        <v>527</v>
      </c>
      <c r="AT58" t="s">
        <v>63</v>
      </c>
      <c r="AU58" t="s">
        <v>2661</v>
      </c>
      <c r="AV58" t="s">
        <v>306</v>
      </c>
      <c r="AW58" t="s">
        <v>2662</v>
      </c>
      <c r="AX58" t="s">
        <v>1387</v>
      </c>
      <c r="AY58" t="s">
        <v>1082</v>
      </c>
      <c r="AZ58" t="s">
        <v>623</v>
      </c>
      <c r="BA58" t="s">
        <v>246</v>
      </c>
      <c r="BB58" t="s">
        <v>698</v>
      </c>
      <c r="BC58" t="s">
        <v>1502</v>
      </c>
      <c r="BD58" t="s">
        <v>1503</v>
      </c>
      <c r="BE58" t="s">
        <v>902</v>
      </c>
      <c r="BF58" t="s">
        <v>278</v>
      </c>
      <c r="BG58" t="s">
        <v>903</v>
      </c>
      <c r="BH58" t="s">
        <v>2663</v>
      </c>
      <c r="BI58" t="s">
        <v>667</v>
      </c>
      <c r="BJ58" t="s">
        <v>1387</v>
      </c>
      <c r="BK58" t="s">
        <v>794</v>
      </c>
      <c r="BL58" t="s">
        <v>4010</v>
      </c>
      <c r="BM58" t="s">
        <v>1502</v>
      </c>
      <c r="BN58" t="s">
        <v>63</v>
      </c>
      <c r="BO58" t="s">
        <v>63</v>
      </c>
      <c r="BP58">
        <v>3.06</v>
      </c>
      <c r="BQ58">
        <v>-13.25</v>
      </c>
      <c r="BR58">
        <v>-14.75</v>
      </c>
      <c r="BS58">
        <v>3</v>
      </c>
      <c r="BT58" t="s">
        <v>2664</v>
      </c>
      <c r="BU58" t="s">
        <v>1848</v>
      </c>
      <c r="BV58">
        <v>17.399999999999999</v>
      </c>
      <c r="BW58">
        <v>18.73</v>
      </c>
      <c r="BX58">
        <v>22.33</v>
      </c>
      <c r="BY58">
        <v>9.77</v>
      </c>
      <c r="BZ58">
        <v>-9.1199999999999992</v>
      </c>
      <c r="CA58">
        <v>2.12</v>
      </c>
      <c r="CB58">
        <v>2.5</v>
      </c>
      <c r="CC58">
        <v>0.49</v>
      </c>
      <c r="CD58" t="s">
        <v>4011</v>
      </c>
      <c r="CE58" t="s">
        <v>378</v>
      </c>
      <c r="CF58" s="9">
        <v>7.2115384615386051E-3</v>
      </c>
      <c r="CG58" s="10">
        <v>0.30059454200022134</v>
      </c>
      <c r="CH58" s="9">
        <v>9.1349082067608833E-3</v>
      </c>
      <c r="CI58" s="9">
        <v>0.30688196420669556</v>
      </c>
      <c r="CJ58" s="9">
        <v>0.51812368631362915</v>
      </c>
      <c r="CK58" s="9">
        <v>0.42121210694313049</v>
      </c>
      <c r="CL58" s="9">
        <v>0.23595505952835083</v>
      </c>
      <c r="CM58" s="10">
        <v>2.1190476417541504</v>
      </c>
      <c r="CN58" s="10">
        <v>-6.6257472038269043</v>
      </c>
      <c r="CO58" s="10">
        <v>-0.49263486266136169</v>
      </c>
      <c r="CP58" s="10">
        <v>-0.65172547101974487</v>
      </c>
      <c r="CQ58" s="10">
        <v>9.6169776916503906</v>
      </c>
      <c r="CR58">
        <v>136.33451619165029</v>
      </c>
      <c r="CS58">
        <v>4.5709719693665987</v>
      </c>
      <c r="CT58">
        <v>0.39024390243902435</v>
      </c>
      <c r="CU58" s="9">
        <v>0.29826154503971336</v>
      </c>
      <c r="CV58" s="10">
        <v>0.79318355917930605</v>
      </c>
      <c r="CW58">
        <v>0.06</v>
      </c>
      <c r="CX58">
        <v>25.741542169369541</v>
      </c>
      <c r="CY58">
        <v>230257707.9881756</v>
      </c>
      <c r="CZ58">
        <v>0.29826154503971336</v>
      </c>
      <c r="DA58">
        <v>7.0829760489706191</v>
      </c>
      <c r="DB58">
        <v>836821762.35248017</v>
      </c>
      <c r="DC58">
        <v>0.28334846778772765</v>
      </c>
      <c r="DD58">
        <v>2.726862445391145</v>
      </c>
      <c r="DE58">
        <v>2173629443.6185966</v>
      </c>
      <c r="DF58">
        <v>0.26247015963494774</v>
      </c>
      <c r="DG58">
        <v>1.2138010421061987</v>
      </c>
      <c r="DH58">
        <v>4883163133.3213291</v>
      </c>
      <c r="DI58">
        <v>0.2386092360317707</v>
      </c>
      <c r="DJ58">
        <v>0.3024400199423149</v>
      </c>
      <c r="DK58">
        <v>19597897464.530346</v>
      </c>
      <c r="DL58">
        <v>0.20878308152779934</v>
      </c>
      <c r="DM58">
        <v>188000000</v>
      </c>
      <c r="DN58">
        <v>0.29826154503971336</v>
      </c>
      <c r="DO58">
        <v>5927188500</v>
      </c>
      <c r="DP58">
        <v>930773700</v>
      </c>
      <c r="DQ58">
        <v>2061</v>
      </c>
      <c r="DR58">
        <v>-0.29105000657817476</v>
      </c>
      <c r="DS58">
        <v>-0.49258901717908471</v>
      </c>
      <c r="DT58" s="11">
        <v>5.9999999999999908E-2</v>
      </c>
      <c r="DU58">
        <v>-0.63000000000000012</v>
      </c>
      <c r="DV58">
        <v>-0.57000000000000017</v>
      </c>
      <c r="DW58">
        <v>4.1959999999999997</v>
      </c>
      <c r="DX58">
        <v>0.4827840375586851</v>
      </c>
      <c r="DY58">
        <v>4.033865671361502</v>
      </c>
      <c r="DZ58">
        <v>3053</v>
      </c>
      <c r="EA58">
        <v>4.0136245016930081</v>
      </c>
      <c r="EB58">
        <v>4</v>
      </c>
      <c r="EC58">
        <v>0.16961335087459434</v>
      </c>
      <c r="ED58">
        <v>0.98164942358744101</v>
      </c>
      <c r="EE58" s="12">
        <v>2.01281</v>
      </c>
      <c r="EF58">
        <v>2.0135999999999998</v>
      </c>
      <c r="EG58">
        <v>31.172784037558685</v>
      </c>
      <c r="EH58" t="s">
        <v>1439</v>
      </c>
      <c r="EI58">
        <v>0</v>
      </c>
      <c r="EJ58">
        <v>0</v>
      </c>
      <c r="EK58" s="14">
        <v>45504</v>
      </c>
      <c r="EL58" s="15">
        <v>-3.23</v>
      </c>
      <c r="EM58" s="15">
        <v>-1</v>
      </c>
      <c r="EN58" s="15">
        <v>0.17</v>
      </c>
      <c r="EO58" s="15">
        <v>2.0499999999999998</v>
      </c>
      <c r="EP58" s="15">
        <v>2.64</v>
      </c>
    </row>
    <row r="59" spans="1:146" ht="108" hidden="1" x14ac:dyDescent="0.25">
      <c r="A59" s="7"/>
      <c r="B59" s="7"/>
      <c r="C59" s="7" t="str">
        <f>""&amp;CHAR(10)&amp;Basic_Fundamental_Information_Constructure(F59)&amp;CHAR(10)&amp;Basic_Fundamental_Information_Concatenate("")</f>
        <v xml:space="preserve">
市值17.089789亿, 利润1687.97万; PE241.3; 平均PE37.09; 平均PEG54.22, PB3.09; ROIC5.7833%; ROE6.59%; 股利率.385%; 毛利24.97%; 净利6.2367%; 上一年度营收增-6.02%, 利润增-57.05%; 当季营收增-37.97%, 利润增-233.65%; 过往5年营收增-.68%, 利润增-16.64%
Income profile:
</v>
      </c>
      <c r="D59" t="s">
        <v>142</v>
      </c>
      <c r="E59" t="s">
        <v>45</v>
      </c>
      <c r="F59">
        <v>10.39</v>
      </c>
      <c r="G59">
        <v>3.08</v>
      </c>
      <c r="H59" t="s">
        <v>4012</v>
      </c>
      <c r="I59">
        <v>1708978900</v>
      </c>
      <c r="J59">
        <v>241.3</v>
      </c>
      <c r="K59">
        <v>3.09</v>
      </c>
      <c r="L59" t="s">
        <v>1277</v>
      </c>
      <c r="M59" t="s">
        <v>1587</v>
      </c>
      <c r="N59" t="s">
        <v>771</v>
      </c>
      <c r="O59" t="s">
        <v>2665</v>
      </c>
      <c r="P59">
        <v>-38.18</v>
      </c>
      <c r="Q59" t="s">
        <v>714</v>
      </c>
      <c r="R59">
        <v>-5604549</v>
      </c>
      <c r="S59" s="5">
        <v>-2.3359999999999999</v>
      </c>
      <c r="T59" t="s">
        <v>2681</v>
      </c>
      <c r="U59">
        <v>112797901</v>
      </c>
      <c r="V59">
        <v>164483050</v>
      </c>
      <c r="W59">
        <v>2.27</v>
      </c>
      <c r="X59">
        <v>0.05</v>
      </c>
      <c r="Y59">
        <v>-9.4600000000000009</v>
      </c>
      <c r="Z59" t="s">
        <v>2666</v>
      </c>
      <c r="AA59" t="s">
        <v>2667</v>
      </c>
      <c r="AB59" t="s">
        <v>2668</v>
      </c>
      <c r="AC59" t="s">
        <v>2669</v>
      </c>
      <c r="AD59" t="s">
        <v>63</v>
      </c>
      <c r="AE59">
        <v>3011498</v>
      </c>
      <c r="AF59" t="s">
        <v>2670</v>
      </c>
      <c r="AG59">
        <v>0</v>
      </c>
      <c r="AH59" t="s">
        <v>2671</v>
      </c>
      <c r="AI59" t="s">
        <v>211</v>
      </c>
      <c r="AJ59" t="s">
        <v>2672</v>
      </c>
      <c r="AK59" t="s">
        <v>2673</v>
      </c>
      <c r="AL59" t="s">
        <v>2674</v>
      </c>
      <c r="AM59" t="s">
        <v>63</v>
      </c>
      <c r="AN59" t="s">
        <v>2675</v>
      </c>
      <c r="AO59" t="s">
        <v>244</v>
      </c>
      <c r="AP59" t="s">
        <v>2676</v>
      </c>
      <c r="AQ59" t="s">
        <v>179</v>
      </c>
      <c r="AR59" t="s">
        <v>63</v>
      </c>
      <c r="AS59" t="s">
        <v>371</v>
      </c>
      <c r="AT59" t="s">
        <v>63</v>
      </c>
      <c r="AU59" t="s">
        <v>2677</v>
      </c>
      <c r="AV59" t="s">
        <v>2678</v>
      </c>
      <c r="AW59" t="s">
        <v>2679</v>
      </c>
      <c r="AX59" t="s">
        <v>484</v>
      </c>
      <c r="AY59" t="s">
        <v>411</v>
      </c>
      <c r="AZ59" t="s">
        <v>821</v>
      </c>
      <c r="BA59" t="s">
        <v>422</v>
      </c>
      <c r="BB59" t="s">
        <v>423</v>
      </c>
      <c r="BC59" t="s">
        <v>2680</v>
      </c>
      <c r="BD59" t="s">
        <v>1186</v>
      </c>
      <c r="BE59" t="s">
        <v>904</v>
      </c>
      <c r="BF59" t="s">
        <v>562</v>
      </c>
      <c r="BG59" t="s">
        <v>905</v>
      </c>
      <c r="BH59" t="s">
        <v>714</v>
      </c>
      <c r="BI59" t="s">
        <v>348</v>
      </c>
      <c r="BJ59" t="s">
        <v>484</v>
      </c>
      <c r="BK59" t="s">
        <v>2681</v>
      </c>
      <c r="BL59" t="s">
        <v>4013</v>
      </c>
      <c r="BM59" t="s">
        <v>2680</v>
      </c>
      <c r="BN59">
        <v>2.99</v>
      </c>
      <c r="BO59">
        <v>5.9</v>
      </c>
      <c r="BP59">
        <v>8.4600000000000009</v>
      </c>
      <c r="BQ59">
        <v>2.91</v>
      </c>
      <c r="BR59">
        <v>7.4</v>
      </c>
      <c r="BS59">
        <v>9.4600000000000009</v>
      </c>
      <c r="BT59" t="s">
        <v>1420</v>
      </c>
      <c r="BU59" t="s">
        <v>1848</v>
      </c>
      <c r="BV59">
        <v>25.79</v>
      </c>
      <c r="BW59">
        <v>25.58</v>
      </c>
      <c r="BX59">
        <v>23.54</v>
      </c>
      <c r="BY59">
        <v>3.51</v>
      </c>
      <c r="BZ59">
        <v>7.52</v>
      </c>
      <c r="CA59">
        <v>7.68</v>
      </c>
      <c r="CB59">
        <v>-7.23</v>
      </c>
      <c r="CC59">
        <v>9.83</v>
      </c>
      <c r="CD59" t="s">
        <v>4014</v>
      </c>
      <c r="CE59" t="s">
        <v>299</v>
      </c>
      <c r="CF59" s="9">
        <v>-0.37972264150943402</v>
      </c>
      <c r="CG59" s="10">
        <v>-2.336452928271652</v>
      </c>
      <c r="CH59" s="9">
        <v>-6.0194175690412521E-2</v>
      </c>
      <c r="CI59" s="9">
        <v>-0.15849673748016357</v>
      </c>
      <c r="CJ59" s="9">
        <v>0.21912351250648499</v>
      </c>
      <c r="CK59" s="9">
        <v>-0.11463844776153564</v>
      </c>
      <c r="CL59" s="9">
        <v>7.9999998211860657E-2</v>
      </c>
      <c r="CM59" s="10">
        <v>-0.57052278518676758</v>
      </c>
      <c r="CN59" s="10">
        <v>-0.16455376148223877</v>
      </c>
      <c r="CO59" s="10">
        <v>-0.20178022980690002</v>
      </c>
      <c r="CP59" s="10">
        <v>-2.966022863984108E-2</v>
      </c>
      <c r="CQ59" s="10">
        <v>0.13449899852275848</v>
      </c>
      <c r="CR59">
        <v>37.092810222027843</v>
      </c>
      <c r="CS59">
        <v>54.219979901420331</v>
      </c>
      <c r="CT59">
        <v>0.38498556304138593</v>
      </c>
      <c r="CU59" s="9">
        <v>-6.84117004275322E-3</v>
      </c>
      <c r="CV59" s="10">
        <v>-0.1664036013185978</v>
      </c>
      <c r="CW59">
        <v>0.06</v>
      </c>
      <c r="CX59" t="e">
        <v>#VALUE!</v>
      </c>
      <c r="CY59" t="s">
        <v>3817</v>
      </c>
      <c r="CZ59">
        <v>-6.84117004275322E-3</v>
      </c>
      <c r="DA59">
        <v>38.092677397505092</v>
      </c>
      <c r="DB59" t="s">
        <v>4015</v>
      </c>
      <c r="DC59">
        <v>-6.4991115406155585E-3</v>
      </c>
      <c r="DD59">
        <v>19.046338698752546</v>
      </c>
      <c r="DE59" t="s">
        <v>4016</v>
      </c>
      <c r="DF59">
        <v>-6.0202296376228332E-3</v>
      </c>
      <c r="DG59">
        <v>11.427803219251526</v>
      </c>
      <c r="DH59" t="s">
        <v>4017</v>
      </c>
      <c r="DI59">
        <v>-5.472936034202576E-3</v>
      </c>
      <c r="DJ59">
        <v>5.7139016096257631</v>
      </c>
      <c r="DK59" t="s">
        <v>4018</v>
      </c>
      <c r="DL59">
        <v>-4.788819029927254E-3</v>
      </c>
      <c r="DM59">
        <v>16879700</v>
      </c>
      <c r="DN59">
        <v>-6.84117004275322E-3</v>
      </c>
      <c r="DO59">
        <v>1928978900</v>
      </c>
      <c r="DP59">
        <v>478312470</v>
      </c>
      <c r="DQ59">
        <v>2068</v>
      </c>
      <c r="DR59">
        <v>-0.37288147146668082</v>
      </c>
      <c r="DS59">
        <v>-2.1700493269530541</v>
      </c>
      <c r="DT59" s="11">
        <v>-0.45666666666666672</v>
      </c>
      <c r="DU59">
        <v>-1.3483333333333334</v>
      </c>
      <c r="DV59">
        <v>-1.8050000000000002</v>
      </c>
      <c r="DW59">
        <v>-7.4237983587338805</v>
      </c>
      <c r="DX59">
        <v>0.42893425605536306</v>
      </c>
      <c r="DY59">
        <v>-7.0843080112122081</v>
      </c>
      <c r="DZ59">
        <v>4255</v>
      </c>
      <c r="EA59">
        <v>-7.0140788436891182</v>
      </c>
      <c r="EB59">
        <v>7</v>
      </c>
      <c r="EC59">
        <v>0.34953145628075355</v>
      </c>
      <c r="ED59">
        <v>1.7570199482560664</v>
      </c>
      <c r="EE59" s="12">
        <v>-1.06921</v>
      </c>
      <c r="EF59">
        <v>-1.0384100000000001</v>
      </c>
      <c r="EG59">
        <v>23.198934256055363</v>
      </c>
      <c r="EH59" t="s">
        <v>1285</v>
      </c>
      <c r="EI59">
        <v>0</v>
      </c>
      <c r="EJ59">
        <v>0</v>
      </c>
      <c r="EK59" s="14">
        <v>45504</v>
      </c>
      <c r="EL59" s="15">
        <v>0.9</v>
      </c>
      <c r="EM59" s="15">
        <v>-3.39</v>
      </c>
      <c r="EN59" s="15">
        <v>-3.88</v>
      </c>
      <c r="EO59" s="15">
        <v>-0.38</v>
      </c>
      <c r="EP59" s="15">
        <v>3.08</v>
      </c>
    </row>
    <row r="60" spans="1:146" ht="108" hidden="1" x14ac:dyDescent="0.25">
      <c r="A60" s="7"/>
      <c r="B60" s="7"/>
      <c r="C60" s="7" t="str">
        <f>""&amp;CHAR(10)&amp;Basic_Fundamental_Information_Constructure(F60)&amp;CHAR(10)&amp;Basic_Fundamental_Information_Concatenate("")</f>
        <v xml:space="preserve">
市值30.270155亿, 利润2202.17万; PE136.1; 平均PE52.16; 平均PEG18.54, PB1.98; ROIC3.885%; ROE1.4167%; 股利率.1094%; 毛利38.9567%; 净利3.5333%; 上一年度营收增4.32%, 利润增27.6%; 当季营收增17.26%, 利润增.48%; 过往5年营收增2.81%, 利润增-14.52%
Income profile:
</v>
      </c>
      <c r="D60" t="s">
        <v>143</v>
      </c>
      <c r="E60" t="s">
        <v>7</v>
      </c>
      <c r="F60">
        <v>9.14</v>
      </c>
      <c r="G60">
        <v>3.04</v>
      </c>
      <c r="H60" t="s">
        <v>4019</v>
      </c>
      <c r="I60">
        <v>3027015500</v>
      </c>
      <c r="J60">
        <v>136.1</v>
      </c>
      <c r="K60">
        <v>1.98</v>
      </c>
      <c r="L60" t="s">
        <v>1277</v>
      </c>
      <c r="M60" t="s">
        <v>462</v>
      </c>
      <c r="N60" t="s">
        <v>715</v>
      </c>
      <c r="O60" t="s">
        <v>2682</v>
      </c>
      <c r="P60">
        <v>17.260000000000002</v>
      </c>
      <c r="Q60" t="s">
        <v>2698</v>
      </c>
      <c r="R60">
        <v>-44988895</v>
      </c>
      <c r="S60" s="5">
        <v>4.7699999999999999E-3</v>
      </c>
      <c r="T60" t="s">
        <v>2699</v>
      </c>
      <c r="U60">
        <v>275070260</v>
      </c>
      <c r="V60">
        <v>331183310</v>
      </c>
      <c r="W60">
        <v>1.56</v>
      </c>
      <c r="X60">
        <v>0.04</v>
      </c>
      <c r="Y60">
        <v>-52.59</v>
      </c>
      <c r="Z60" t="s">
        <v>322</v>
      </c>
      <c r="AA60" t="s">
        <v>2683</v>
      </c>
      <c r="AB60" t="s">
        <v>2684</v>
      </c>
      <c r="AC60" t="s">
        <v>2685</v>
      </c>
      <c r="AD60" t="s">
        <v>63</v>
      </c>
      <c r="AE60">
        <v>5244009</v>
      </c>
      <c r="AF60" t="s">
        <v>2686</v>
      </c>
      <c r="AG60" t="s">
        <v>2687</v>
      </c>
      <c r="AH60" t="s">
        <v>2688</v>
      </c>
      <c r="AI60" t="s">
        <v>2530</v>
      </c>
      <c r="AJ60" t="s">
        <v>2689</v>
      </c>
      <c r="AK60" t="s">
        <v>2690</v>
      </c>
      <c r="AL60" t="s">
        <v>2691</v>
      </c>
      <c r="AM60" t="s">
        <v>63</v>
      </c>
      <c r="AN60">
        <v>0</v>
      </c>
      <c r="AO60" t="s">
        <v>459</v>
      </c>
      <c r="AP60" t="s">
        <v>63</v>
      </c>
      <c r="AQ60" t="s">
        <v>2692</v>
      </c>
      <c r="AR60" t="s">
        <v>63</v>
      </c>
      <c r="AS60" t="s">
        <v>602</v>
      </c>
      <c r="AT60" t="s">
        <v>2693</v>
      </c>
      <c r="AU60" t="s">
        <v>2694</v>
      </c>
      <c r="AV60" t="s">
        <v>2695</v>
      </c>
      <c r="AW60" t="s">
        <v>2696</v>
      </c>
      <c r="AX60" t="s">
        <v>1044</v>
      </c>
      <c r="AY60" t="s">
        <v>758</v>
      </c>
      <c r="AZ60" t="s">
        <v>756</v>
      </c>
      <c r="BA60" t="s">
        <v>563</v>
      </c>
      <c r="BB60" t="s">
        <v>751</v>
      </c>
      <c r="BC60" t="s">
        <v>2697</v>
      </c>
      <c r="BD60" t="s">
        <v>1187</v>
      </c>
      <c r="BE60" t="s">
        <v>906</v>
      </c>
      <c r="BF60" t="s">
        <v>564</v>
      </c>
      <c r="BG60" t="s">
        <v>907</v>
      </c>
      <c r="BH60" t="s">
        <v>2698</v>
      </c>
      <c r="BI60" t="s">
        <v>4020</v>
      </c>
      <c r="BJ60" t="s">
        <v>1044</v>
      </c>
      <c r="BK60" t="s">
        <v>2699</v>
      </c>
      <c r="BL60" t="s">
        <v>4021</v>
      </c>
      <c r="BM60" t="s">
        <v>2697</v>
      </c>
      <c r="BN60" t="s">
        <v>63</v>
      </c>
      <c r="BO60">
        <v>1.97</v>
      </c>
      <c r="BP60">
        <v>5.8</v>
      </c>
      <c r="BQ60">
        <v>-4.43</v>
      </c>
      <c r="BR60">
        <v>1.81</v>
      </c>
      <c r="BS60">
        <v>6.87</v>
      </c>
      <c r="BT60" t="s">
        <v>1415</v>
      </c>
      <c r="BU60" t="s">
        <v>1848</v>
      </c>
      <c r="BV60">
        <v>37.68</v>
      </c>
      <c r="BW60">
        <v>39.049999999999997</v>
      </c>
      <c r="BX60">
        <v>40.14</v>
      </c>
      <c r="BY60">
        <v>2.33</v>
      </c>
      <c r="BZ60">
        <v>1.61</v>
      </c>
      <c r="CA60">
        <v>6.66</v>
      </c>
      <c r="CB60">
        <v>8.5500000000000007</v>
      </c>
      <c r="CC60">
        <v>-6.54</v>
      </c>
      <c r="CD60" t="s">
        <v>4022</v>
      </c>
      <c r="CE60" t="s">
        <v>294</v>
      </c>
      <c r="CF60" s="9">
        <v>0.17259584711641049</v>
      </c>
      <c r="CG60" s="10">
        <v>4.7717488928117934E-3</v>
      </c>
      <c r="CH60" s="9">
        <v>4.316546767950058E-2</v>
      </c>
      <c r="CI60" s="9">
        <v>-7.743363082408905E-2</v>
      </c>
      <c r="CJ60" s="9">
        <v>0.22659429907798767</v>
      </c>
      <c r="CK60" s="9">
        <v>-0.14302325248718262</v>
      </c>
      <c r="CL60" s="9">
        <v>9.1370560228824615E-2</v>
      </c>
      <c r="CM60" s="10">
        <v>0.27600634098052979</v>
      </c>
      <c r="CN60" s="10">
        <v>-0.72120547294616699</v>
      </c>
      <c r="CO60" s="10">
        <v>-0.12424949556589127</v>
      </c>
      <c r="CP60" s="10">
        <v>-0.22340568900108337</v>
      </c>
      <c r="CQ60" s="10">
        <v>6.6866949200630188E-2</v>
      </c>
      <c r="CR60">
        <v>52.159121553220729</v>
      </c>
      <c r="CS60">
        <v>18.539078944320671</v>
      </c>
      <c r="CT60">
        <v>0.10940919037199125</v>
      </c>
      <c r="CU60" s="9">
        <v>2.813468873500824E-2</v>
      </c>
      <c r="CV60" s="10">
        <v>-0.14519747346639633</v>
      </c>
      <c r="CW60">
        <v>0.06</v>
      </c>
      <c r="CX60">
        <v>111.14464963991766</v>
      </c>
      <c r="CY60">
        <v>21359692.146146916</v>
      </c>
      <c r="CZ60">
        <v>2.813468873500824E-2</v>
      </c>
      <c r="DA60">
        <v>38.288220643649254</v>
      </c>
      <c r="DB60">
        <v>62003808.484471075</v>
      </c>
      <c r="DC60">
        <v>2.6727954298257826E-2</v>
      </c>
      <c r="DD60">
        <v>20.190765281443568</v>
      </c>
      <c r="DE60">
        <v>117579272.84617844</v>
      </c>
      <c r="DF60">
        <v>2.4758526086807252E-2</v>
      </c>
      <c r="DG60">
        <v>13.071578278032105</v>
      </c>
      <c r="DH60">
        <v>181616592.08281943</v>
      </c>
      <c r="DI60">
        <v>2.2507750988006593E-2</v>
      </c>
      <c r="DJ60">
        <v>7.8991972506943293</v>
      </c>
      <c r="DK60">
        <v>300538830.04267645</v>
      </c>
      <c r="DL60">
        <v>1.9694282114505766E-2</v>
      </c>
      <c r="DM60">
        <v>22021700</v>
      </c>
      <c r="DN60">
        <v>2.813468873500824E-2</v>
      </c>
      <c r="DO60">
        <v>2374015500</v>
      </c>
      <c r="DP60">
        <v>993301700</v>
      </c>
      <c r="DQ60">
        <v>2071</v>
      </c>
      <c r="DR60">
        <v>0.14446115838140225</v>
      </c>
      <c r="DS60">
        <v>0.14996922235920812</v>
      </c>
      <c r="DT60" s="11">
        <v>-0.3066666666666667</v>
      </c>
      <c r="DU60">
        <v>-0.70833333333333337</v>
      </c>
      <c r="DV60">
        <v>-1.0150000000000001</v>
      </c>
      <c r="DW60">
        <v>5.7649122807017541</v>
      </c>
      <c r="DX60">
        <v>0.48224808743169206</v>
      </c>
      <c r="DY60">
        <v>5.1241055545968743</v>
      </c>
      <c r="DZ60">
        <v>3620</v>
      </c>
      <c r="EA60">
        <v>5.0361529101879698</v>
      </c>
      <c r="EB60">
        <v>5</v>
      </c>
      <c r="EC60">
        <v>8.9652464672812168E-2</v>
      </c>
      <c r="ED60">
        <v>0.55256407697598042</v>
      </c>
      <c r="EE60" s="12">
        <v>-3.1164999999999998</v>
      </c>
      <c r="EF60">
        <v>-3.1469</v>
      </c>
      <c r="EG60">
        <v>32.162248087431692</v>
      </c>
      <c r="EH60" t="s">
        <v>1470</v>
      </c>
      <c r="EI60">
        <v>1</v>
      </c>
      <c r="EJ60">
        <v>0</v>
      </c>
      <c r="EK60" s="14">
        <v>45504</v>
      </c>
      <c r="EL60" s="15">
        <v>-2.09</v>
      </c>
      <c r="EM60" s="15">
        <v>-0.12</v>
      </c>
      <c r="EN60" s="15">
        <v>3.33</v>
      </c>
      <c r="EO60" s="15">
        <v>1.04</v>
      </c>
      <c r="EP60" s="15">
        <v>3.04</v>
      </c>
    </row>
    <row r="61" spans="1:146" ht="239.5" customHeight="1" x14ac:dyDescent="0.25">
      <c r="A61" s="7" t="s">
        <v>1814</v>
      </c>
      <c r="B61" s="7" t="s">
        <v>1808</v>
      </c>
      <c r="C61" s="7" t="str">
        <f>"公司持续聚焦以视频创意软件业务，积极推动绘图创意、文档创意和实用工具的技术创新与质量提升，快速响应市场需求，强化移动端业务布局，不断探索新产品新功能。公司主要产品包括万兴喵影、Wondershare Filmora、StoryChic、Beat.ly、万兴优转、万兴录演、亿图图示、亿图脑图、墨刀、万兴PDF、Wondershare PDFelement、万兴恢复专家、万兴数据管家、万兴易修等"&amp;CHAR(10)&amp;Basic_Fundamental_Information_Constructure(F61)&amp;CHAR(10)&amp;Basic_Fundamental_Information_Concatenate("（境外占比90%）
视频创意类 7.45亿 63.15% 63.13% 95.45%
实用工具类 2.33亿 19.71% 19.98% 96.80%
文档创意类 9938.66万 8.42% 8.36% 94.81%
绘图创意类 9886.72万 8.38% 8.26% 94.16%
其他 410.27万 0.35% 0.26% 71.98%")</f>
        <v>公司持续聚焦以视频创意软件业务，积极推动绘图创意、文档创意和实用工具的技术创新与质量提升，快速响应市场需求，强化移动端业务布局，不断探索新产品新功能。公司主要产品包括万兴喵影、Wondershare Filmora、StoryChic、Beat.ly、万兴优转、万兴录演、亿图图示、亿图脑图、墨刀、万兴PDF、Wondershare PDFelement、万兴恢复专家、万兴数据管家、万兴易修等
市值93.922786亿, 利润8620.57万; PE103.2; 平均PE145.97; 平均PEG6.45, PB6.94; ROIC5.6033%; ROE4.5967%; 股利率.2276%; 毛利95.24%; 净利5.84%; 上一年度营收增25.51%, 利润增113.2%; 当季营收增.85%, 利润增22.99%; 过往5年营收增22.64%, 利润增50.42%
Income profile:
（境外占比90%）
视频创意类 7.45亿 63.15% 63.13% 95.45%
实用工具类 2.33亿 19.71% 19.98% 96.80%
文档创意类 9938.66万 8.42% 8.36% 94.81%
绘图创意类 9886.72万 8.38% 8.26% 94.16%
其他 410.27万 0.35% 0.26% 71.98%</v>
      </c>
      <c r="D61" t="s">
        <v>128</v>
      </c>
      <c r="E61" t="s">
        <v>36</v>
      </c>
      <c r="F61">
        <v>48.58</v>
      </c>
      <c r="G61">
        <v>4.25</v>
      </c>
      <c r="H61" t="s">
        <v>4023</v>
      </c>
      <c r="I61">
        <v>9392278600</v>
      </c>
      <c r="J61">
        <v>103.2</v>
      </c>
      <c r="K61">
        <v>6.94</v>
      </c>
      <c r="L61" t="s">
        <v>1277</v>
      </c>
      <c r="M61" t="s">
        <v>266</v>
      </c>
      <c r="N61" t="s">
        <v>1082</v>
      </c>
      <c r="O61" t="s">
        <v>571</v>
      </c>
      <c r="P61">
        <v>0.9</v>
      </c>
      <c r="Q61" t="s">
        <v>1149</v>
      </c>
      <c r="R61">
        <v>25649766</v>
      </c>
      <c r="S61" s="5">
        <v>0.22989999999999999</v>
      </c>
      <c r="T61" t="s">
        <v>2713</v>
      </c>
      <c r="U61">
        <v>171233220</v>
      </c>
      <c r="V61">
        <v>193336320</v>
      </c>
      <c r="W61">
        <v>1.1599999999999999</v>
      </c>
      <c r="X61">
        <v>0.21</v>
      </c>
      <c r="Y61">
        <v>7.69</v>
      </c>
      <c r="Z61" t="s">
        <v>459</v>
      </c>
      <c r="AA61" t="s">
        <v>2700</v>
      </c>
      <c r="AB61" t="s">
        <v>209</v>
      </c>
      <c r="AC61" t="s">
        <v>2701</v>
      </c>
      <c r="AD61" t="s">
        <v>63</v>
      </c>
      <c r="AE61">
        <v>-3729637</v>
      </c>
      <c r="AF61" t="s">
        <v>2702</v>
      </c>
      <c r="AG61" t="s">
        <v>2703</v>
      </c>
      <c r="AH61" t="s">
        <v>2704</v>
      </c>
      <c r="AI61" t="s">
        <v>709</v>
      </c>
      <c r="AJ61" t="s">
        <v>2705</v>
      </c>
      <c r="AK61" t="s">
        <v>63</v>
      </c>
      <c r="AL61" t="s">
        <v>2706</v>
      </c>
      <c r="AM61" t="s">
        <v>63</v>
      </c>
      <c r="AN61">
        <v>0</v>
      </c>
      <c r="AO61" t="s">
        <v>63</v>
      </c>
      <c r="AP61" t="s">
        <v>63</v>
      </c>
      <c r="AQ61" t="s">
        <v>2707</v>
      </c>
      <c r="AR61" t="s">
        <v>63</v>
      </c>
      <c r="AS61" t="s">
        <v>537</v>
      </c>
      <c r="AT61" t="s">
        <v>63</v>
      </c>
      <c r="AU61" t="s">
        <v>2708</v>
      </c>
      <c r="AV61" t="s">
        <v>2709</v>
      </c>
      <c r="AW61" t="s">
        <v>2710</v>
      </c>
      <c r="AX61" t="s">
        <v>1365</v>
      </c>
      <c r="AY61" t="s">
        <v>796</v>
      </c>
      <c r="AZ61" t="s">
        <v>908</v>
      </c>
      <c r="BA61" t="s">
        <v>566</v>
      </c>
      <c r="BB61" t="s">
        <v>573</v>
      </c>
      <c r="BC61" t="s">
        <v>2711</v>
      </c>
      <c r="BD61" t="s">
        <v>2712</v>
      </c>
      <c r="BE61" t="s">
        <v>318</v>
      </c>
      <c r="BF61" t="s">
        <v>567</v>
      </c>
      <c r="BG61" t="s">
        <v>909</v>
      </c>
      <c r="BH61" t="s">
        <v>1149</v>
      </c>
      <c r="BI61" t="s">
        <v>4024</v>
      </c>
      <c r="BJ61" t="s">
        <v>1365</v>
      </c>
      <c r="BK61" t="s">
        <v>2713</v>
      </c>
      <c r="BL61" t="s">
        <v>4025</v>
      </c>
      <c r="BM61" t="s">
        <v>2711</v>
      </c>
      <c r="BN61">
        <v>6.18</v>
      </c>
      <c r="BO61">
        <v>5.67</v>
      </c>
      <c r="BP61">
        <v>4.96</v>
      </c>
      <c r="BQ61">
        <v>5.83</v>
      </c>
      <c r="BR61">
        <v>4.68</v>
      </c>
      <c r="BS61">
        <v>3.28</v>
      </c>
      <c r="BT61" t="s">
        <v>2714</v>
      </c>
      <c r="BU61" t="s">
        <v>1830</v>
      </c>
      <c r="BV61">
        <v>94.77</v>
      </c>
      <c r="BW61">
        <v>95.47</v>
      </c>
      <c r="BX61">
        <v>95.48</v>
      </c>
      <c r="BY61">
        <v>7.31</v>
      </c>
      <c r="BZ61">
        <v>5.45</v>
      </c>
      <c r="CA61">
        <v>4.76</v>
      </c>
      <c r="CB61">
        <v>5.7</v>
      </c>
      <c r="CC61">
        <v>-12.75</v>
      </c>
      <c r="CD61" t="s">
        <v>4026</v>
      </c>
      <c r="CE61" t="s">
        <v>200</v>
      </c>
      <c r="CF61" s="9">
        <v>8.4507042253521118E-3</v>
      </c>
      <c r="CG61" s="10">
        <v>0.22986248429693418</v>
      </c>
      <c r="CH61" s="9">
        <v>0.25508469343185425</v>
      </c>
      <c r="CI61" s="9">
        <v>0.14674441516399384</v>
      </c>
      <c r="CJ61" s="9">
        <v>5.4303277283906937E-2</v>
      </c>
      <c r="CK61" s="9">
        <v>0.3883357048034668</v>
      </c>
      <c r="CL61" s="9">
        <v>0.28754580020904541</v>
      </c>
      <c r="CM61" s="10">
        <v>1.1320364475250244</v>
      </c>
      <c r="CN61" s="10">
        <v>2.1721758842468262</v>
      </c>
      <c r="CO61" s="10">
        <v>-1.2759552001953125</v>
      </c>
      <c r="CP61" s="10">
        <v>0.44909551739692688</v>
      </c>
      <c r="CQ61" s="10">
        <v>4.3464478105306625E-2</v>
      </c>
      <c r="CR61">
        <v>145.96632503015621</v>
      </c>
      <c r="CS61">
        <v>6.4471967263186043</v>
      </c>
      <c r="CT61">
        <v>0.22757904487443395</v>
      </c>
      <c r="CU61" s="9">
        <v>0.22640277817845345</v>
      </c>
      <c r="CV61" s="10">
        <v>0.50416342541575432</v>
      </c>
      <c r="CW61">
        <v>0.06</v>
      </c>
      <c r="CX61">
        <v>82.749096842716142</v>
      </c>
      <c r="CY61">
        <v>99738594.315866321</v>
      </c>
      <c r="CZ61">
        <v>0.22640277817845345</v>
      </c>
      <c r="DA61">
        <v>24.136514105988919</v>
      </c>
      <c r="DB61">
        <v>341941614.42526364</v>
      </c>
      <c r="DC61">
        <v>0.21508263926953075</v>
      </c>
      <c r="DD61">
        <v>10.133134434233002</v>
      </c>
      <c r="DE61">
        <v>814484269.75544298</v>
      </c>
      <c r="DF61">
        <v>0.19923444479703903</v>
      </c>
      <c r="DG61">
        <v>5.0336432162054088</v>
      </c>
      <c r="DH61">
        <v>1639623279.8997819</v>
      </c>
      <c r="DI61">
        <v>0.18112222254276278</v>
      </c>
      <c r="DJ61">
        <v>1.6572169137271333</v>
      </c>
      <c r="DK61">
        <v>4980204179.4505434</v>
      </c>
      <c r="DL61">
        <v>0.15848194472491739</v>
      </c>
      <c r="DM61">
        <v>86205700</v>
      </c>
      <c r="DN61">
        <v>0.22640277817845345</v>
      </c>
      <c r="DO61">
        <v>8253278600</v>
      </c>
      <c r="DP61">
        <v>489801190</v>
      </c>
      <c r="DQ61">
        <v>2087</v>
      </c>
      <c r="DR61">
        <v>-0.21795207395310134</v>
      </c>
      <c r="DS61">
        <v>-0.27430094111882014</v>
      </c>
      <c r="DT61" s="11">
        <v>-5.6666666666666719E-2</v>
      </c>
      <c r="DU61">
        <v>0.36999999999999994</v>
      </c>
      <c r="DV61">
        <v>0.31333333333333324</v>
      </c>
      <c r="DW61">
        <v>6.308943089430894</v>
      </c>
      <c r="DX61">
        <v>0.53563548387096738</v>
      </c>
      <c r="DY61">
        <v>6.035724783634933</v>
      </c>
      <c r="DZ61">
        <v>1098</v>
      </c>
      <c r="EA61">
        <v>6.0280454938089427</v>
      </c>
      <c r="EB61">
        <v>6</v>
      </c>
      <c r="EC61">
        <v>0.1297888570548979</v>
      </c>
      <c r="ED61">
        <v>1.1223964540134002</v>
      </c>
      <c r="EE61" s="12">
        <v>-2.06291</v>
      </c>
      <c r="EF61">
        <v>-2.02041</v>
      </c>
      <c r="EG61">
        <v>42.115635483870967</v>
      </c>
      <c r="EH61" t="s">
        <v>1461</v>
      </c>
      <c r="EI61">
        <v>0</v>
      </c>
      <c r="EJ61">
        <v>1</v>
      </c>
      <c r="EK61" s="14">
        <v>45504</v>
      </c>
      <c r="EL61" s="15">
        <v>-3.43</v>
      </c>
      <c r="EM61" s="15">
        <v>-0.41</v>
      </c>
      <c r="EN61" s="15">
        <v>1.9</v>
      </c>
      <c r="EO61" s="15">
        <v>0.45</v>
      </c>
      <c r="EP61" s="15">
        <v>4.25</v>
      </c>
    </row>
    <row r="62" spans="1:146" ht="96" hidden="1" x14ac:dyDescent="0.25">
      <c r="A62" s="7"/>
      <c r="B62" s="7"/>
      <c r="C62" s="7" t="str">
        <f>""&amp;CHAR(10)&amp;Basic_Fundamental_Information_Constructure(F62)&amp;CHAR(10)&amp;Basic_Fundamental_Information_Concatenate("")</f>
        <v xml:space="preserve">
市值46.680899亿, 利润-1.23亿; PE; 平均PE315.19; 平均PEG31.39, PB4.69; ROIC3.99%; ROE1.4967%; 股利率0%; 毛利33.0933%; 净利-2.2233%; 上一年度营收增-.6%, 利润增-662.08%; 当季营收增.81%, 利润增34.36%; 过往5年营收增10.04%, 利润增-140.65%
Income profile:
</v>
      </c>
      <c r="D62" t="s">
        <v>78</v>
      </c>
      <c r="E62" t="s">
        <v>59</v>
      </c>
      <c r="F62">
        <v>10.1</v>
      </c>
      <c r="G62">
        <v>3.59</v>
      </c>
      <c r="H62" t="s">
        <v>4027</v>
      </c>
      <c r="I62">
        <v>4668089900</v>
      </c>
      <c r="K62">
        <v>4.6900000000000004</v>
      </c>
      <c r="L62" t="s">
        <v>1277</v>
      </c>
      <c r="M62" t="s">
        <v>1785</v>
      </c>
      <c r="N62" t="s">
        <v>1714</v>
      </c>
      <c r="O62" t="s">
        <v>441</v>
      </c>
      <c r="P62">
        <v>0.7</v>
      </c>
      <c r="Q62" t="s">
        <v>2725</v>
      </c>
      <c r="R62">
        <v>-5558262</v>
      </c>
      <c r="S62" s="5">
        <v>0.34360000000000002</v>
      </c>
      <c r="T62" t="s">
        <v>1374</v>
      </c>
      <c r="U62">
        <v>414860830</v>
      </c>
      <c r="V62">
        <v>462187120</v>
      </c>
      <c r="W62">
        <v>2.56</v>
      </c>
      <c r="X62">
        <v>0.08</v>
      </c>
      <c r="Y62">
        <v>-3.09</v>
      </c>
      <c r="Z62" t="s">
        <v>374</v>
      </c>
      <c r="AA62" t="s">
        <v>195</v>
      </c>
      <c r="AB62" t="s">
        <v>2715</v>
      </c>
      <c r="AC62" t="s">
        <v>2716</v>
      </c>
      <c r="AD62" t="s">
        <v>63</v>
      </c>
      <c r="AE62">
        <v>15371143</v>
      </c>
      <c r="AF62" t="s">
        <v>2717</v>
      </c>
      <c r="AG62">
        <v>12.65</v>
      </c>
      <c r="AH62" t="s">
        <v>2718</v>
      </c>
      <c r="AI62" t="s">
        <v>296</v>
      </c>
      <c r="AJ62" t="s">
        <v>2719</v>
      </c>
      <c r="AK62" t="s">
        <v>63</v>
      </c>
      <c r="AL62" t="s">
        <v>2720</v>
      </c>
      <c r="AM62" t="s">
        <v>63</v>
      </c>
      <c r="AN62" t="s">
        <v>443</v>
      </c>
      <c r="AO62" t="s">
        <v>187</v>
      </c>
      <c r="AP62" t="s">
        <v>63</v>
      </c>
      <c r="AQ62" t="s">
        <v>2721</v>
      </c>
      <c r="AR62" t="s">
        <v>63</v>
      </c>
      <c r="AS62" t="s">
        <v>1460</v>
      </c>
      <c r="AT62" t="s">
        <v>279</v>
      </c>
      <c r="AU62" t="s">
        <v>1703</v>
      </c>
      <c r="AV62" t="s">
        <v>2722</v>
      </c>
      <c r="AW62" t="s">
        <v>2723</v>
      </c>
      <c r="AX62" t="s">
        <v>1198</v>
      </c>
      <c r="AY62" t="s">
        <v>946</v>
      </c>
      <c r="AZ62" t="s">
        <v>910</v>
      </c>
      <c r="BA62" t="s">
        <v>575</v>
      </c>
      <c r="BB62" t="s">
        <v>826</v>
      </c>
      <c r="BC62" t="s">
        <v>2724</v>
      </c>
      <c r="BD62" t="s">
        <v>1188</v>
      </c>
      <c r="BE62" t="s">
        <v>911</v>
      </c>
      <c r="BF62" t="s">
        <v>576</v>
      </c>
      <c r="BG62" t="s">
        <v>912</v>
      </c>
      <c r="BH62" t="s">
        <v>2725</v>
      </c>
      <c r="BI62" t="s">
        <v>591</v>
      </c>
      <c r="BJ62" t="s">
        <v>1198</v>
      </c>
      <c r="BK62" t="s">
        <v>1374</v>
      </c>
      <c r="BL62" t="s">
        <v>4028</v>
      </c>
      <c r="BM62" t="s">
        <v>2724</v>
      </c>
      <c r="BN62" t="s">
        <v>63</v>
      </c>
      <c r="BO62">
        <v>3.85</v>
      </c>
      <c r="BP62">
        <v>4.13</v>
      </c>
      <c r="BQ62">
        <v>-0.72</v>
      </c>
      <c r="BR62">
        <v>1.84</v>
      </c>
      <c r="BS62">
        <v>3.37</v>
      </c>
      <c r="BT62" t="s">
        <v>1409</v>
      </c>
      <c r="BU62" t="s">
        <v>1848</v>
      </c>
      <c r="BV62">
        <v>28.64</v>
      </c>
      <c r="BW62">
        <v>35.9</v>
      </c>
      <c r="BX62">
        <v>34.74</v>
      </c>
      <c r="BY62">
        <v>-11.41</v>
      </c>
      <c r="BZ62">
        <v>1.84</v>
      </c>
      <c r="CA62">
        <v>2.9</v>
      </c>
      <c r="CB62">
        <v>6.2</v>
      </c>
      <c r="CC62">
        <v>-9.17</v>
      </c>
      <c r="CD62" t="s">
        <v>4029</v>
      </c>
      <c r="CE62" t="s">
        <v>452</v>
      </c>
      <c r="CF62" s="9">
        <v>8.0971659919028324E-3</v>
      </c>
      <c r="CG62" s="10">
        <v>0.34359247493416156</v>
      </c>
      <c r="CH62" s="9">
        <v>-5.9524355456233025E-3</v>
      </c>
      <c r="CI62" s="9">
        <v>-9.3990758061408997E-2</v>
      </c>
      <c r="CJ62" s="9">
        <v>0.24927815794944763</v>
      </c>
      <c r="CK62" s="9">
        <v>0.11241970211267471</v>
      </c>
      <c r="CL62" s="9">
        <v>0.24037185311317444</v>
      </c>
      <c r="CM62" s="10">
        <v>-6.6208019256591797</v>
      </c>
      <c r="CN62" s="10">
        <v>-0.41435125470161438</v>
      </c>
      <c r="CO62" s="10">
        <v>-0.38269719481468201</v>
      </c>
      <c r="CP62" s="10">
        <v>0.22260060906410217</v>
      </c>
      <c r="CQ62" s="10">
        <v>0.16284526884555817</v>
      </c>
      <c r="CR62">
        <v>315.18502922449858</v>
      </c>
      <c r="CS62">
        <v>31.385021198989762</v>
      </c>
      <c r="CT62">
        <v>0</v>
      </c>
      <c r="CU62" s="9">
        <v>0.1004253039136529</v>
      </c>
      <c r="CV62" s="10">
        <v>-1.4064808994531632</v>
      </c>
      <c r="CW62">
        <v>0.06</v>
      </c>
      <c r="CX62" t="e">
        <v>#VALUE!</v>
      </c>
      <c r="CY62" t="s">
        <v>1282</v>
      </c>
      <c r="CZ62">
        <v>0.1004253039136529</v>
      </c>
      <c r="DA62" t="e">
        <v>#VALUE!</v>
      </c>
      <c r="DB62" t="s">
        <v>1283</v>
      </c>
      <c r="DC62">
        <v>9.5404038717970249E-2</v>
      </c>
      <c r="DD62" t="e">
        <v>#VALUE!</v>
      </c>
      <c r="DE62" t="s">
        <v>1283</v>
      </c>
      <c r="DF62">
        <v>8.8374267444014554E-2</v>
      </c>
      <c r="DG62" t="e">
        <v>#VALUE!</v>
      </c>
      <c r="DH62" t="s">
        <v>1283</v>
      </c>
      <c r="DI62">
        <v>8.034024313092232E-2</v>
      </c>
      <c r="DJ62" t="e">
        <v>#VALUE!</v>
      </c>
      <c r="DK62" t="s">
        <v>1283</v>
      </c>
      <c r="DL62">
        <v>7.0297712739557025E-2</v>
      </c>
      <c r="DM62">
        <v>-123000000</v>
      </c>
      <c r="DN62">
        <v>0.1004253039136529</v>
      </c>
      <c r="DO62">
        <v>5379089900</v>
      </c>
      <c r="DP62">
        <v>1344391700</v>
      </c>
      <c r="DQ62">
        <v>2125</v>
      </c>
      <c r="DR62">
        <v>-9.232813792175007E-2</v>
      </c>
      <c r="DS62">
        <v>1.7500733743873247</v>
      </c>
      <c r="DT62" s="11">
        <v>-0.20666666666666669</v>
      </c>
      <c r="DU62">
        <v>-1.7150000000000001</v>
      </c>
      <c r="DV62">
        <v>-1.9216666666666669</v>
      </c>
      <c r="DW62">
        <v>7.4033832140533509</v>
      </c>
      <c r="DX62">
        <v>0.59758947368421356</v>
      </c>
      <c r="DY62">
        <v>7.0595351162551792</v>
      </c>
      <c r="DZ62">
        <v>4330</v>
      </c>
      <c r="EA62">
        <v>7.0090677996175668</v>
      </c>
      <c r="EB62">
        <v>7</v>
      </c>
      <c r="EC62">
        <v>0.10314307330762484</v>
      </c>
      <c r="ED62">
        <v>0.69885114929208758</v>
      </c>
      <c r="EE62" s="12">
        <v>-2.0230999999999999</v>
      </c>
      <c r="EF62">
        <v>-2.0590000000000002</v>
      </c>
      <c r="EG62">
        <v>45.147589473684214</v>
      </c>
      <c r="EH62" t="s">
        <v>1431</v>
      </c>
      <c r="EI62">
        <v>1</v>
      </c>
      <c r="EJ62">
        <v>0</v>
      </c>
      <c r="EK62" s="14">
        <v>45504</v>
      </c>
      <c r="EL62" s="15">
        <v>-1.35</v>
      </c>
      <c r="EM62" s="15">
        <v>1.05</v>
      </c>
      <c r="EN62" s="15">
        <v>0.73</v>
      </c>
      <c r="EO62" s="15">
        <v>1.96</v>
      </c>
      <c r="EP62" s="15">
        <v>3.59</v>
      </c>
    </row>
    <row r="63" spans="1:146" ht="96" hidden="1" x14ac:dyDescent="0.25">
      <c r="A63" s="7"/>
      <c r="B63" s="7"/>
      <c r="C63" s="7" t="str">
        <f>""&amp;CHAR(10)&amp;Basic_Fundamental_Information_Constructure(F63)&amp;CHAR(10)&amp;Basic_Fundamental_Information_Concatenate("")</f>
        <v xml:space="preserve">
市值24.200611亿, 利润-1.62亿; PE; 平均PE3028.93; 平均PEG2798.28, PB6.79; ROIC5.33%; ROE-4.4767%; 股利率0%; 毛利27.8633%; 净利-19.09%; 上一年度营收增-56.51%, 利润增-753.71%; 当季营收增159.82%, 利润增19.13%; 过往5年营收增-1.08%, 利润增-155.6%
Income profile:
</v>
      </c>
      <c r="D63" t="s">
        <v>109</v>
      </c>
      <c r="E63" t="s">
        <v>6</v>
      </c>
      <c r="F63">
        <v>10.039999999999999</v>
      </c>
      <c r="G63">
        <v>3.93</v>
      </c>
      <c r="H63" t="s">
        <v>4030</v>
      </c>
      <c r="I63">
        <v>2420061100</v>
      </c>
      <c r="K63">
        <v>6.79</v>
      </c>
      <c r="L63" t="s">
        <v>1277</v>
      </c>
      <c r="M63" t="s">
        <v>747</v>
      </c>
      <c r="N63" t="s">
        <v>395</v>
      </c>
      <c r="O63" t="s">
        <v>2726</v>
      </c>
      <c r="P63">
        <v>159.83000000000001</v>
      </c>
      <c r="Q63" t="s">
        <v>515</v>
      </c>
      <c r="R63">
        <v>-16901458</v>
      </c>
      <c r="S63" s="5">
        <v>0.1913</v>
      </c>
      <c r="T63" t="s">
        <v>1445</v>
      </c>
      <c r="U63">
        <v>196534730</v>
      </c>
      <c r="V63">
        <v>241041950</v>
      </c>
      <c r="W63">
        <v>2.5099999999999998</v>
      </c>
      <c r="X63">
        <v>0.09</v>
      </c>
      <c r="Y63">
        <v>-21.74</v>
      </c>
      <c r="Z63" t="s">
        <v>2727</v>
      </c>
      <c r="AA63" t="s">
        <v>2728</v>
      </c>
      <c r="AB63" t="s">
        <v>2729</v>
      </c>
      <c r="AC63" t="s">
        <v>2730</v>
      </c>
      <c r="AD63" t="s">
        <v>63</v>
      </c>
      <c r="AE63">
        <v>2089717</v>
      </c>
      <c r="AF63" t="s">
        <v>2731</v>
      </c>
      <c r="AG63" t="s">
        <v>2732</v>
      </c>
      <c r="AH63" t="s">
        <v>2733</v>
      </c>
      <c r="AI63" t="s">
        <v>173</v>
      </c>
      <c r="AJ63" t="s">
        <v>2734</v>
      </c>
      <c r="AK63" t="s">
        <v>2735</v>
      </c>
      <c r="AL63" t="s">
        <v>2736</v>
      </c>
      <c r="AM63" t="s">
        <v>63</v>
      </c>
      <c r="AN63">
        <v>0</v>
      </c>
      <c r="AO63" t="s">
        <v>495</v>
      </c>
      <c r="AP63" t="s">
        <v>259</v>
      </c>
      <c r="AQ63" t="s">
        <v>2737</v>
      </c>
      <c r="AR63" t="s">
        <v>63</v>
      </c>
      <c r="AS63" t="s">
        <v>1181</v>
      </c>
      <c r="AT63" t="s">
        <v>2738</v>
      </c>
      <c r="AU63" t="s">
        <v>477</v>
      </c>
      <c r="AV63" t="s">
        <v>2739</v>
      </c>
      <c r="AW63" t="s">
        <v>2740</v>
      </c>
      <c r="AX63" t="s">
        <v>1079</v>
      </c>
      <c r="AY63" t="s">
        <v>325</v>
      </c>
      <c r="AZ63" t="s">
        <v>467</v>
      </c>
      <c r="BA63" t="s">
        <v>443</v>
      </c>
      <c r="BB63" t="s">
        <v>478</v>
      </c>
      <c r="BC63" t="s">
        <v>1507</v>
      </c>
      <c r="BD63" t="s">
        <v>1189</v>
      </c>
      <c r="BE63" t="s">
        <v>914</v>
      </c>
      <c r="BF63" t="s">
        <v>579</v>
      </c>
      <c r="BG63" t="s">
        <v>915</v>
      </c>
      <c r="BH63" t="s">
        <v>515</v>
      </c>
      <c r="BI63" t="s">
        <v>4031</v>
      </c>
      <c r="BJ63" t="s">
        <v>1079</v>
      </c>
      <c r="BK63" t="s">
        <v>1445</v>
      </c>
      <c r="BL63" t="s">
        <v>4032</v>
      </c>
      <c r="BM63" t="s">
        <v>1507</v>
      </c>
      <c r="BN63" t="s">
        <v>63</v>
      </c>
      <c r="BO63">
        <v>3.46</v>
      </c>
      <c r="BP63">
        <v>7.2</v>
      </c>
      <c r="BQ63">
        <v>-26.41</v>
      </c>
      <c r="BR63">
        <v>4.8600000000000003</v>
      </c>
      <c r="BS63">
        <v>8.1199999999999992</v>
      </c>
      <c r="BT63" t="s">
        <v>1409</v>
      </c>
      <c r="BU63" t="s">
        <v>1848</v>
      </c>
      <c r="BV63">
        <v>23.03</v>
      </c>
      <c r="BW63">
        <v>30.17</v>
      </c>
      <c r="BX63">
        <v>30.39</v>
      </c>
      <c r="BY63">
        <v>-69.41</v>
      </c>
      <c r="BZ63">
        <v>4.42</v>
      </c>
      <c r="CA63">
        <v>7.72</v>
      </c>
      <c r="CB63">
        <v>5.68</v>
      </c>
      <c r="CC63">
        <v>13.32</v>
      </c>
      <c r="CD63" t="s">
        <v>4033</v>
      </c>
      <c r="CE63" t="s">
        <v>4034</v>
      </c>
      <c r="CF63" s="9">
        <v>1.5982485632231174</v>
      </c>
      <c r="CG63" s="10">
        <v>0.19131392973172107</v>
      </c>
      <c r="CH63" s="9">
        <v>-0.56505578756332397</v>
      </c>
      <c r="CI63" s="9">
        <v>8.2494966685771942E-2</v>
      </c>
      <c r="CJ63" s="9">
        <v>0.13990825414657593</v>
      </c>
      <c r="CK63" s="9">
        <v>0.13838119804859161</v>
      </c>
      <c r="CL63" s="9">
        <v>0.15015015006065369</v>
      </c>
      <c r="CM63" s="10">
        <v>-7.5371346473693848</v>
      </c>
      <c r="CN63" s="10">
        <v>-0.35719287395477295</v>
      </c>
      <c r="CO63" s="10">
        <v>0.1883617490530014</v>
      </c>
      <c r="CP63" s="10">
        <v>-9.6533879637718201E-2</v>
      </c>
      <c r="CQ63" s="10">
        <v>2.2673483937978745E-2</v>
      </c>
      <c r="CR63">
        <v>3028.9256346607144</v>
      </c>
      <c r="CS63">
        <v>2798.2792255942823</v>
      </c>
      <c r="CT63">
        <v>0</v>
      </c>
      <c r="CU63" s="9">
        <v>-1.082424372434616E-2</v>
      </c>
      <c r="CV63" s="10">
        <v>-1.5559652335941792</v>
      </c>
      <c r="CW63">
        <v>0.06</v>
      </c>
      <c r="CX63" t="e">
        <v>#VALUE!</v>
      </c>
      <c r="CY63" t="s">
        <v>1282</v>
      </c>
      <c r="CZ63">
        <v>-1.082424372434616E-2</v>
      </c>
      <c r="DA63" t="e">
        <v>#VALUE!</v>
      </c>
      <c r="DB63" t="s">
        <v>1283</v>
      </c>
      <c r="DC63">
        <v>-1.0283031538128852E-2</v>
      </c>
      <c r="DD63" t="e">
        <v>#VALUE!</v>
      </c>
      <c r="DE63" t="s">
        <v>1283</v>
      </c>
      <c r="DF63">
        <v>-9.5253344774246206E-3</v>
      </c>
      <c r="DG63" t="e">
        <v>#VALUE!</v>
      </c>
      <c r="DH63" t="s">
        <v>1283</v>
      </c>
      <c r="DI63">
        <v>-8.6593949794769292E-3</v>
      </c>
      <c r="DJ63" t="e">
        <v>#VALUE!</v>
      </c>
      <c r="DK63" t="s">
        <v>1283</v>
      </c>
      <c r="DL63">
        <v>-7.576970607042312E-3</v>
      </c>
      <c r="DM63">
        <v>-162000000</v>
      </c>
      <c r="DN63">
        <v>-1.082424372434616E-2</v>
      </c>
      <c r="DO63">
        <v>2615061100</v>
      </c>
      <c r="DP63">
        <v>231900550</v>
      </c>
      <c r="DQ63">
        <v>2189</v>
      </c>
      <c r="DR63">
        <v>1.6090728069474636</v>
      </c>
      <c r="DS63">
        <v>1.7472791633259002</v>
      </c>
      <c r="DT63" s="11">
        <v>-0.50666666666666671</v>
      </c>
      <c r="DU63">
        <v>-1.665</v>
      </c>
      <c r="DV63">
        <v>-2.1716666666666669</v>
      </c>
      <c r="DW63">
        <v>8.4264264264264259</v>
      </c>
      <c r="DX63">
        <v>0.422256832971799</v>
      </c>
      <c r="DY63">
        <v>8.0393407515975852</v>
      </c>
      <c r="DZ63">
        <v>4488</v>
      </c>
      <c r="EA63">
        <v>8.0047751108047187</v>
      </c>
      <c r="EB63">
        <v>8</v>
      </c>
      <c r="EC63">
        <v>0.35288795166152614</v>
      </c>
      <c r="ED63">
        <v>3.8250603266360903</v>
      </c>
      <c r="EE63" s="12">
        <v>3.0455999999999999</v>
      </c>
      <c r="EF63">
        <v>3.0849000000000002</v>
      </c>
      <c r="EG63">
        <v>33.092256832971799</v>
      </c>
      <c r="EH63" t="s">
        <v>1451</v>
      </c>
      <c r="EI63">
        <v>0</v>
      </c>
      <c r="EJ63">
        <v>0</v>
      </c>
      <c r="EK63" s="14">
        <v>45504</v>
      </c>
      <c r="EL63" s="15">
        <v>-4.62</v>
      </c>
      <c r="EM63" s="15">
        <v>-1.37</v>
      </c>
      <c r="EN63" s="15">
        <v>-0.21</v>
      </c>
      <c r="EO63" s="15">
        <v>4.5999999999999996</v>
      </c>
      <c r="EP63" s="15">
        <v>3.93</v>
      </c>
    </row>
    <row r="64" spans="1:146" ht="96" x14ac:dyDescent="0.25">
      <c r="A64" s="7"/>
      <c r="B64" s="7"/>
      <c r="C64" s="7" t="str">
        <f>""&amp;CHAR(10)&amp;Basic_Fundamental_Information_Constructure(F64)&amp;CHAR(10)&amp;Basic_Fundamental_Information_Concatenate("")</f>
        <v xml:space="preserve">
市值38.276061亿, 利润-4993.14万; PE; 平均PE47.13; 平均PEG13.22, PB2.4; ROIC2.675%; ROE2.83%; 股利率0%; 毛利65.2967%; 净利4.4567%; 上一年度营收增-18.25%, 利润增-289.95%; 当季营收增-6.54%, 利润增-329.07%; 过往5年营收增-3.56%, 利润增-76.65%
Income profile:
</v>
      </c>
      <c r="D64" t="s">
        <v>1190</v>
      </c>
      <c r="E64" t="s">
        <v>1191</v>
      </c>
      <c r="F64">
        <v>9.76</v>
      </c>
      <c r="G64">
        <v>4.16</v>
      </c>
      <c r="H64" t="s">
        <v>4035</v>
      </c>
      <c r="I64">
        <v>3827606100</v>
      </c>
      <c r="K64">
        <v>2.4</v>
      </c>
      <c r="L64" t="s">
        <v>1277</v>
      </c>
      <c r="M64" t="s">
        <v>218</v>
      </c>
      <c r="N64" t="s">
        <v>360</v>
      </c>
      <c r="O64" t="s">
        <v>177</v>
      </c>
      <c r="P64">
        <v>-6.57</v>
      </c>
      <c r="Q64" t="s">
        <v>388</v>
      </c>
      <c r="R64">
        <v>-3788616</v>
      </c>
      <c r="S64" s="5">
        <v>-3.2909999999999999</v>
      </c>
      <c r="T64" t="s">
        <v>2751</v>
      </c>
      <c r="U64">
        <v>355673040</v>
      </c>
      <c r="V64">
        <v>392172760</v>
      </c>
      <c r="W64">
        <v>1.1100000000000001</v>
      </c>
      <c r="X64">
        <v>0.05</v>
      </c>
      <c r="Y64">
        <v>-2.67</v>
      </c>
      <c r="Z64" t="s">
        <v>446</v>
      </c>
      <c r="AA64" t="s">
        <v>2741</v>
      </c>
      <c r="AB64" t="s">
        <v>2742</v>
      </c>
      <c r="AC64" t="s">
        <v>2743</v>
      </c>
      <c r="AD64" t="s">
        <v>63</v>
      </c>
      <c r="AE64">
        <v>-3876691</v>
      </c>
      <c r="AF64" t="s">
        <v>2744</v>
      </c>
      <c r="AG64" t="s">
        <v>63</v>
      </c>
      <c r="AH64" t="s">
        <v>2745</v>
      </c>
      <c r="AI64" t="s">
        <v>466</v>
      </c>
      <c r="AJ64" t="s">
        <v>2746</v>
      </c>
      <c r="AK64" t="s">
        <v>2747</v>
      </c>
      <c r="AL64" t="s">
        <v>2748</v>
      </c>
      <c r="AM64" t="s">
        <v>63</v>
      </c>
      <c r="AN64" t="s">
        <v>284</v>
      </c>
      <c r="AO64" t="s">
        <v>63</v>
      </c>
      <c r="AP64" t="s">
        <v>63</v>
      </c>
      <c r="AQ64" t="s">
        <v>2749</v>
      </c>
      <c r="AR64" t="s">
        <v>63</v>
      </c>
      <c r="AS64" t="s">
        <v>180</v>
      </c>
      <c r="AT64" t="s">
        <v>63</v>
      </c>
      <c r="AU64" t="s">
        <v>2750</v>
      </c>
      <c r="AV64" t="s">
        <v>177</v>
      </c>
      <c r="AW64" t="s">
        <v>611</v>
      </c>
      <c r="AX64" t="s">
        <v>530</v>
      </c>
      <c r="AY64" t="s">
        <v>449</v>
      </c>
      <c r="AZ64" t="s">
        <v>1181</v>
      </c>
      <c r="BA64" t="s">
        <v>1181</v>
      </c>
      <c r="BB64" t="s">
        <v>313</v>
      </c>
      <c r="BC64" t="s">
        <v>1508</v>
      </c>
      <c r="BD64" t="s">
        <v>285</v>
      </c>
      <c r="BE64" t="s">
        <v>1192</v>
      </c>
      <c r="BF64" t="s">
        <v>1193</v>
      </c>
      <c r="BG64" t="s">
        <v>441</v>
      </c>
      <c r="BH64" t="s">
        <v>388</v>
      </c>
      <c r="BI64" t="s">
        <v>228</v>
      </c>
      <c r="BJ64" t="s">
        <v>530</v>
      </c>
      <c r="BK64" t="s">
        <v>2751</v>
      </c>
      <c r="BL64" t="s">
        <v>4036</v>
      </c>
      <c r="BM64" t="s">
        <v>1508</v>
      </c>
      <c r="BN64" t="s">
        <v>63</v>
      </c>
      <c r="BO64">
        <v>0.17</v>
      </c>
      <c r="BP64">
        <v>5.18</v>
      </c>
      <c r="BQ64">
        <v>0.03</v>
      </c>
      <c r="BR64">
        <v>1.56</v>
      </c>
      <c r="BS64">
        <v>6.9</v>
      </c>
      <c r="BT64" t="s">
        <v>1409</v>
      </c>
      <c r="BU64" t="s">
        <v>1830</v>
      </c>
      <c r="BV64">
        <v>68.569999999999993</v>
      </c>
      <c r="BW64">
        <v>62.86</v>
      </c>
      <c r="BX64">
        <v>64.459999999999994</v>
      </c>
      <c r="BY64">
        <v>-12.36</v>
      </c>
      <c r="BZ64">
        <v>5.51</v>
      </c>
      <c r="CA64">
        <v>20.22</v>
      </c>
      <c r="CB64">
        <v>7.73</v>
      </c>
      <c r="CC64">
        <v>-7.05</v>
      </c>
      <c r="CD64" t="s">
        <v>4037</v>
      </c>
      <c r="CE64" t="s">
        <v>337</v>
      </c>
      <c r="CF64" s="9">
        <v>-6.5420560747663545E-2</v>
      </c>
      <c r="CG64" s="10">
        <v>-3.2907164883003812</v>
      </c>
      <c r="CH64" s="9">
        <v>-0.18250951170921326</v>
      </c>
      <c r="CI64" s="9">
        <v>-0.12479200959205627</v>
      </c>
      <c r="CJ64" s="9">
        <v>0.19960080087184906</v>
      </c>
      <c r="CK64" s="9">
        <v>0</v>
      </c>
      <c r="CL64" s="9">
        <v>-7.0500925183296204E-2</v>
      </c>
      <c r="CM64" s="10">
        <v>-2.8994786739349365</v>
      </c>
      <c r="CN64" s="10">
        <v>-0.76941317319869995</v>
      </c>
      <c r="CO64" s="10">
        <v>0.58376449346542358</v>
      </c>
      <c r="CP64" s="10">
        <v>-5.2512973546981812E-2</v>
      </c>
      <c r="CQ64" s="10">
        <v>-0.69490045309066772</v>
      </c>
      <c r="CR64">
        <v>47.127781595823727</v>
      </c>
      <c r="CS64">
        <v>13.223161164921542</v>
      </c>
      <c r="CT64">
        <v>0</v>
      </c>
      <c r="CU64" s="9">
        <v>-3.5640329122543335E-2</v>
      </c>
      <c r="CV64" s="10">
        <v>-0.76650815606117251</v>
      </c>
      <c r="CW64">
        <v>0.06</v>
      </c>
      <c r="CX64" t="e">
        <v>#VALUE!</v>
      </c>
      <c r="CY64" t="s">
        <v>1282</v>
      </c>
      <c r="CZ64">
        <v>-3.5640329122543335E-2</v>
      </c>
      <c r="DA64" t="e">
        <v>#VALUE!</v>
      </c>
      <c r="DB64" t="s">
        <v>1283</v>
      </c>
      <c r="DC64">
        <v>-3.3858312666416167E-2</v>
      </c>
      <c r="DD64" t="e">
        <v>#VALUE!</v>
      </c>
      <c r="DE64" t="s">
        <v>1283</v>
      </c>
      <c r="DF64">
        <v>-3.1363489627838137E-2</v>
      </c>
      <c r="DG64" t="e">
        <v>#VALUE!</v>
      </c>
      <c r="DH64" t="s">
        <v>1283</v>
      </c>
      <c r="DI64">
        <v>-2.8512263298034669E-2</v>
      </c>
      <c r="DJ64" t="e">
        <v>#VALUE!</v>
      </c>
      <c r="DK64" t="s">
        <v>1283</v>
      </c>
      <c r="DL64">
        <v>-2.4948230385780333E-2</v>
      </c>
      <c r="DM64">
        <v>-49931400</v>
      </c>
      <c r="DN64">
        <v>-3.5640329122543335E-2</v>
      </c>
      <c r="DO64">
        <v>2523606100</v>
      </c>
      <c r="DP64">
        <v>577702070</v>
      </c>
      <c r="DQ64">
        <v>2220</v>
      </c>
      <c r="DR64">
        <v>-2.978023162512021E-2</v>
      </c>
      <c r="DS64">
        <v>-2.5242083322392088</v>
      </c>
      <c r="DT64" s="11">
        <v>-0.47333333333333333</v>
      </c>
      <c r="DU64">
        <v>-2.0150000000000001</v>
      </c>
      <c r="DV64">
        <v>-2.4883333333333333</v>
      </c>
      <c r="DW64">
        <v>5.912031047865459</v>
      </c>
      <c r="DX64">
        <v>0.47377868217054553</v>
      </c>
      <c r="DY64">
        <v>5.1128900012034055</v>
      </c>
      <c r="DZ64">
        <v>4653</v>
      </c>
      <c r="EA64">
        <v>5.0100557851502643</v>
      </c>
      <c r="EB64">
        <v>5</v>
      </c>
      <c r="EC64">
        <v>8.1430693962528139E-2</v>
      </c>
      <c r="ED64">
        <v>0.65787333113090263</v>
      </c>
      <c r="EE64" s="12">
        <v>-1.0199100000000001</v>
      </c>
      <c r="EF64">
        <v>-1.0217000000000001</v>
      </c>
      <c r="EG64">
        <v>35.123778682170546</v>
      </c>
      <c r="EH64" t="s">
        <v>1284</v>
      </c>
      <c r="EI64">
        <v>1</v>
      </c>
      <c r="EJ64">
        <v>0</v>
      </c>
      <c r="EK64" s="14">
        <v>45504</v>
      </c>
      <c r="EL64" s="15">
        <v>-2.89</v>
      </c>
      <c r="EM64" s="15">
        <v>0.88</v>
      </c>
      <c r="EN64" s="15">
        <v>1.53</v>
      </c>
      <c r="EO64" s="15">
        <v>0.22</v>
      </c>
      <c r="EP64" s="15">
        <v>4.16</v>
      </c>
    </row>
    <row r="65" spans="1:146" ht="156" x14ac:dyDescent="0.25">
      <c r="A65" s="7"/>
      <c r="B65" s="7"/>
      <c r="C65" s="7" t="str">
        <f>"公司提供基于创新的统一软件平台和高性能硬件平台下，以网络安全为核心，融合企业通信领域中网络安全、应用交付、基础网络各功能模块的整体解决方案"&amp;CHAR(10)&amp;Basic_Fundamental_Information_Constructure(F65)&amp;CHAR(10)&amp;Basic_Fundamental_Information_Concatenate("网络安全产品 5.99亿 67.20%（毛利73.51%）
基础网络产品 1.53亿 17.20%（毛利56.22%）
应用交付产品 1.08亿 12.07%（毛利75.01%）
服务类产品 3081.68万 3.46%")</f>
        <v>公司提供基于创新的统一软件平台和高性能硬件平台下，以网络安全为核心，融合企业通信领域中网络安全、应用交付、基础网络各功能模块的整体解决方案
市值78.353994亿, 利润1.27亿; PE59.96; 平均PE35.75; 平均PEG4.15, PB2.45; ROIC3.9367%; ROE6.7233%; 股利率.6574%; 毛利69.3567%; 净利19.68%; 上一年度营收增15.79%, 利润增-15.33%; 当季营收增10.39%, 利润增12.37%; 过往5年营收增8.62%, 利润增-3.99%
Income profile:
网络安全产品 5.99亿 67.20%（毛利73.51%）
基础网络产品 1.53亿 17.20%（毛利56.22%）
应用交付产品 1.08亿 12.07%（毛利75.01%）
服务类产品 3081.68万 3.46%</v>
      </c>
      <c r="D65" t="s">
        <v>123</v>
      </c>
      <c r="E65" t="s">
        <v>124</v>
      </c>
      <c r="F65">
        <v>12.17</v>
      </c>
      <c r="G65">
        <v>5.09</v>
      </c>
      <c r="H65" t="s">
        <v>4038</v>
      </c>
      <c r="I65">
        <v>7835399400</v>
      </c>
      <c r="J65">
        <v>59.96</v>
      </c>
      <c r="K65">
        <v>2.4500000000000002</v>
      </c>
      <c r="L65" t="s">
        <v>1277</v>
      </c>
      <c r="M65" t="s">
        <v>614</v>
      </c>
      <c r="N65" t="s">
        <v>2752</v>
      </c>
      <c r="O65" t="s">
        <v>234</v>
      </c>
      <c r="P65">
        <v>10.16</v>
      </c>
      <c r="Q65" t="s">
        <v>729</v>
      </c>
      <c r="R65">
        <v>36686120</v>
      </c>
      <c r="S65" s="5">
        <v>0.1237</v>
      </c>
      <c r="T65" t="s">
        <v>211</v>
      </c>
      <c r="U65">
        <v>420667710</v>
      </c>
      <c r="V65">
        <v>643829040</v>
      </c>
      <c r="W65">
        <v>1.18</v>
      </c>
      <c r="X65">
        <v>7.0000000000000007E-2</v>
      </c>
      <c r="Y65">
        <v>14.41</v>
      </c>
      <c r="Z65" t="s">
        <v>289</v>
      </c>
      <c r="AA65" t="s">
        <v>2753</v>
      </c>
      <c r="AB65" t="s">
        <v>2754</v>
      </c>
      <c r="AC65" t="s">
        <v>2755</v>
      </c>
      <c r="AD65" t="s">
        <v>63</v>
      </c>
      <c r="AE65">
        <v>-7055697</v>
      </c>
      <c r="AF65" t="s">
        <v>175</v>
      </c>
      <c r="AG65" t="s">
        <v>2756</v>
      </c>
      <c r="AH65" t="s">
        <v>2757</v>
      </c>
      <c r="AI65" t="s">
        <v>1761</v>
      </c>
      <c r="AJ65" t="s">
        <v>2758</v>
      </c>
      <c r="AK65" t="s">
        <v>2759</v>
      </c>
      <c r="AL65" t="s">
        <v>2760</v>
      </c>
      <c r="AM65" t="s">
        <v>63</v>
      </c>
      <c r="AN65" t="s">
        <v>2761</v>
      </c>
      <c r="AO65" t="s">
        <v>63</v>
      </c>
      <c r="AP65" t="s">
        <v>63</v>
      </c>
      <c r="AQ65" t="s">
        <v>304</v>
      </c>
      <c r="AR65" t="s">
        <v>2762</v>
      </c>
      <c r="AS65" t="s">
        <v>1720</v>
      </c>
      <c r="AT65" t="s">
        <v>63</v>
      </c>
      <c r="AU65" t="s">
        <v>2763</v>
      </c>
      <c r="AV65" t="s">
        <v>2764</v>
      </c>
      <c r="AW65" t="s">
        <v>2765</v>
      </c>
      <c r="AX65" t="s">
        <v>1119</v>
      </c>
      <c r="AY65" t="s">
        <v>1170</v>
      </c>
      <c r="AZ65" t="s">
        <v>762</v>
      </c>
      <c r="BA65" t="s">
        <v>503</v>
      </c>
      <c r="BB65" t="s">
        <v>439</v>
      </c>
      <c r="BC65" t="s">
        <v>235</v>
      </c>
      <c r="BD65" t="s">
        <v>445</v>
      </c>
      <c r="BE65" t="s">
        <v>201</v>
      </c>
      <c r="BF65" t="s">
        <v>334</v>
      </c>
      <c r="BG65" t="s">
        <v>400</v>
      </c>
      <c r="BH65" t="s">
        <v>729</v>
      </c>
      <c r="BI65" t="s">
        <v>510</v>
      </c>
      <c r="BJ65" t="s">
        <v>1119</v>
      </c>
      <c r="BK65" t="s">
        <v>211</v>
      </c>
      <c r="BL65" t="s">
        <v>4039</v>
      </c>
      <c r="BM65" t="s">
        <v>235</v>
      </c>
      <c r="BN65">
        <v>0.72</v>
      </c>
      <c r="BO65">
        <v>2.09</v>
      </c>
      <c r="BP65">
        <v>9</v>
      </c>
      <c r="BQ65">
        <v>2.09</v>
      </c>
      <c r="BR65">
        <v>4.68</v>
      </c>
      <c r="BS65">
        <v>13.4</v>
      </c>
      <c r="BT65" t="s">
        <v>1422</v>
      </c>
      <c r="BU65" t="s">
        <v>1830</v>
      </c>
      <c r="BV65">
        <v>68.83</v>
      </c>
      <c r="BW65">
        <v>67.790000000000006</v>
      </c>
      <c r="BX65">
        <v>71.45</v>
      </c>
      <c r="BY65">
        <v>12.25</v>
      </c>
      <c r="BZ65">
        <v>16.77</v>
      </c>
      <c r="CA65">
        <v>30.02</v>
      </c>
      <c r="CB65">
        <v>7.7</v>
      </c>
      <c r="CC65">
        <v>-3.72</v>
      </c>
      <c r="CD65" t="s">
        <v>4040</v>
      </c>
      <c r="CE65" t="s">
        <v>488</v>
      </c>
      <c r="CF65" s="9">
        <v>0.10389610389610376</v>
      </c>
      <c r="CG65" s="10">
        <v>0.12372445775862333</v>
      </c>
      <c r="CH65" s="9">
        <v>0.15789473056793213</v>
      </c>
      <c r="CI65" s="9">
        <v>-0.13300970196723938</v>
      </c>
      <c r="CJ65" s="9">
        <v>0.15600448846817017</v>
      </c>
      <c r="CK65" s="9">
        <v>0.10820895433425903</v>
      </c>
      <c r="CL65" s="9">
        <v>0.14204545319080353</v>
      </c>
      <c r="CM65" s="10">
        <v>-0.15333333611488342</v>
      </c>
      <c r="CN65" s="10">
        <v>-0.51456308364868164</v>
      </c>
      <c r="CO65" s="10">
        <v>0.1195652186870575</v>
      </c>
      <c r="CP65" s="10">
        <v>9.5238097012042999E-2</v>
      </c>
      <c r="CQ65" s="10">
        <v>0.25373134016990662</v>
      </c>
      <c r="CR65">
        <v>35.750871787072242</v>
      </c>
      <c r="CS65">
        <v>4.1460484246350378</v>
      </c>
      <c r="CT65">
        <v>0.65735414954806903</v>
      </c>
      <c r="CU65" s="9">
        <v>8.6228784918785092E-2</v>
      </c>
      <c r="CV65" s="10">
        <v>-3.9872352778911588E-2</v>
      </c>
      <c r="CW65">
        <v>0.06</v>
      </c>
      <c r="CX65">
        <v>40.274308423554693</v>
      </c>
      <c r="CY65">
        <v>130142505.36291105</v>
      </c>
      <c r="CZ65">
        <v>8.6228784918785092E-2</v>
      </c>
      <c r="DA65">
        <v>13.203382634471263</v>
      </c>
      <c r="DB65">
        <v>396973983.49388176</v>
      </c>
      <c r="DC65">
        <v>8.1917345672845837E-2</v>
      </c>
      <c r="DD65">
        <v>6.5275086180562916</v>
      </c>
      <c r="DE65">
        <v>802970889.30703568</v>
      </c>
      <c r="DF65">
        <v>7.5881330728530885E-2</v>
      </c>
      <c r="DG65">
        <v>3.938753185622565</v>
      </c>
      <c r="DH65">
        <v>1330725524.8012035</v>
      </c>
      <c r="DI65">
        <v>6.8983027935028071E-2</v>
      </c>
      <c r="DJ65">
        <v>2.0561917606471281</v>
      </c>
      <c r="DK65">
        <v>2549081024.5978312</v>
      </c>
      <c r="DL65">
        <v>6.0360149443149561E-2</v>
      </c>
      <c r="DM65">
        <v>127000000</v>
      </c>
      <c r="DN65">
        <v>8.6228784918785092E-2</v>
      </c>
      <c r="DO65">
        <v>5241399400</v>
      </c>
      <c r="DP65">
        <v>2837120500</v>
      </c>
      <c r="DQ65">
        <v>2222</v>
      </c>
      <c r="DR65">
        <v>1.7667318977318672E-2</v>
      </c>
      <c r="DS65">
        <v>0.16359681053753491</v>
      </c>
      <c r="DT65" s="11">
        <v>-0.14000000000000001</v>
      </c>
      <c r="DU65">
        <v>-0.21666666666666667</v>
      </c>
      <c r="DV65">
        <v>-0.35666666666666669</v>
      </c>
      <c r="DW65">
        <v>5.4831168831168835</v>
      </c>
      <c r="DX65">
        <v>0.61068333333333413</v>
      </c>
      <c r="DY65">
        <v>5.0534729870129871</v>
      </c>
      <c r="DZ65">
        <v>2659</v>
      </c>
      <c r="EA65">
        <v>5.0256373032879411</v>
      </c>
      <c r="EB65">
        <v>5</v>
      </c>
      <c r="EC65">
        <v>2.3724155095582518E-2</v>
      </c>
      <c r="ED65">
        <v>0.21434261492771436</v>
      </c>
      <c r="EE65" s="12">
        <v>-3.0512000000000001</v>
      </c>
      <c r="EF65">
        <v>-3.1021000000000001</v>
      </c>
      <c r="EG65">
        <v>50.110683333333334</v>
      </c>
      <c r="EH65" t="s">
        <v>1470</v>
      </c>
      <c r="EI65">
        <v>1</v>
      </c>
      <c r="EJ65">
        <v>0</v>
      </c>
      <c r="EK65" s="14">
        <v>45504</v>
      </c>
      <c r="EL65" s="15">
        <v>-1.05</v>
      </c>
      <c r="EM65" s="15">
        <v>-1.33</v>
      </c>
      <c r="EN65" s="15">
        <v>1.79</v>
      </c>
      <c r="EO65" s="15">
        <v>1.5</v>
      </c>
      <c r="EP65" s="15">
        <v>5.09</v>
      </c>
    </row>
    <row r="66" spans="1:146" ht="180" hidden="1" x14ac:dyDescent="0.25">
      <c r="A66" s="7"/>
      <c r="B66" s="7"/>
      <c r="C66" s="7" t="str">
        <f>"公司主要业务是以证券工具型软件终端为载体，以互联网为工具，向投资者提供及时、专业的金融数据分析和证券投资咨询服务；同时，公司基于自身在金融信息服务领域积累的客户资源、流量入口优势及营销优势，积极拓展广告服务业务和保险经纪业务。"&amp;CHAR(10)&amp;Basic_Fundamental_Information_Constructure(F66)&amp;CHAR(10)&amp;Basic_Fundamental_Information_Concatenate("金融信息服务 8.59亿 92.08% 91.23% 87.29%
广告服务 7334.59万 7.87% 8.74% 97.85%
保险经纪 46.32万 0.05% 0.03% 61.89%")</f>
        <v>公司主要业务是以证券工具型软件终端为载体，以互联网为工具，向投资者提供及时、专业的金融数据分析和证券投资咨询服务；同时，公司基于自身在金融信息服务领域积累的客户资源、流量入口优势及营销优势，积极拓展广告服务业务和保险经纪业务。
市值165.14346亿, 利润7260.98万; PE515.6; 平均PE107.26; 平均PEG8.16, PB8.68; ROIC12.78%; ROE11.6567%; 股利率0%; 毛利87.6267%; 净利17.9267%; 上一年度营收增-19.76%, 利润增-78.52%; 当季营收增-24.21%, 利润增-70.74%; 过往5年营收增13.15%, 利润增15.78%
Income profile:
金融信息服务 8.59亿 92.08% 91.23% 87.29%
广告服务 7334.59万 7.87% 8.74% 97.85%
保险经纪 46.32万 0.05% 0.03% 61.89%</v>
      </c>
      <c r="D66" t="s">
        <v>83</v>
      </c>
      <c r="E66" t="s">
        <v>84</v>
      </c>
      <c r="F66">
        <v>40.380000000000003</v>
      </c>
      <c r="G66">
        <v>17.52</v>
      </c>
      <c r="H66" t="s">
        <v>4352</v>
      </c>
      <c r="I66">
        <v>16514346000</v>
      </c>
      <c r="J66">
        <v>515.6</v>
      </c>
      <c r="K66">
        <v>8.68</v>
      </c>
      <c r="L66" t="s">
        <v>1277</v>
      </c>
      <c r="M66" t="s">
        <v>2766</v>
      </c>
      <c r="N66" t="s">
        <v>1778</v>
      </c>
      <c r="O66" t="s">
        <v>480</v>
      </c>
      <c r="P66">
        <v>-24.32</v>
      </c>
      <c r="Q66" t="s">
        <v>795</v>
      </c>
      <c r="R66">
        <v>16788949</v>
      </c>
      <c r="S66" s="5">
        <v>-0.70730000000000004</v>
      </c>
      <c r="T66" t="s">
        <v>2780</v>
      </c>
      <c r="U66">
        <v>404196660</v>
      </c>
      <c r="V66">
        <v>408973400</v>
      </c>
      <c r="W66">
        <v>3.47</v>
      </c>
      <c r="X66">
        <v>0.04</v>
      </c>
      <c r="Y66">
        <v>5.72</v>
      </c>
      <c r="Z66" t="s">
        <v>560</v>
      </c>
      <c r="AA66" t="s">
        <v>2767</v>
      </c>
      <c r="AB66" t="s">
        <v>319</v>
      </c>
      <c r="AC66" t="s">
        <v>2768</v>
      </c>
      <c r="AD66" t="s">
        <v>63</v>
      </c>
      <c r="AE66">
        <v>3539657</v>
      </c>
      <c r="AF66" t="s">
        <v>2769</v>
      </c>
      <c r="AG66" t="s">
        <v>2770</v>
      </c>
      <c r="AH66" t="s">
        <v>2771</v>
      </c>
      <c r="AI66" t="s">
        <v>2772</v>
      </c>
      <c r="AJ66" t="s">
        <v>2773</v>
      </c>
      <c r="AK66" t="s">
        <v>63</v>
      </c>
      <c r="AL66" t="s">
        <v>2774</v>
      </c>
      <c r="AM66" t="s">
        <v>63</v>
      </c>
      <c r="AN66">
        <v>0</v>
      </c>
      <c r="AO66" t="s">
        <v>243</v>
      </c>
      <c r="AP66" t="s">
        <v>63</v>
      </c>
      <c r="AQ66" t="s">
        <v>2775</v>
      </c>
      <c r="AR66" t="s">
        <v>1754</v>
      </c>
      <c r="AS66" t="s">
        <v>2776</v>
      </c>
      <c r="AT66" t="s">
        <v>63</v>
      </c>
      <c r="AU66" t="s">
        <v>2777</v>
      </c>
      <c r="AV66" t="s">
        <v>1496</v>
      </c>
      <c r="AW66" t="s">
        <v>2778</v>
      </c>
      <c r="AX66" t="s">
        <v>2779</v>
      </c>
      <c r="AY66" t="s">
        <v>1116</v>
      </c>
      <c r="AZ66" t="s">
        <v>916</v>
      </c>
      <c r="BA66" t="s">
        <v>508</v>
      </c>
      <c r="BB66" t="s">
        <v>353</v>
      </c>
      <c r="BC66" t="s">
        <v>549</v>
      </c>
      <c r="BD66" t="s">
        <v>479</v>
      </c>
      <c r="BE66" t="s">
        <v>917</v>
      </c>
      <c r="BF66" t="s">
        <v>421</v>
      </c>
      <c r="BG66" t="s">
        <v>386</v>
      </c>
      <c r="BH66" t="s">
        <v>795</v>
      </c>
      <c r="BI66" t="s">
        <v>231</v>
      </c>
      <c r="BJ66" t="s">
        <v>2779</v>
      </c>
      <c r="BK66" t="s">
        <v>2780</v>
      </c>
      <c r="BL66" t="s">
        <v>4353</v>
      </c>
      <c r="BM66" t="s">
        <v>549</v>
      </c>
      <c r="BN66" t="s">
        <v>63</v>
      </c>
      <c r="BO66">
        <v>13.63</v>
      </c>
      <c r="BP66">
        <v>11.93</v>
      </c>
      <c r="BQ66">
        <v>-2.38</v>
      </c>
      <c r="BR66">
        <v>22.69</v>
      </c>
      <c r="BS66">
        <v>14.66</v>
      </c>
      <c r="BT66" t="s">
        <v>1409</v>
      </c>
      <c r="BU66" t="s">
        <v>1848</v>
      </c>
      <c r="BV66">
        <v>85.71</v>
      </c>
      <c r="BW66">
        <v>89.06</v>
      </c>
      <c r="BX66">
        <v>88.11</v>
      </c>
      <c r="BY66">
        <v>7.36</v>
      </c>
      <c r="BZ66">
        <v>27.52</v>
      </c>
      <c r="CA66">
        <v>18.899999999999999</v>
      </c>
      <c r="CB66">
        <v>21.7</v>
      </c>
      <c r="CC66">
        <v>-3.07</v>
      </c>
      <c r="CD66" t="s">
        <v>4354</v>
      </c>
      <c r="CE66" t="s">
        <v>361</v>
      </c>
      <c r="CF66" s="9">
        <v>-0.24213836477987422</v>
      </c>
      <c r="CG66" s="10">
        <v>-0.70735001838981881</v>
      </c>
      <c r="CH66" s="9">
        <v>-0.19756098091602325</v>
      </c>
      <c r="CI66" s="9">
        <v>0.31974250078201294</v>
      </c>
      <c r="CJ66" s="9">
        <v>0.34487733244895935</v>
      </c>
      <c r="CK66" s="9">
        <v>0.11235955357551575</v>
      </c>
      <c r="CL66" s="9">
        <v>7.7854670584201813E-2</v>
      </c>
      <c r="CM66" s="10">
        <v>-0.78517812490463257</v>
      </c>
      <c r="CN66" s="10">
        <v>0.92045456171035767</v>
      </c>
      <c r="CO66" s="10">
        <v>0.97285974025726318</v>
      </c>
      <c r="CP66" s="10">
        <v>-0.25657832622528076</v>
      </c>
      <c r="CQ66" s="10">
        <v>-6.25E-2</v>
      </c>
      <c r="CR66">
        <v>107.25686074912397</v>
      </c>
      <c r="CS66">
        <v>8.1592312684100943</v>
      </c>
      <c r="CT66">
        <v>0</v>
      </c>
      <c r="CU66" s="9">
        <v>0.13145461529493332</v>
      </c>
      <c r="CV66" s="10">
        <v>0.15781157016754149</v>
      </c>
      <c r="CW66">
        <v>0.06</v>
      </c>
      <c r="CX66">
        <v>234.94588049269129</v>
      </c>
      <c r="CY66">
        <v>77504427.665700048</v>
      </c>
      <c r="CZ66">
        <v>0.13145461529493332</v>
      </c>
      <c r="DA66">
        <v>74.142111216878646</v>
      </c>
      <c r="DB66">
        <v>245600586.51060632</v>
      </c>
      <c r="DC66">
        <v>0.12488188453018666</v>
      </c>
      <c r="DD66">
        <v>34.807345511930116</v>
      </c>
      <c r="DE66">
        <v>523146644.25527072</v>
      </c>
      <c r="DF66">
        <v>0.11568006145954132</v>
      </c>
      <c r="DG66">
        <v>19.793415734909189</v>
      </c>
      <c r="DH66">
        <v>919969864.92253566</v>
      </c>
      <c r="DI66">
        <v>0.10516369223594667</v>
      </c>
      <c r="DJ66">
        <v>9.0404839305761406</v>
      </c>
      <c r="DK66">
        <v>2014200361.37817</v>
      </c>
      <c r="DL66">
        <v>9.2018230706453319E-2</v>
      </c>
      <c r="DM66">
        <v>72609800</v>
      </c>
      <c r="DN66">
        <v>0.13145461529493332</v>
      </c>
      <c r="DO66">
        <v>18209346000</v>
      </c>
      <c r="DP66">
        <v>537929900</v>
      </c>
      <c r="DQ66">
        <v>2255</v>
      </c>
      <c r="DR66">
        <v>-0.37359298007480757</v>
      </c>
      <c r="DS66">
        <v>-0.86516158855736025</v>
      </c>
      <c r="DT66" s="11">
        <v>-0.32333333333333331</v>
      </c>
      <c r="DU66">
        <v>-0.32333333333333331</v>
      </c>
      <c r="DV66">
        <v>-0.64666666666666661</v>
      </c>
      <c r="DW66">
        <v>5.1414746543778804</v>
      </c>
      <c r="DX66">
        <v>1.481670408163269</v>
      </c>
      <c r="DY66">
        <v>5.0370197305558166</v>
      </c>
      <c r="DZ66">
        <v>3173</v>
      </c>
      <c r="EA66">
        <v>5.0140237233017828</v>
      </c>
      <c r="EB66">
        <v>5</v>
      </c>
      <c r="EC66">
        <v>0.12540522195331041</v>
      </c>
      <c r="ED66">
        <v>0.47924877265856408</v>
      </c>
      <c r="EE66" s="12">
        <v>7.4799999999999991E-2</v>
      </c>
      <c r="EF66">
        <v>1.1000000000000001</v>
      </c>
      <c r="EG66">
        <v>122.26167040816327</v>
      </c>
      <c r="EH66" t="s">
        <v>1286</v>
      </c>
      <c r="EI66">
        <v>1</v>
      </c>
      <c r="EJ66">
        <v>0</v>
      </c>
      <c r="EK66" s="14">
        <v>45504</v>
      </c>
      <c r="EL66" s="15">
        <v>-3.66</v>
      </c>
      <c r="EM66" s="15">
        <v>2.8</v>
      </c>
      <c r="EN66" s="15">
        <v>2.61</v>
      </c>
      <c r="EO66" s="15">
        <v>-2.2000000000000002</v>
      </c>
      <c r="EP66" s="15">
        <v>17.52</v>
      </c>
    </row>
    <row r="67" spans="1:146" ht="108" hidden="1" x14ac:dyDescent="0.25">
      <c r="A67" s="7"/>
      <c r="B67" s="7"/>
      <c r="C67" s="7" t="str">
        <f>""&amp;CHAR(10)&amp;Basic_Fundamental_Information_Constructure(F67)&amp;CHAR(10)&amp;Basic_Fundamental_Information_Concatenate("")</f>
        <v xml:space="preserve">
市值24.818234亿, 利润1265.58万; PE143.7; 平均PE40.45; 平均PEG7.3, PB2.09; ROIC5.15%; ROE2.1333%; 股利率.4029%; 毛利43.0467%; 净利7.4967%; 上一年度营收增-19.11%, 利润增-77.88%; 当季营收增-15.94%, 利润增24.09%; 过往5年营收增5.54%, 利润增-19.73%
Income profile:
</v>
      </c>
      <c r="D67" t="s">
        <v>153</v>
      </c>
      <c r="E67" t="s">
        <v>154</v>
      </c>
      <c r="F67">
        <v>5.77</v>
      </c>
      <c r="G67">
        <v>2.12</v>
      </c>
      <c r="H67" t="s">
        <v>4041</v>
      </c>
      <c r="I67">
        <v>2481823400</v>
      </c>
      <c r="J67">
        <v>143.69999999999999</v>
      </c>
      <c r="K67">
        <v>2.09</v>
      </c>
      <c r="L67" t="s">
        <v>1277</v>
      </c>
      <c r="M67" t="s">
        <v>357</v>
      </c>
      <c r="N67" t="s">
        <v>1699</v>
      </c>
      <c r="O67" t="s">
        <v>2781</v>
      </c>
      <c r="P67">
        <v>-15.94</v>
      </c>
      <c r="Q67" t="s">
        <v>371</v>
      </c>
      <c r="R67">
        <v>-14547270</v>
      </c>
      <c r="S67" s="5">
        <v>0.2409</v>
      </c>
      <c r="T67" t="s">
        <v>2797</v>
      </c>
      <c r="U67">
        <v>314963770</v>
      </c>
      <c r="V67">
        <v>430125370</v>
      </c>
      <c r="W67">
        <v>1.25</v>
      </c>
      <c r="X67">
        <v>0.03</v>
      </c>
      <c r="Y67">
        <v>-28.68</v>
      </c>
      <c r="Z67" t="s">
        <v>2782</v>
      </c>
      <c r="AA67" t="s">
        <v>2783</v>
      </c>
      <c r="AB67" t="s">
        <v>2784</v>
      </c>
      <c r="AC67" t="s">
        <v>2785</v>
      </c>
      <c r="AD67" t="s">
        <v>63</v>
      </c>
      <c r="AE67">
        <v>1837621</v>
      </c>
      <c r="AF67" t="s">
        <v>2786</v>
      </c>
      <c r="AG67">
        <v>1.6</v>
      </c>
      <c r="AH67" t="s">
        <v>2787</v>
      </c>
      <c r="AI67" t="s">
        <v>2788</v>
      </c>
      <c r="AJ67" t="s">
        <v>2789</v>
      </c>
      <c r="AK67" t="s">
        <v>2790</v>
      </c>
      <c r="AL67" t="s">
        <v>2791</v>
      </c>
      <c r="AM67" t="s">
        <v>63</v>
      </c>
      <c r="AN67">
        <v>0</v>
      </c>
      <c r="AO67" t="s">
        <v>63</v>
      </c>
      <c r="AP67" t="s">
        <v>63</v>
      </c>
      <c r="AQ67" t="s">
        <v>2792</v>
      </c>
      <c r="AR67">
        <v>9210.94</v>
      </c>
      <c r="AS67" t="s">
        <v>2793</v>
      </c>
      <c r="AT67" t="s">
        <v>63</v>
      </c>
      <c r="AU67" t="s">
        <v>2794</v>
      </c>
      <c r="AV67" t="s">
        <v>809</v>
      </c>
      <c r="AW67" t="s">
        <v>2795</v>
      </c>
      <c r="AX67" t="s">
        <v>1511</v>
      </c>
      <c r="AY67" t="s">
        <v>1109</v>
      </c>
      <c r="AZ67" t="s">
        <v>759</v>
      </c>
      <c r="BA67" t="s">
        <v>583</v>
      </c>
      <c r="BB67" t="s">
        <v>237</v>
      </c>
      <c r="BC67" t="s">
        <v>2796</v>
      </c>
      <c r="BD67" t="s">
        <v>1195</v>
      </c>
      <c r="BE67" t="s">
        <v>918</v>
      </c>
      <c r="BF67" t="s">
        <v>584</v>
      </c>
      <c r="BG67" t="s">
        <v>919</v>
      </c>
      <c r="BH67" t="s">
        <v>371</v>
      </c>
      <c r="BI67" t="s">
        <v>4042</v>
      </c>
      <c r="BJ67" t="s">
        <v>1511</v>
      </c>
      <c r="BK67" t="s">
        <v>2797</v>
      </c>
      <c r="BL67" t="s">
        <v>4043</v>
      </c>
      <c r="BM67" t="s">
        <v>2796</v>
      </c>
      <c r="BN67" t="s">
        <v>63</v>
      </c>
      <c r="BO67">
        <v>4.6399999999999997</v>
      </c>
      <c r="BP67">
        <v>5.66</v>
      </c>
      <c r="BQ67">
        <v>-4.1399999999999997</v>
      </c>
      <c r="BR67">
        <v>4.78</v>
      </c>
      <c r="BS67">
        <v>5.76</v>
      </c>
      <c r="BT67" t="s">
        <v>2798</v>
      </c>
      <c r="BU67" t="s">
        <v>1848</v>
      </c>
      <c r="BV67">
        <v>45.5</v>
      </c>
      <c r="BW67">
        <v>41.19</v>
      </c>
      <c r="BX67">
        <v>42.45</v>
      </c>
      <c r="BY67">
        <v>2.4700000000000002</v>
      </c>
      <c r="BZ67">
        <v>8.98</v>
      </c>
      <c r="CA67">
        <v>11.04</v>
      </c>
      <c r="CB67">
        <v>8.26</v>
      </c>
      <c r="CC67">
        <v>-4.79</v>
      </c>
      <c r="CD67" t="s">
        <v>4044</v>
      </c>
      <c r="CE67" t="s">
        <v>329</v>
      </c>
      <c r="CF67" s="9">
        <v>-0.15943588262054903</v>
      </c>
      <c r="CG67" s="10">
        <v>0.24086677451338517</v>
      </c>
      <c r="CH67" s="9">
        <v>-0.19108280539512634</v>
      </c>
      <c r="CI67" s="9">
        <v>4.8414021730422974E-2</v>
      </c>
      <c r="CJ67" s="9">
        <v>0.21255061030387878</v>
      </c>
      <c r="CK67" s="9">
        <v>7.1583516895771027E-2</v>
      </c>
      <c r="CL67" s="9">
        <v>0.13546797633171082</v>
      </c>
      <c r="CM67" s="10">
        <v>-0.77878767251968384</v>
      </c>
      <c r="CN67" s="10">
        <v>-0.13029380142688751</v>
      </c>
      <c r="CO67" s="10">
        <v>-2.8639310970902443E-2</v>
      </c>
      <c r="CP67" s="10">
        <v>-0.24539469182491302</v>
      </c>
      <c r="CQ67" s="10">
        <v>0.19637021422386169</v>
      </c>
      <c r="CR67">
        <v>40.450343344410072</v>
      </c>
      <c r="CS67">
        <v>7.3032640788560252</v>
      </c>
      <c r="CT67">
        <v>0.40293067590987874</v>
      </c>
      <c r="CU67" s="9">
        <v>5.5386663973331453E-2</v>
      </c>
      <c r="CV67" s="10">
        <v>-0.19734905250370502</v>
      </c>
      <c r="CW67">
        <v>0.06</v>
      </c>
      <c r="CX67">
        <v>127.75646783007899</v>
      </c>
      <c r="CY67">
        <v>12600719.379163856</v>
      </c>
      <c r="CZ67">
        <v>5.5386663973331453E-2</v>
      </c>
      <c r="DA67">
        <v>42.996292121675211</v>
      </c>
      <c r="DB67">
        <v>37440982.014085323</v>
      </c>
      <c r="DC67">
        <v>5.2617330774664878E-2</v>
      </c>
      <c r="DD67">
        <v>22.003809959971036</v>
      </c>
      <c r="DE67">
        <v>73161120.866275609</v>
      </c>
      <c r="DF67">
        <v>4.874026429653168E-2</v>
      </c>
      <c r="DG67">
        <v>13.794697071651592</v>
      </c>
      <c r="DH67">
        <v>116698713.39967462</v>
      </c>
      <c r="DI67">
        <v>4.4309331178665166E-2</v>
      </c>
      <c r="DJ67">
        <v>7.8120049191403718</v>
      </c>
      <c r="DK67">
        <v>206070453.95679858</v>
      </c>
      <c r="DL67">
        <v>3.8770664781332016E-2</v>
      </c>
      <c r="DM67">
        <v>12655800</v>
      </c>
      <c r="DN67">
        <v>5.5386663973331453E-2</v>
      </c>
      <c r="DO67">
        <v>1609823400</v>
      </c>
      <c r="DP67">
        <v>1053382520</v>
      </c>
      <c r="DQ67">
        <v>2282</v>
      </c>
      <c r="DR67">
        <v>-0.21482254659388048</v>
      </c>
      <c r="DS67">
        <v>0.43821582701709016</v>
      </c>
      <c r="DT67" s="11">
        <v>-0.47333333333333333</v>
      </c>
      <c r="DU67">
        <v>-1.0283333333333335</v>
      </c>
      <c r="DV67">
        <v>-1.5016666666666669</v>
      </c>
      <c r="DW67">
        <v>5.579903147699758</v>
      </c>
      <c r="DX67">
        <v>0.45962624113475414</v>
      </c>
      <c r="DY67">
        <v>5.0461755078735422</v>
      </c>
      <c r="DZ67">
        <v>4023</v>
      </c>
      <c r="EA67">
        <v>5.0098082274946734</v>
      </c>
      <c r="EB67">
        <v>5</v>
      </c>
      <c r="EC67">
        <v>5.2204779271680719E-2</v>
      </c>
      <c r="ED67">
        <v>0.65562280132418138</v>
      </c>
      <c r="EE67" s="12">
        <v>-2.0516100000000002</v>
      </c>
      <c r="EF67">
        <v>-2.0304099999999998</v>
      </c>
      <c r="EG67">
        <v>38.079626241134754</v>
      </c>
      <c r="EH67" t="s">
        <v>1461</v>
      </c>
      <c r="EI67">
        <v>1</v>
      </c>
      <c r="EJ67">
        <v>0</v>
      </c>
      <c r="EK67" s="14">
        <v>45504</v>
      </c>
      <c r="EL67" s="15">
        <v>-1.84</v>
      </c>
      <c r="EM67" s="15">
        <v>0.75</v>
      </c>
      <c r="EN67" s="15">
        <v>2.42</v>
      </c>
      <c r="EO67" s="15">
        <v>1.27</v>
      </c>
      <c r="EP67" s="15">
        <v>2.12</v>
      </c>
    </row>
    <row r="68" spans="1:146" ht="96" hidden="1" x14ac:dyDescent="0.25">
      <c r="A68" s="7"/>
      <c r="B68" s="7"/>
      <c r="C68" s="7" t="str">
        <f>""&amp;CHAR(10)&amp;Basic_Fundamental_Information_Constructure(F68)&amp;CHAR(10)&amp;Basic_Fundamental_Information_Concatenate("")</f>
        <v xml:space="preserve">
市值42.227831亿, 利润1.13亿; PE36.42; 平均PE38.38; 平均PEG.96, PB2.05; ROIC7.9633%; ROE8.97%; 股利率.8122%; 毛利24.0633%; 净利3.6333%; 上一年度营收增8.34%, 利润增-12.4%; 当季营收增13.38%, 利润增10.24%; 过往5年营收增39.83%, 利润增13.64%
Income profile:
</v>
      </c>
      <c r="D68" t="s">
        <v>920</v>
      </c>
      <c r="E68" t="s">
        <v>921</v>
      </c>
      <c r="F68">
        <v>9.85</v>
      </c>
      <c r="G68">
        <v>3.9</v>
      </c>
      <c r="H68" t="s">
        <v>4045</v>
      </c>
      <c r="I68">
        <v>4222783100</v>
      </c>
      <c r="J68">
        <v>36.42</v>
      </c>
      <c r="K68">
        <v>2.0499999999999998</v>
      </c>
      <c r="L68" t="s">
        <v>1277</v>
      </c>
      <c r="M68" t="s">
        <v>1341</v>
      </c>
      <c r="N68" t="s">
        <v>2799</v>
      </c>
      <c r="O68" t="s">
        <v>1459</v>
      </c>
      <c r="P68">
        <v>13.36</v>
      </c>
      <c r="Q68" t="s">
        <v>1551</v>
      </c>
      <c r="R68">
        <v>31591306</v>
      </c>
      <c r="S68" s="5">
        <v>0.1024</v>
      </c>
      <c r="T68" t="s">
        <v>305</v>
      </c>
      <c r="U68">
        <v>318542880</v>
      </c>
      <c r="V68">
        <v>428708950</v>
      </c>
      <c r="W68">
        <v>1.4</v>
      </c>
      <c r="X68">
        <v>0.35</v>
      </c>
      <c r="Y68">
        <v>3.16</v>
      </c>
      <c r="Z68" t="s">
        <v>1766</v>
      </c>
      <c r="AA68" t="s">
        <v>1309</v>
      </c>
      <c r="AB68" t="s">
        <v>2800</v>
      </c>
      <c r="AC68" t="s">
        <v>2801</v>
      </c>
      <c r="AD68" t="s">
        <v>63</v>
      </c>
      <c r="AE68">
        <v>-1399757</v>
      </c>
      <c r="AF68" t="s">
        <v>2802</v>
      </c>
      <c r="AG68" t="s">
        <v>2803</v>
      </c>
      <c r="AH68" t="s">
        <v>2804</v>
      </c>
      <c r="AI68" t="s">
        <v>502</v>
      </c>
      <c r="AJ68" t="s">
        <v>2805</v>
      </c>
      <c r="AK68" t="s">
        <v>2806</v>
      </c>
      <c r="AL68" t="s">
        <v>2807</v>
      </c>
      <c r="AM68" t="s">
        <v>63</v>
      </c>
      <c r="AN68">
        <v>0</v>
      </c>
      <c r="AO68" t="s">
        <v>201</v>
      </c>
      <c r="AP68" t="s">
        <v>63</v>
      </c>
      <c r="AQ68" t="s">
        <v>2808</v>
      </c>
      <c r="AR68" t="s">
        <v>63</v>
      </c>
      <c r="AS68" t="s">
        <v>438</v>
      </c>
      <c r="AT68" t="s">
        <v>63</v>
      </c>
      <c r="AU68" t="s">
        <v>1698</v>
      </c>
      <c r="AV68" t="s">
        <v>2809</v>
      </c>
      <c r="AW68" t="s">
        <v>2810</v>
      </c>
      <c r="AX68" t="s">
        <v>1512</v>
      </c>
      <c r="AY68" t="s">
        <v>1196</v>
      </c>
      <c r="AZ68" t="s">
        <v>303</v>
      </c>
      <c r="BA68" t="s">
        <v>922</v>
      </c>
      <c r="BB68" t="s">
        <v>192</v>
      </c>
      <c r="BC68" t="s">
        <v>184</v>
      </c>
      <c r="BD68" t="s">
        <v>437</v>
      </c>
      <c r="BE68" t="s">
        <v>182</v>
      </c>
      <c r="BF68" t="s">
        <v>923</v>
      </c>
      <c r="BG68" t="s">
        <v>924</v>
      </c>
      <c r="BH68" t="s">
        <v>1551</v>
      </c>
      <c r="BI68" t="s">
        <v>1716</v>
      </c>
      <c r="BJ68" t="s">
        <v>1512</v>
      </c>
      <c r="BK68" t="s">
        <v>305</v>
      </c>
      <c r="BL68" t="s">
        <v>4046</v>
      </c>
      <c r="BM68" t="s">
        <v>184</v>
      </c>
      <c r="BN68">
        <v>5.07</v>
      </c>
      <c r="BO68">
        <v>8.18</v>
      </c>
      <c r="BP68">
        <v>10.64</v>
      </c>
      <c r="BQ68">
        <v>5.73</v>
      </c>
      <c r="BR68">
        <v>9.76</v>
      </c>
      <c r="BS68">
        <v>11.42</v>
      </c>
      <c r="BT68" t="s">
        <v>1422</v>
      </c>
      <c r="BU68" t="s">
        <v>1848</v>
      </c>
      <c r="BV68">
        <v>21.2</v>
      </c>
      <c r="BW68">
        <v>24.6</v>
      </c>
      <c r="BX68">
        <v>26.39</v>
      </c>
      <c r="BY68">
        <v>2.91</v>
      </c>
      <c r="BZ68">
        <v>3.61</v>
      </c>
      <c r="CA68">
        <v>4.38</v>
      </c>
      <c r="CB68">
        <v>7.65</v>
      </c>
      <c r="CC68">
        <v>-10.050000000000001</v>
      </c>
      <c r="CD68" t="s">
        <v>4047</v>
      </c>
      <c r="CE68" t="s">
        <v>4048</v>
      </c>
      <c r="CF68" s="9">
        <v>0.13378684807256236</v>
      </c>
      <c r="CG68" s="10">
        <v>0.10244020407735956</v>
      </c>
      <c r="CH68" s="9">
        <v>8.3379834890365601E-2</v>
      </c>
      <c r="CI68" s="9">
        <v>0.16126938164234161</v>
      </c>
      <c r="CJ68" s="9">
        <v>0.58521562814712524</v>
      </c>
      <c r="CK68" s="9">
        <v>0.49043604731559753</v>
      </c>
      <c r="CL68" s="9">
        <v>0.67135560512542725</v>
      </c>
      <c r="CM68" s="10">
        <v>-0.12403100728988647</v>
      </c>
      <c r="CN68" s="10">
        <v>-4.444444552063942E-2</v>
      </c>
      <c r="CO68" s="10">
        <v>0.10655737668275833</v>
      </c>
      <c r="CP68" s="10">
        <v>0.27143725752830505</v>
      </c>
      <c r="CQ68" s="10">
        <v>0.47246336936950684</v>
      </c>
      <c r="CR68">
        <v>38.381941291610026</v>
      </c>
      <c r="CS68">
        <v>0.96356829973178204</v>
      </c>
      <c r="CT68">
        <v>0.81218274111675137</v>
      </c>
      <c r="CU68" s="9">
        <v>0.39833129942417145</v>
      </c>
      <c r="CV68" s="10">
        <v>0.13639651015400886</v>
      </c>
      <c r="CW68">
        <v>0.06</v>
      </c>
      <c r="CX68">
        <v>19.305248702894154</v>
      </c>
      <c r="CY68">
        <v>149067393.24050128</v>
      </c>
      <c r="CZ68">
        <v>0.39833129942417145</v>
      </c>
      <c r="DA68">
        <v>4.9065855420656206</v>
      </c>
      <c r="DB68">
        <v>586514405.04357004</v>
      </c>
      <c r="DC68">
        <v>0.37841473445296286</v>
      </c>
      <c r="DD68">
        <v>1.6715574929128576</v>
      </c>
      <c r="DE68">
        <v>1721617779.94556</v>
      </c>
      <c r="DF68">
        <v>0.35053154349327087</v>
      </c>
      <c r="DG68">
        <v>0.63416083219115127</v>
      </c>
      <c r="DH68">
        <v>4537938885.4033909</v>
      </c>
      <c r="DI68">
        <v>0.31866503953933717</v>
      </c>
      <c r="DJ68">
        <v>0.10457388859127624</v>
      </c>
      <c r="DK68">
        <v>27519136361.541695</v>
      </c>
      <c r="DL68">
        <v>0.27883190959692</v>
      </c>
      <c r="DM68">
        <v>112999999.99999999</v>
      </c>
      <c r="DN68">
        <v>0.39833129942417145</v>
      </c>
      <c r="DO68">
        <v>2877783100</v>
      </c>
      <c r="DP68">
        <v>1924454700</v>
      </c>
      <c r="DQ68">
        <v>2374</v>
      </c>
      <c r="DR68">
        <v>-0.26454445135160909</v>
      </c>
      <c r="DS68">
        <v>-3.3956306076649304E-2</v>
      </c>
      <c r="DT68" s="11">
        <v>0.16</v>
      </c>
      <c r="DU68">
        <v>0.21666666666666665</v>
      </c>
      <c r="DV68">
        <v>0.37666666666666665</v>
      </c>
      <c r="DW68">
        <v>7.4322033898305087</v>
      </c>
      <c r="DX68">
        <v>0.39380463917525632</v>
      </c>
      <c r="DY68">
        <v>7.0578308186265941</v>
      </c>
      <c r="DZ68">
        <v>991</v>
      </c>
      <c r="EA68">
        <v>7.046611096375428</v>
      </c>
      <c r="EB68">
        <v>7</v>
      </c>
      <c r="EC68">
        <v>0.12109894136803069</v>
      </c>
      <c r="ED68">
        <v>0.90504292014430765</v>
      </c>
      <c r="EE68" s="12">
        <v>1.0216099999999999</v>
      </c>
      <c r="EF68">
        <v>1.0174000000000001</v>
      </c>
      <c r="EG68">
        <v>26.133804639175256</v>
      </c>
      <c r="EH68" t="s">
        <v>1286</v>
      </c>
      <c r="EI68">
        <v>1</v>
      </c>
      <c r="EJ68">
        <v>1</v>
      </c>
      <c r="EK68" s="14">
        <v>45504</v>
      </c>
      <c r="EL68" s="15">
        <v>-2.35</v>
      </c>
      <c r="EM68" s="15">
        <v>2.19</v>
      </c>
      <c r="EN68" s="15">
        <v>0.43</v>
      </c>
      <c r="EO68" s="15">
        <v>0.75</v>
      </c>
      <c r="EP68" s="15">
        <v>3.9</v>
      </c>
    </row>
    <row r="69" spans="1:146" ht="96" hidden="1" x14ac:dyDescent="0.25">
      <c r="A69" s="7"/>
      <c r="B69" s="7"/>
      <c r="C69" s="7" t="str">
        <f>""&amp;CHAR(10)&amp;Basic_Fundamental_Information_Constructure(F69)&amp;CHAR(10)&amp;Basic_Fundamental_Information_Concatenate("")</f>
        <v xml:space="preserve">
市值13.749451亿, 利润-4018.93万; PE; 平均PE50.01; 平均PEG7.17, PB1.58; ROIC8.99%; ROE.2067%; 股利率0%; 毛利92.5533%; 净利-5.14%; 上一年度营收增-2.4%, 利润增-43.83%; 当季营收增-38.39%, 利润增-17.91%; 过往5年营收增6.97%, 利润增-34.13%
Income profile:
</v>
      </c>
      <c r="D69" t="s">
        <v>925</v>
      </c>
      <c r="E69" t="s">
        <v>926</v>
      </c>
      <c r="F69">
        <v>17.309999999999999</v>
      </c>
      <c r="G69">
        <v>4.47</v>
      </c>
      <c r="H69" t="s">
        <v>4049</v>
      </c>
      <c r="I69">
        <v>1374945100</v>
      </c>
      <c r="K69">
        <v>1.58</v>
      </c>
      <c r="L69" t="s">
        <v>1277</v>
      </c>
      <c r="M69" t="s">
        <v>2811</v>
      </c>
      <c r="N69" t="s">
        <v>2812</v>
      </c>
      <c r="O69" t="s">
        <v>2813</v>
      </c>
      <c r="P69">
        <v>-38.39</v>
      </c>
      <c r="Q69" t="s">
        <v>561</v>
      </c>
      <c r="R69">
        <v>-19288326</v>
      </c>
      <c r="S69" s="5">
        <v>-0.17910000000000001</v>
      </c>
      <c r="T69" t="s">
        <v>2828</v>
      </c>
      <c r="U69">
        <v>60273655</v>
      </c>
      <c r="V69">
        <v>79430680</v>
      </c>
      <c r="W69">
        <v>1.03</v>
      </c>
      <c r="X69">
        <v>0.02</v>
      </c>
      <c r="Y69">
        <v>-139.6</v>
      </c>
      <c r="Z69" t="s">
        <v>2814</v>
      </c>
      <c r="AA69" t="s">
        <v>2815</v>
      </c>
      <c r="AB69" t="s">
        <v>2816</v>
      </c>
      <c r="AC69" t="s">
        <v>2817</v>
      </c>
      <c r="AD69" t="s">
        <v>63</v>
      </c>
      <c r="AE69">
        <v>-1294444</v>
      </c>
      <c r="AF69" t="s">
        <v>2818</v>
      </c>
      <c r="AG69">
        <v>0.28000000000000003</v>
      </c>
      <c r="AH69" t="s">
        <v>2819</v>
      </c>
      <c r="AI69" t="s">
        <v>463</v>
      </c>
      <c r="AJ69" t="s">
        <v>2820</v>
      </c>
      <c r="AK69" t="s">
        <v>2821</v>
      </c>
      <c r="AL69" t="s">
        <v>2822</v>
      </c>
      <c r="AM69" t="s">
        <v>63</v>
      </c>
      <c r="AN69">
        <v>0</v>
      </c>
      <c r="AO69" t="s">
        <v>63</v>
      </c>
      <c r="AP69" t="s">
        <v>63</v>
      </c>
      <c r="AQ69" t="s">
        <v>2823</v>
      </c>
      <c r="AR69" t="s">
        <v>63</v>
      </c>
      <c r="AS69" t="s">
        <v>2824</v>
      </c>
      <c r="AT69" t="s">
        <v>63</v>
      </c>
      <c r="AU69" t="s">
        <v>2825</v>
      </c>
      <c r="AV69" t="s">
        <v>2826</v>
      </c>
      <c r="AW69" t="s">
        <v>2827</v>
      </c>
      <c r="AX69" t="s">
        <v>453</v>
      </c>
      <c r="AY69" t="s">
        <v>510</v>
      </c>
      <c r="AZ69" t="s">
        <v>235</v>
      </c>
      <c r="BA69" t="s">
        <v>436</v>
      </c>
      <c r="BB69" t="s">
        <v>219</v>
      </c>
      <c r="BC69" t="s">
        <v>1513</v>
      </c>
      <c r="BD69" t="s">
        <v>1197</v>
      </c>
      <c r="BE69" t="s">
        <v>927</v>
      </c>
      <c r="BF69" t="s">
        <v>928</v>
      </c>
      <c r="BG69" t="s">
        <v>929</v>
      </c>
      <c r="BH69" t="s">
        <v>561</v>
      </c>
      <c r="BI69" t="s">
        <v>4050</v>
      </c>
      <c r="BJ69" t="s">
        <v>453</v>
      </c>
      <c r="BK69" t="s">
        <v>2828</v>
      </c>
      <c r="BL69" t="s">
        <v>4051</v>
      </c>
      <c r="BM69" t="s">
        <v>1513</v>
      </c>
      <c r="BN69" t="s">
        <v>63</v>
      </c>
      <c r="BO69" t="s">
        <v>63</v>
      </c>
      <c r="BP69">
        <v>8.99</v>
      </c>
      <c r="BQ69">
        <v>-3.01</v>
      </c>
      <c r="BR69">
        <v>-2.93</v>
      </c>
      <c r="BS69">
        <v>6.56</v>
      </c>
      <c r="BT69" t="s">
        <v>1409</v>
      </c>
      <c r="BU69" t="s">
        <v>1848</v>
      </c>
      <c r="BV69">
        <v>92.35</v>
      </c>
      <c r="BW69">
        <v>93.34</v>
      </c>
      <c r="BX69">
        <v>91.97</v>
      </c>
      <c r="BY69">
        <v>-24.73</v>
      </c>
      <c r="BZ69">
        <v>-16.7</v>
      </c>
      <c r="CA69">
        <v>26.01</v>
      </c>
      <c r="CB69">
        <v>6</v>
      </c>
      <c r="CC69">
        <v>6.98</v>
      </c>
      <c r="CD69" t="s">
        <v>4052</v>
      </c>
      <c r="CE69" t="s">
        <v>4053</v>
      </c>
      <c r="CF69" s="9">
        <v>-0.38390981936226093</v>
      </c>
      <c r="CG69" s="10">
        <v>-0.17905068707516261</v>
      </c>
      <c r="CH69" s="9">
        <v>-2.3952096700668335E-2</v>
      </c>
      <c r="CI69" s="9">
        <v>-0.27705627679824829</v>
      </c>
      <c r="CJ69" s="9">
        <v>0.54000002145767212</v>
      </c>
      <c r="CK69" s="9">
        <v>-0.12790697813034058</v>
      </c>
      <c r="CL69" s="9">
        <v>0.23741006851196289</v>
      </c>
      <c r="CM69" s="10">
        <v>-0.43831664323806763</v>
      </c>
      <c r="CN69" s="10">
        <v>-1.4654756784439087</v>
      </c>
      <c r="CO69" s="10">
        <v>8.2962147891521454E-2</v>
      </c>
      <c r="CP69" s="10">
        <v>-0.15863937139511108</v>
      </c>
      <c r="CQ69" s="10">
        <v>0.27278962731361389</v>
      </c>
      <c r="CR69">
        <v>50.00691395921455</v>
      </c>
      <c r="CS69">
        <v>7.1747014312698703</v>
      </c>
      <c r="CT69">
        <v>0</v>
      </c>
      <c r="CU69" s="9">
        <v>6.9698947668075564E-2</v>
      </c>
      <c r="CV69" s="10">
        <v>-0.34133598357439043</v>
      </c>
      <c r="CW69">
        <v>0.06</v>
      </c>
      <c r="CX69" t="e">
        <v>#VALUE!</v>
      </c>
      <c r="CY69" t="s">
        <v>1282</v>
      </c>
      <c r="CZ69">
        <v>6.9698947668075564E-2</v>
      </c>
      <c r="DA69" t="e">
        <v>#VALUE!</v>
      </c>
      <c r="DB69" t="s">
        <v>1283</v>
      </c>
      <c r="DC69">
        <v>6.6214000284671781E-2</v>
      </c>
      <c r="DD69" t="e">
        <v>#VALUE!</v>
      </c>
      <c r="DE69" t="s">
        <v>1283</v>
      </c>
      <c r="DF69">
        <v>6.13350739479065E-2</v>
      </c>
      <c r="DG69" t="e">
        <v>#VALUE!</v>
      </c>
      <c r="DH69" t="s">
        <v>1283</v>
      </c>
      <c r="DI69">
        <v>5.5759158134460453E-2</v>
      </c>
      <c r="DJ69" t="e">
        <v>#VALUE!</v>
      </c>
      <c r="DK69" t="s">
        <v>1283</v>
      </c>
      <c r="DL69">
        <v>4.8789263367652894E-2</v>
      </c>
      <c r="DM69">
        <v>-40189300</v>
      </c>
      <c r="DN69">
        <v>6.9698947668075564E-2</v>
      </c>
      <c r="DO69">
        <v>552330900</v>
      </c>
      <c r="DP69">
        <v>807534280</v>
      </c>
      <c r="DQ69">
        <v>2383</v>
      </c>
      <c r="DR69">
        <v>-0.45360876703033648</v>
      </c>
      <c r="DS69">
        <v>0.16228529649922782</v>
      </c>
      <c r="DT69" s="11">
        <v>-0.35666666666666669</v>
      </c>
      <c r="DU69">
        <v>-1.9950000000000001</v>
      </c>
      <c r="DV69">
        <v>-2.3516666666666666</v>
      </c>
      <c r="DW69">
        <v>9.859598853868194</v>
      </c>
      <c r="DX69">
        <v>0.43594866782815611</v>
      </c>
      <c r="DY69">
        <v>9.194225215898129</v>
      </c>
      <c r="DZ69">
        <v>4586</v>
      </c>
      <c r="EA69">
        <v>9.0198483873725177</v>
      </c>
      <c r="EB69">
        <v>9</v>
      </c>
      <c r="EC69">
        <v>0.13388403574034619</v>
      </c>
      <c r="ED69">
        <v>0.59254182388971111</v>
      </c>
      <c r="EE69" s="12">
        <v>-3.1232000000000002</v>
      </c>
      <c r="EF69">
        <v>-2.0179</v>
      </c>
      <c r="EG69">
        <v>21.225948667828156</v>
      </c>
      <c r="EH69" t="s">
        <v>1431</v>
      </c>
      <c r="EI69">
        <v>1</v>
      </c>
      <c r="EJ69">
        <v>0</v>
      </c>
      <c r="EK69" s="14">
        <v>45504</v>
      </c>
      <c r="EL69" s="15">
        <v>6.38</v>
      </c>
      <c r="EM69" s="15">
        <v>-0.98</v>
      </c>
      <c r="EN69" s="15">
        <v>0.25</v>
      </c>
      <c r="EO69" s="15">
        <v>4.4400000000000004</v>
      </c>
      <c r="EP69" s="15">
        <v>4.47</v>
      </c>
    </row>
    <row r="70" spans="1:146" ht="168" hidden="1" x14ac:dyDescent="0.25">
      <c r="A70" s="7" t="s">
        <v>1098</v>
      </c>
      <c r="B70" s="7" t="s">
        <v>1094</v>
      </c>
      <c r="C70" s="7" t="str">
        <f>"公司主营业务是为大型集团企业提供管理信息化方案及IT综合服务。公司的主要业务从客户维度来看，长期服务的战略客户有五家央企，包括石油行业的中石油、中石化、中海油和国家管网和建筑行业的中国建筑。"&amp;CHAR(10)&amp;Basic_Fundamental_Information_Constructure(F70)&amp;CHAR(10)&amp;Basic_Fundamental_Information_Concatenate("石油石化 7543.38万 46.45% 46.97% 47.53%
地产建筑 5191.23万 31.97% 39.63% 58.27%
金融行业 1463.91万 9.02% 13.41% 69.92%")</f>
        <v>公司主营业务是为大型集团企业提供管理信息化方案及IT综合服务。公司的主要业务从客户维度来看，长期服务的战略客户有五家央企，包括石油行业的中石油、中石化、中海油和国家管网和建筑行业的中国建筑。
市值31.978816亿, 利润6216.02万; PE38.03; 平均PE36.08; 平均PEG1.71, PB2.63; ROIC17.475%; ROE11.1033%; 股利率.6393%; 毛利44.22%; 净利17.69%; 上一年度营收增7.77%, 利润增-59.9%; 当季营收增43.1%, 利润增117.54%; 过往5年营收增21.07%, 利润增27.14%
Income profile:
石油石化 7543.38万 46.45% 46.97% 47.53%
地产建筑 5191.23万 31.97% 39.63% 58.27%
金融行业 1463.91万 9.02% 13.41% 69.92%</v>
      </c>
      <c r="D70" t="s">
        <v>930</v>
      </c>
      <c r="E70" t="s">
        <v>931</v>
      </c>
      <c r="F70">
        <v>15.79</v>
      </c>
      <c r="G70">
        <v>3.81</v>
      </c>
      <c r="H70" t="s">
        <v>4054</v>
      </c>
      <c r="I70">
        <v>3197881600</v>
      </c>
      <c r="J70">
        <v>38.03</v>
      </c>
      <c r="K70">
        <v>2.63</v>
      </c>
      <c r="L70" t="s">
        <v>1277</v>
      </c>
      <c r="M70" t="s">
        <v>368</v>
      </c>
      <c r="N70" t="s">
        <v>2829</v>
      </c>
      <c r="O70" t="s">
        <v>2830</v>
      </c>
      <c r="P70">
        <v>43.1</v>
      </c>
      <c r="Q70" t="s">
        <v>1715</v>
      </c>
      <c r="R70">
        <v>3270818</v>
      </c>
      <c r="S70" s="5">
        <v>1.175</v>
      </c>
      <c r="T70" t="s">
        <v>2845</v>
      </c>
      <c r="U70">
        <v>168828470</v>
      </c>
      <c r="V70">
        <v>202525750</v>
      </c>
      <c r="W70">
        <v>1.1200000000000001</v>
      </c>
      <c r="X70">
        <v>0.05</v>
      </c>
      <c r="Y70">
        <v>0.49</v>
      </c>
      <c r="Z70" t="s">
        <v>2831</v>
      </c>
      <c r="AA70" t="s">
        <v>2832</v>
      </c>
      <c r="AB70" t="s">
        <v>2833</v>
      </c>
      <c r="AC70" t="s">
        <v>2834</v>
      </c>
      <c r="AD70" t="s">
        <v>63</v>
      </c>
      <c r="AE70">
        <v>-960458</v>
      </c>
      <c r="AF70" t="s">
        <v>2835</v>
      </c>
      <c r="AG70">
        <v>2.68</v>
      </c>
      <c r="AH70" t="s">
        <v>2836</v>
      </c>
      <c r="AI70" t="s">
        <v>433</v>
      </c>
      <c r="AJ70" t="s">
        <v>2837</v>
      </c>
      <c r="AK70" t="s">
        <v>2838</v>
      </c>
      <c r="AL70" t="s">
        <v>2839</v>
      </c>
      <c r="AM70" t="s">
        <v>63</v>
      </c>
      <c r="AN70">
        <v>0</v>
      </c>
      <c r="AO70" t="s">
        <v>2840</v>
      </c>
      <c r="AP70" t="s">
        <v>63</v>
      </c>
      <c r="AQ70" t="s">
        <v>2841</v>
      </c>
      <c r="AR70" t="s">
        <v>63</v>
      </c>
      <c r="AS70" t="s">
        <v>447</v>
      </c>
      <c r="AT70" t="s">
        <v>63</v>
      </c>
      <c r="AU70" t="s">
        <v>1786</v>
      </c>
      <c r="AV70" t="s">
        <v>2842</v>
      </c>
      <c r="AW70" t="s">
        <v>2843</v>
      </c>
      <c r="AX70" t="s">
        <v>2844</v>
      </c>
      <c r="AY70" t="s">
        <v>1063</v>
      </c>
      <c r="AZ70" t="s">
        <v>442</v>
      </c>
      <c r="BA70" t="s">
        <v>218</v>
      </c>
      <c r="BB70" t="s">
        <v>65</v>
      </c>
      <c r="BC70" t="s">
        <v>244</v>
      </c>
      <c r="BD70" t="s">
        <v>219</v>
      </c>
      <c r="BE70" t="s">
        <v>933</v>
      </c>
      <c r="BF70" t="s">
        <v>932</v>
      </c>
      <c r="BG70" t="s">
        <v>1005</v>
      </c>
      <c r="BH70" t="s">
        <v>1715</v>
      </c>
      <c r="BI70" t="s">
        <v>4055</v>
      </c>
      <c r="BJ70" t="s">
        <v>2844</v>
      </c>
      <c r="BK70" t="s">
        <v>2845</v>
      </c>
      <c r="BL70" t="s">
        <v>4056</v>
      </c>
      <c r="BM70" t="s">
        <v>244</v>
      </c>
      <c r="BN70" t="s">
        <v>63</v>
      </c>
      <c r="BO70">
        <v>14.68</v>
      </c>
      <c r="BP70">
        <v>20.27</v>
      </c>
      <c r="BQ70">
        <v>-2.77</v>
      </c>
      <c r="BR70">
        <v>16.170000000000002</v>
      </c>
      <c r="BS70">
        <v>19.91</v>
      </c>
      <c r="BT70" t="s">
        <v>2846</v>
      </c>
      <c r="BU70" t="s">
        <v>1848</v>
      </c>
      <c r="BV70">
        <v>38.43</v>
      </c>
      <c r="BW70">
        <v>47.81</v>
      </c>
      <c r="BX70">
        <v>46.42</v>
      </c>
      <c r="BY70">
        <v>7.51</v>
      </c>
      <c r="BZ70">
        <v>22.12</v>
      </c>
      <c r="CA70">
        <v>23.44</v>
      </c>
      <c r="CB70">
        <v>4.43</v>
      </c>
      <c r="CC70">
        <v>9.58</v>
      </c>
      <c r="CD70" t="s">
        <v>4057</v>
      </c>
      <c r="CE70" t="s">
        <v>187</v>
      </c>
      <c r="CF70" s="9">
        <v>0.4309523106343075</v>
      </c>
      <c r="CG70" s="10">
        <v>1.1753686377747157</v>
      </c>
      <c r="CH70" s="9">
        <v>7.7697843313217163E-2</v>
      </c>
      <c r="CI70" s="9">
        <v>0.19415807723999023</v>
      </c>
      <c r="CJ70" s="9">
        <v>0.37914693355560303</v>
      </c>
      <c r="CK70" s="9">
        <v>0.14673912525177002</v>
      </c>
      <c r="CL70" s="9">
        <v>0.25597268342971802</v>
      </c>
      <c r="CM70" s="10">
        <v>-0.59896647930145264</v>
      </c>
      <c r="CN70" s="10">
        <v>0.11510791629552841</v>
      </c>
      <c r="CO70" s="10">
        <v>0.66686844825744629</v>
      </c>
      <c r="CP70" s="10">
        <v>0.41874095797538757</v>
      </c>
      <c r="CQ70" s="10">
        <v>0.75538766384124756</v>
      </c>
      <c r="CR70">
        <v>36.079117506860982</v>
      </c>
      <c r="CS70">
        <v>1.7119965575557881</v>
      </c>
      <c r="CT70">
        <v>0.63930968967701085</v>
      </c>
      <c r="CU70" s="9">
        <v>0.2107429325580597</v>
      </c>
      <c r="CV70" s="10">
        <v>0.27142770141363143</v>
      </c>
      <c r="CW70">
        <v>0.06</v>
      </c>
      <c r="CX70">
        <v>30.871562463523649</v>
      </c>
      <c r="CY70">
        <v>71000021.543769345</v>
      </c>
      <c r="CZ70">
        <v>0.2107429325580597</v>
      </c>
      <c r="DA70">
        <v>9.1212138967862746</v>
      </c>
      <c r="DB70">
        <v>240305909.36720353</v>
      </c>
      <c r="DC70">
        <v>0.2002057859301567</v>
      </c>
      <c r="DD70">
        <v>3.9015191925554054</v>
      </c>
      <c r="DE70">
        <v>561802080.63115227</v>
      </c>
      <c r="DF70">
        <v>0.18545378065109255</v>
      </c>
      <c r="DG70">
        <v>1.9834855100933639</v>
      </c>
      <c r="DH70">
        <v>1105065597.3266106</v>
      </c>
      <c r="DI70">
        <v>0.16859434604644777</v>
      </c>
      <c r="DJ70">
        <v>0.69179842374217937</v>
      </c>
      <c r="DK70">
        <v>3168381893.8808022</v>
      </c>
      <c r="DL70">
        <v>0.14752005279064179</v>
      </c>
      <c r="DM70">
        <v>62160200.000000007</v>
      </c>
      <c r="DN70">
        <v>0.2107429325580597</v>
      </c>
      <c r="DO70">
        <v>2191881600</v>
      </c>
      <c r="DP70">
        <v>1048465970</v>
      </c>
      <c r="DQ70">
        <v>2441</v>
      </c>
      <c r="DR70">
        <v>0.2202093780762478</v>
      </c>
      <c r="DS70">
        <v>0.90394093636108419</v>
      </c>
      <c r="DT70" s="11">
        <v>-5.6666666666666719E-2</v>
      </c>
      <c r="DU70">
        <v>0.6366666666666666</v>
      </c>
      <c r="DV70">
        <v>0.57999999999999985</v>
      </c>
      <c r="DW70">
        <v>8.4624217118997915</v>
      </c>
      <c r="DX70">
        <v>0.39300106382978867</v>
      </c>
      <c r="DY70">
        <v>8.0430057111446711</v>
      </c>
      <c r="DZ70">
        <v>658</v>
      </c>
      <c r="EA70">
        <v>8.0374658211812431</v>
      </c>
      <c r="EB70">
        <v>8</v>
      </c>
      <c r="EC70">
        <v>0.17266150106838266</v>
      </c>
      <c r="ED70">
        <v>1.8565540431278491</v>
      </c>
      <c r="EE70" s="12">
        <v>3.0506099999999998</v>
      </c>
      <c r="EF70">
        <v>3.0125099999999998</v>
      </c>
      <c r="EG70">
        <v>30.093001063829789</v>
      </c>
      <c r="EH70" t="s">
        <v>1303</v>
      </c>
      <c r="EI70">
        <v>0</v>
      </c>
      <c r="EJ70">
        <v>1</v>
      </c>
      <c r="EK70" s="14">
        <v>45504</v>
      </c>
      <c r="EL70" s="15">
        <v>-2.83</v>
      </c>
      <c r="EM70" s="15">
        <v>-1.39</v>
      </c>
      <c r="EN70" s="15">
        <v>-0.27</v>
      </c>
      <c r="EO70" s="15">
        <v>1.48</v>
      </c>
      <c r="EP70" s="15">
        <v>3.81</v>
      </c>
    </row>
    <row r="71" spans="1:146" ht="96" hidden="1" x14ac:dyDescent="0.25">
      <c r="A71" s="7"/>
      <c r="B71" s="7"/>
      <c r="C71" s="7" t="str">
        <f>""&amp;CHAR(10)&amp;Basic_Fundamental_Information_Constructure(F71)&amp;CHAR(10)&amp;Basic_Fundamental_Information_Concatenate("")</f>
        <v xml:space="preserve">
市值84.04亿, 利润1.29亿; PE82.5; 平均PE134.83; 平均PEG1.81, PB2.59; ROIC7.3767%; ROE10.1733%; 股利率1.0502%; 毛利68.18%; 净利31.2467%; 上一年度营收增34.27%, 利润增5.74%; 当季营收增100.65%, 利润增-667.92%; 过往5年营收增74.69%, 利润增115.36%
Income profile:
</v>
      </c>
      <c r="D71" t="s">
        <v>1316</v>
      </c>
      <c r="E71" t="s">
        <v>1317</v>
      </c>
      <c r="F71">
        <v>42.02</v>
      </c>
      <c r="G71">
        <v>6.46</v>
      </c>
      <c r="H71" t="s">
        <v>4058</v>
      </c>
      <c r="I71">
        <v>8404000000</v>
      </c>
      <c r="J71">
        <v>82.5</v>
      </c>
      <c r="K71">
        <v>2.59</v>
      </c>
      <c r="L71" t="s">
        <v>1277</v>
      </c>
      <c r="M71" t="s">
        <v>675</v>
      </c>
      <c r="N71" t="s">
        <v>2847</v>
      </c>
      <c r="O71" t="s">
        <v>2848</v>
      </c>
      <c r="P71">
        <v>100.65</v>
      </c>
      <c r="Q71" t="s">
        <v>272</v>
      </c>
      <c r="R71">
        <v>-22898502</v>
      </c>
      <c r="S71" s="5">
        <v>-6.6790000000000003</v>
      </c>
      <c r="T71" t="s">
        <v>184</v>
      </c>
      <c r="U71">
        <v>107337868</v>
      </c>
      <c r="V71">
        <v>200000000</v>
      </c>
      <c r="W71">
        <v>1.07</v>
      </c>
      <c r="X71">
        <v>0.01</v>
      </c>
      <c r="Y71">
        <v>-49.24</v>
      </c>
      <c r="Z71" t="s">
        <v>2849</v>
      </c>
      <c r="AA71" t="s">
        <v>2850</v>
      </c>
      <c r="AB71" t="s">
        <v>2851</v>
      </c>
      <c r="AC71" t="s">
        <v>2852</v>
      </c>
      <c r="AD71" t="s">
        <v>63</v>
      </c>
      <c r="AE71">
        <v>-20907129</v>
      </c>
      <c r="AF71" t="s">
        <v>2853</v>
      </c>
      <c r="AG71">
        <v>4201.24</v>
      </c>
      <c r="AH71" t="s">
        <v>2854</v>
      </c>
      <c r="AI71" t="s">
        <v>2855</v>
      </c>
      <c r="AJ71" t="s">
        <v>2856</v>
      </c>
      <c r="AK71" t="s">
        <v>63</v>
      </c>
      <c r="AL71" t="s">
        <v>2857</v>
      </c>
      <c r="AM71" t="s">
        <v>63</v>
      </c>
      <c r="AN71" t="s">
        <v>2858</v>
      </c>
      <c r="AO71" t="s">
        <v>2859</v>
      </c>
      <c r="AP71" t="s">
        <v>63</v>
      </c>
      <c r="AQ71" t="s">
        <v>2860</v>
      </c>
      <c r="AR71" t="s">
        <v>63</v>
      </c>
      <c r="AS71" t="s">
        <v>433</v>
      </c>
      <c r="AT71" t="s">
        <v>2861</v>
      </c>
      <c r="AU71" t="s">
        <v>2862</v>
      </c>
      <c r="AV71" t="s">
        <v>2863</v>
      </c>
      <c r="AW71" t="s">
        <v>2864</v>
      </c>
      <c r="AX71" t="s">
        <v>595</v>
      </c>
      <c r="AY71" t="s">
        <v>513</v>
      </c>
      <c r="AZ71" t="s">
        <v>463</v>
      </c>
      <c r="BA71" t="s">
        <v>1319</v>
      </c>
      <c r="BB71" t="s">
        <v>1320</v>
      </c>
      <c r="BC71" t="s">
        <v>182</v>
      </c>
      <c r="BD71" t="s">
        <v>1318</v>
      </c>
      <c r="BE71" t="s">
        <v>1321</v>
      </c>
      <c r="BF71" t="s">
        <v>1322</v>
      </c>
      <c r="BG71" t="s">
        <v>1323</v>
      </c>
      <c r="BH71" t="s">
        <v>272</v>
      </c>
      <c r="BI71" t="s">
        <v>4059</v>
      </c>
      <c r="BJ71" t="s">
        <v>595</v>
      </c>
      <c r="BK71" t="s">
        <v>184</v>
      </c>
      <c r="BL71" t="s">
        <v>4060</v>
      </c>
      <c r="BM71" t="s">
        <v>182</v>
      </c>
      <c r="BN71">
        <v>-0.73</v>
      </c>
      <c r="BO71">
        <v>4.74</v>
      </c>
      <c r="BP71">
        <v>18.12</v>
      </c>
      <c r="BQ71">
        <v>1.6</v>
      </c>
      <c r="BR71">
        <v>9.2200000000000006</v>
      </c>
      <c r="BS71">
        <v>19.7</v>
      </c>
      <c r="BT71" t="s">
        <v>2865</v>
      </c>
      <c r="BU71" t="s">
        <v>1848</v>
      </c>
      <c r="BV71">
        <v>60.3</v>
      </c>
      <c r="BW71">
        <v>67.77</v>
      </c>
      <c r="BX71">
        <v>76.47</v>
      </c>
      <c r="BY71">
        <v>27.16</v>
      </c>
      <c r="BZ71">
        <v>34.409999999999997</v>
      </c>
      <c r="CA71">
        <v>32.17</v>
      </c>
      <c r="CB71">
        <v>7.77</v>
      </c>
      <c r="CC71">
        <v>-11.83</v>
      </c>
      <c r="CD71" t="s">
        <v>4061</v>
      </c>
      <c r="CE71" t="s">
        <v>505</v>
      </c>
      <c r="CF71" s="9">
        <v>1.0064620503071073</v>
      </c>
      <c r="CG71" s="10">
        <v>-6.6791919642857147</v>
      </c>
      <c r="CH71" s="9">
        <v>0.34269663691520691</v>
      </c>
      <c r="CI71" s="9">
        <v>0.79797977209091187</v>
      </c>
      <c r="CJ71" s="9">
        <v>0.59677422046661377</v>
      </c>
      <c r="CK71" s="9">
        <v>0.87471181154251099</v>
      </c>
      <c r="CL71" s="9">
        <v>1.1224806308746338</v>
      </c>
      <c r="CM71" s="10">
        <v>5.7377047836780548E-2</v>
      </c>
      <c r="CN71" s="10">
        <v>0.91380953788757324</v>
      </c>
      <c r="CO71" s="10">
        <v>0.27815216779708862</v>
      </c>
      <c r="CP71" s="10">
        <v>1.5800402164459229</v>
      </c>
      <c r="CQ71" s="10">
        <v>2.9388678073883057</v>
      </c>
      <c r="CR71">
        <v>134.8298743470281</v>
      </c>
      <c r="CS71">
        <v>1.8051239670247636</v>
      </c>
      <c r="CT71">
        <v>1.0501777724892907</v>
      </c>
      <c r="CU71" s="9">
        <v>0.74692861437797542</v>
      </c>
      <c r="CV71" s="10">
        <v>1.1536493554711342</v>
      </c>
      <c r="CW71">
        <v>0.06</v>
      </c>
      <c r="CX71">
        <v>25.616431691064776</v>
      </c>
      <c r="CY71">
        <v>212597916.27807435</v>
      </c>
      <c r="CZ71">
        <v>0.74692861437797542</v>
      </c>
      <c r="DA71">
        <v>5.0203548598123398</v>
      </c>
      <c r="DB71">
        <v>1084783875.2584853</v>
      </c>
      <c r="DC71">
        <v>0.70958218365907666</v>
      </c>
      <c r="DD71">
        <v>1.1181730901350113</v>
      </c>
      <c r="DE71">
        <v>4870444520.6622124</v>
      </c>
      <c r="DF71">
        <v>0.65729718065261833</v>
      </c>
      <c r="DG71">
        <v>0.23890496081182086</v>
      </c>
      <c r="DH71">
        <v>22795675659.031921</v>
      </c>
      <c r="DI71">
        <v>0.59754289150238038</v>
      </c>
      <c r="DJ71">
        <v>9.1528289894250194E-3</v>
      </c>
      <c r="DK71">
        <v>595007292968.3479</v>
      </c>
      <c r="DL71">
        <v>0.52285003006458275</v>
      </c>
      <c r="DM71">
        <v>129000000</v>
      </c>
      <c r="DN71">
        <v>0.74692861437797542</v>
      </c>
      <c r="DO71">
        <v>5446000000</v>
      </c>
      <c r="DP71">
        <v>2889614800</v>
      </c>
      <c r="DQ71">
        <v>2532</v>
      </c>
      <c r="DR71">
        <v>0.25953343592913192</v>
      </c>
      <c r="DS71">
        <v>-7.8328413197568487</v>
      </c>
      <c r="DT71" s="11">
        <v>0.59333333333333316</v>
      </c>
      <c r="DU71">
        <v>0.33500000000000002</v>
      </c>
      <c r="DV71">
        <v>0.92833333333333323</v>
      </c>
      <c r="DW71">
        <v>7.3964285714285714</v>
      </c>
      <c r="DX71">
        <v>0.5326129310344816</v>
      </c>
      <c r="DY71">
        <v>7.0486072690886701</v>
      </c>
      <c r="DZ71">
        <v>288</v>
      </c>
      <c r="EA71">
        <v>7.0458666869630759</v>
      </c>
      <c r="EB71">
        <v>7</v>
      </c>
      <c r="EC71">
        <v>7.1115499999999998E-2</v>
      </c>
      <c r="ED71">
        <v>0.57999999999999996</v>
      </c>
      <c r="EE71" s="12">
        <v>10.05311</v>
      </c>
      <c r="EF71">
        <v>10.0115</v>
      </c>
      <c r="EG71">
        <v>41.122612931034482</v>
      </c>
      <c r="EH71" t="s">
        <v>4062</v>
      </c>
      <c r="EI71">
        <v>1</v>
      </c>
      <c r="EJ71">
        <v>1</v>
      </c>
      <c r="EK71" s="14">
        <v>45504</v>
      </c>
      <c r="EL71" s="15">
        <v>-3.27</v>
      </c>
      <c r="EM71" s="15">
        <v>-0.08</v>
      </c>
      <c r="EN71" s="15">
        <v>1.72</v>
      </c>
      <c r="EO71" s="15">
        <v>-2.78</v>
      </c>
      <c r="EP71" s="15">
        <v>6.46</v>
      </c>
    </row>
    <row r="72" spans="1:146" ht="96" hidden="1" x14ac:dyDescent="0.25">
      <c r="A72" s="7"/>
      <c r="B72" s="7"/>
      <c r="C72" s="7" t="str">
        <f>""&amp;CHAR(10)&amp;Basic_Fundamental_Information_Constructure(F72)&amp;CHAR(10)&amp;Basic_Fundamental_Information_Concatenate("")</f>
        <v xml:space="preserve">
市值69.529104亿, 利润3.00亿; PE25.4; 平均PE43.46; 平均PEG1.28, PB3.84; ROIC21.31%; ROE22.3467%; 股利率5.0327%; 毛利56.5133%; 净利25.02%; 上一年度营收增32.31%, 利润增16.28%; 当季营收增20%, 利润增-211.54%; 过往5年营收增33.9%, 利润增45%
Income profile:
</v>
      </c>
      <c r="D72" t="s">
        <v>1199</v>
      </c>
      <c r="E72" t="s">
        <v>1200</v>
      </c>
      <c r="F72">
        <v>19.87</v>
      </c>
      <c r="G72">
        <v>7.58</v>
      </c>
      <c r="H72" t="s">
        <v>4063</v>
      </c>
      <c r="I72">
        <v>6952910400</v>
      </c>
      <c r="J72">
        <v>25.4</v>
      </c>
      <c r="K72">
        <v>3.84</v>
      </c>
      <c r="L72" t="s">
        <v>1277</v>
      </c>
      <c r="M72" t="s">
        <v>1742</v>
      </c>
      <c r="N72" t="s">
        <v>1046</v>
      </c>
      <c r="O72" t="s">
        <v>483</v>
      </c>
      <c r="P72">
        <v>19.36</v>
      </c>
      <c r="Q72" t="s">
        <v>2875</v>
      </c>
      <c r="R72">
        <v>-13614215</v>
      </c>
      <c r="S72" s="5">
        <v>-2.1150000000000002</v>
      </c>
      <c r="T72" t="s">
        <v>534</v>
      </c>
      <c r="U72">
        <v>205865790</v>
      </c>
      <c r="V72">
        <v>349920000</v>
      </c>
      <c r="W72">
        <v>1.25</v>
      </c>
      <c r="X72">
        <v>0.06</v>
      </c>
      <c r="Y72">
        <v>-12.07</v>
      </c>
      <c r="Z72" t="s">
        <v>255</v>
      </c>
      <c r="AA72" t="s">
        <v>2866</v>
      </c>
      <c r="AB72" t="s">
        <v>2867</v>
      </c>
      <c r="AC72" t="s">
        <v>2868</v>
      </c>
      <c r="AD72" t="s">
        <v>63</v>
      </c>
      <c r="AE72">
        <v>-10168062</v>
      </c>
      <c r="AF72" t="s">
        <v>2869</v>
      </c>
      <c r="AG72">
        <v>634.69000000000005</v>
      </c>
      <c r="AH72" t="s">
        <v>2870</v>
      </c>
      <c r="AI72" t="s">
        <v>1475</v>
      </c>
      <c r="AJ72" t="s">
        <v>2871</v>
      </c>
      <c r="AK72" t="s">
        <v>63</v>
      </c>
      <c r="AL72" t="s">
        <v>2872</v>
      </c>
      <c r="AM72" t="s">
        <v>63</v>
      </c>
      <c r="AN72">
        <v>0</v>
      </c>
      <c r="AO72" t="s">
        <v>63</v>
      </c>
      <c r="AP72" t="s">
        <v>63</v>
      </c>
      <c r="AQ72" t="s">
        <v>727</v>
      </c>
      <c r="AR72" t="s">
        <v>63</v>
      </c>
      <c r="AS72" t="s">
        <v>1729</v>
      </c>
      <c r="AT72" t="s">
        <v>63</v>
      </c>
      <c r="AU72" t="s">
        <v>185</v>
      </c>
      <c r="AV72" t="s">
        <v>2873</v>
      </c>
      <c r="AW72" t="s">
        <v>2874</v>
      </c>
      <c r="AX72" t="s">
        <v>832</v>
      </c>
      <c r="AY72" t="s">
        <v>1201</v>
      </c>
      <c r="AZ72" t="s">
        <v>943</v>
      </c>
      <c r="BA72" t="s">
        <v>343</v>
      </c>
      <c r="BB72" t="s">
        <v>823</v>
      </c>
      <c r="BC72" t="s">
        <v>337</v>
      </c>
      <c r="BD72" t="s">
        <v>430</v>
      </c>
      <c r="BE72" t="s">
        <v>318</v>
      </c>
      <c r="BF72" t="s">
        <v>1202</v>
      </c>
      <c r="BG72" t="s">
        <v>1203</v>
      </c>
      <c r="BH72" t="s">
        <v>2875</v>
      </c>
      <c r="BI72" t="s">
        <v>264</v>
      </c>
      <c r="BJ72" t="s">
        <v>832</v>
      </c>
      <c r="BK72" t="s">
        <v>534</v>
      </c>
      <c r="BL72" t="s">
        <v>4064</v>
      </c>
      <c r="BM72" t="s">
        <v>337</v>
      </c>
      <c r="BN72">
        <v>10.029999999999999</v>
      </c>
      <c r="BO72">
        <v>23.16</v>
      </c>
      <c r="BP72">
        <v>30.74</v>
      </c>
      <c r="BQ72">
        <v>11.79</v>
      </c>
      <c r="BR72">
        <v>22.54</v>
      </c>
      <c r="BS72">
        <v>32.71</v>
      </c>
      <c r="BT72" t="s">
        <v>2876</v>
      </c>
      <c r="BU72" t="s">
        <v>1848</v>
      </c>
      <c r="BV72">
        <v>56.4</v>
      </c>
      <c r="BW72">
        <v>58.44</v>
      </c>
      <c r="BX72">
        <v>54.7</v>
      </c>
      <c r="BY72">
        <v>25.18</v>
      </c>
      <c r="BZ72">
        <v>28.64</v>
      </c>
      <c r="CA72">
        <v>21.24</v>
      </c>
      <c r="CB72">
        <v>7.35</v>
      </c>
      <c r="CC72">
        <v>-29.04</v>
      </c>
      <c r="CD72" t="s">
        <v>4065</v>
      </c>
      <c r="CE72" t="s">
        <v>435</v>
      </c>
      <c r="CF72" s="9">
        <v>0.19999999999999984</v>
      </c>
      <c r="CG72" s="10">
        <v>-2.1153889953956315</v>
      </c>
      <c r="CH72" s="9">
        <v>0.32311061024665833</v>
      </c>
      <c r="CI72" s="9">
        <v>0.23712737858295441</v>
      </c>
      <c r="CJ72" s="9">
        <v>0.25724020600318909</v>
      </c>
      <c r="CK72" s="9">
        <v>0.49363866448402405</v>
      </c>
      <c r="CL72" s="9">
        <v>0.38380283117294312</v>
      </c>
      <c r="CM72" s="10">
        <v>0.1627907007932663</v>
      </c>
      <c r="CN72" s="10">
        <v>0.6538461446762085</v>
      </c>
      <c r="CO72" s="10">
        <v>0.24799999594688416</v>
      </c>
      <c r="CP72" s="10">
        <v>0.75669372081756592</v>
      </c>
      <c r="CQ72" s="10">
        <v>0.42882901430130005</v>
      </c>
      <c r="CR72">
        <v>43.457641067010407</v>
      </c>
      <c r="CS72">
        <v>1.2819970559918612</v>
      </c>
      <c r="CT72">
        <v>5.0327126321087068</v>
      </c>
      <c r="CU72" s="9">
        <v>0.3389839380979538</v>
      </c>
      <c r="CV72" s="10">
        <v>0.45003191530704501</v>
      </c>
      <c r="CW72">
        <v>0.06</v>
      </c>
      <c r="CX72">
        <v>14.985604264855221</v>
      </c>
      <c r="CY72">
        <v>378957718.32960951</v>
      </c>
      <c r="CZ72">
        <v>0.3389839380979538</v>
      </c>
      <c r="DA72">
        <v>3.9912852492608661</v>
      </c>
      <c r="DB72">
        <v>1422827496.744729</v>
      </c>
      <c r="DC72">
        <v>0.32203474119305608</v>
      </c>
      <c r="DD72">
        <v>1.4622453466033727</v>
      </c>
      <c r="DE72">
        <v>3883691894.2443237</v>
      </c>
      <c r="DF72">
        <v>0.29830586552619937</v>
      </c>
      <c r="DG72">
        <v>0.61038248901208181</v>
      </c>
      <c r="DH72">
        <v>9303855373.032486</v>
      </c>
      <c r="DI72">
        <v>0.27118715047836306</v>
      </c>
      <c r="DJ72">
        <v>0.12888765654040246</v>
      </c>
      <c r="DK72">
        <v>44060933005.014565</v>
      </c>
      <c r="DL72">
        <v>0.23728875666856764</v>
      </c>
      <c r="DM72">
        <v>300000000</v>
      </c>
      <c r="DN72">
        <v>0.3389839380979538</v>
      </c>
      <c r="DO72">
        <v>5678910400</v>
      </c>
      <c r="DP72">
        <v>1751025100</v>
      </c>
      <c r="DQ72">
        <v>2579</v>
      </c>
      <c r="DR72">
        <v>-0.13898393809795395</v>
      </c>
      <c r="DS72">
        <v>-2.5654209107026764</v>
      </c>
      <c r="DT72" s="11">
        <v>0.22666666666666657</v>
      </c>
      <c r="DU72">
        <v>3.499999999999992E-2</v>
      </c>
      <c r="DV72">
        <v>0.26166666666666649</v>
      </c>
      <c r="DW72">
        <v>7.2019785655399833</v>
      </c>
      <c r="DX72">
        <v>0.64453873517786864</v>
      </c>
      <c r="DY72">
        <v>7.0211145837745894</v>
      </c>
      <c r="DZ72">
        <v>1206</v>
      </c>
      <c r="EA72">
        <v>7.0161294255850528</v>
      </c>
      <c r="EB72">
        <v>7</v>
      </c>
      <c r="EC72">
        <v>7.558384773662552E-2</v>
      </c>
      <c r="ED72">
        <v>0.72302240512117044</v>
      </c>
      <c r="EE72" s="12">
        <v>0.13371000000000002</v>
      </c>
      <c r="EF72">
        <v>5.791000000000001E-2</v>
      </c>
      <c r="EG72">
        <v>54.104538735177869</v>
      </c>
      <c r="EH72">
        <v>-1</v>
      </c>
      <c r="EI72">
        <v>1</v>
      </c>
      <c r="EJ72">
        <v>1</v>
      </c>
      <c r="EK72" s="14">
        <v>45504</v>
      </c>
      <c r="EL72" s="15">
        <v>-3.69</v>
      </c>
      <c r="EM72" s="15">
        <v>1.24</v>
      </c>
      <c r="EN72" s="15">
        <v>0.69</v>
      </c>
      <c r="EO72" s="15">
        <v>-1.1100000000000001</v>
      </c>
      <c r="EP72" s="15">
        <v>7.58</v>
      </c>
    </row>
    <row r="73" spans="1:146" ht="108" hidden="1" x14ac:dyDescent="0.25">
      <c r="A73" s="7"/>
      <c r="B73" s="7"/>
      <c r="C73" s="7" t="str">
        <f>""&amp;CHAR(10)&amp;Basic_Fundamental_Information_Constructure(F73)&amp;CHAR(10)&amp;Basic_Fundamental_Information_Concatenate("")</f>
        <v xml:space="preserve">
市值25.115545亿, 利润755.81万; PE287.6; 平均PE81.19; 平均PEG5.98, PB3.06; ROIC8.97%; ROE1.0867%; 股利率.308%; 毛利49.5033%; 净利.9667%; 上一年度营收增16.32%, 利润增116.53%; 当季营收增9.01%, 利润增3.73%; 过往5年营收增13.59%, 利润增-8.22%
Income profile:
</v>
      </c>
      <c r="D73" t="s">
        <v>1204</v>
      </c>
      <c r="E73" t="s">
        <v>1205</v>
      </c>
      <c r="F73">
        <v>32.47</v>
      </c>
      <c r="G73">
        <v>8.6300000000000008</v>
      </c>
      <c r="H73" t="s">
        <v>4066</v>
      </c>
      <c r="I73">
        <v>2511554500</v>
      </c>
      <c r="J73">
        <v>287.60000000000002</v>
      </c>
      <c r="K73">
        <v>3.06</v>
      </c>
      <c r="L73" t="s">
        <v>1277</v>
      </c>
      <c r="M73" t="s">
        <v>195</v>
      </c>
      <c r="N73" t="s">
        <v>2877</v>
      </c>
      <c r="O73" t="s">
        <v>2878</v>
      </c>
      <c r="P73">
        <v>9.01</v>
      </c>
      <c r="Q73" t="s">
        <v>296</v>
      </c>
      <c r="R73">
        <v>-30288280</v>
      </c>
      <c r="S73" s="5">
        <v>3.73E-2</v>
      </c>
      <c r="T73" t="s">
        <v>2893</v>
      </c>
      <c r="U73">
        <v>31214763</v>
      </c>
      <c r="V73">
        <v>77350000</v>
      </c>
      <c r="W73">
        <v>1.18</v>
      </c>
      <c r="X73">
        <v>0.02</v>
      </c>
      <c r="Y73">
        <v>-151.63</v>
      </c>
      <c r="Z73" t="s">
        <v>2879</v>
      </c>
      <c r="AA73" t="s">
        <v>2880</v>
      </c>
      <c r="AB73" t="s">
        <v>2881</v>
      </c>
      <c r="AC73" t="s">
        <v>2882</v>
      </c>
      <c r="AD73" t="s">
        <v>63</v>
      </c>
      <c r="AE73">
        <v>-583239</v>
      </c>
      <c r="AF73" t="s">
        <v>175</v>
      </c>
      <c r="AG73" t="s">
        <v>63</v>
      </c>
      <c r="AH73" t="s">
        <v>2883</v>
      </c>
      <c r="AI73" t="s">
        <v>686</v>
      </c>
      <c r="AJ73" t="s">
        <v>2884</v>
      </c>
      <c r="AK73" t="s">
        <v>2885</v>
      </c>
      <c r="AL73" t="s">
        <v>2886</v>
      </c>
      <c r="AM73" t="s">
        <v>63</v>
      </c>
      <c r="AN73" t="s">
        <v>2887</v>
      </c>
      <c r="AO73" t="s">
        <v>63</v>
      </c>
      <c r="AP73" t="s">
        <v>63</v>
      </c>
      <c r="AQ73" t="s">
        <v>2888</v>
      </c>
      <c r="AR73" t="s">
        <v>63</v>
      </c>
      <c r="AS73" t="s">
        <v>230</v>
      </c>
      <c r="AT73" t="s">
        <v>63</v>
      </c>
      <c r="AU73" t="s">
        <v>2889</v>
      </c>
      <c r="AV73" t="s">
        <v>2890</v>
      </c>
      <c r="AW73" t="s">
        <v>2891</v>
      </c>
      <c r="AX73" t="s">
        <v>675</v>
      </c>
      <c r="AY73" t="s">
        <v>221</v>
      </c>
      <c r="AZ73" t="s">
        <v>213</v>
      </c>
      <c r="BA73" t="s">
        <v>387</v>
      </c>
      <c r="BB73" t="s">
        <v>451</v>
      </c>
      <c r="BC73" t="s">
        <v>2892</v>
      </c>
      <c r="BD73" t="s">
        <v>1206</v>
      </c>
      <c r="BE73" t="s">
        <v>1207</v>
      </c>
      <c r="BF73" t="s">
        <v>1208</v>
      </c>
      <c r="BG73" t="s">
        <v>1209</v>
      </c>
      <c r="BH73" t="s">
        <v>296</v>
      </c>
      <c r="BI73" t="s">
        <v>4067</v>
      </c>
      <c r="BJ73" t="s">
        <v>675</v>
      </c>
      <c r="BK73" t="s">
        <v>2893</v>
      </c>
      <c r="BL73" t="s">
        <v>4068</v>
      </c>
      <c r="BM73" t="s">
        <v>2892</v>
      </c>
      <c r="BN73" t="s">
        <v>63</v>
      </c>
      <c r="BO73" t="s">
        <v>63</v>
      </c>
      <c r="BP73">
        <v>8.9700000000000006</v>
      </c>
      <c r="BQ73">
        <v>-7.3</v>
      </c>
      <c r="BR73">
        <v>-5.22</v>
      </c>
      <c r="BS73">
        <v>15.78</v>
      </c>
      <c r="BT73" t="s">
        <v>1410</v>
      </c>
      <c r="BU73" t="s">
        <v>1848</v>
      </c>
      <c r="BV73">
        <v>53.81</v>
      </c>
      <c r="BW73">
        <v>43.5</v>
      </c>
      <c r="BX73">
        <v>51.2</v>
      </c>
      <c r="BY73">
        <v>1.85</v>
      </c>
      <c r="BZ73">
        <v>-16.12</v>
      </c>
      <c r="CA73">
        <v>17.170000000000002</v>
      </c>
      <c r="CB73">
        <v>21.43</v>
      </c>
      <c r="CC73">
        <v>19.16</v>
      </c>
      <c r="CD73" t="s">
        <v>4069</v>
      </c>
      <c r="CE73" t="s">
        <v>492</v>
      </c>
      <c r="CF73" s="9">
        <v>9.0053380495960178E-2</v>
      </c>
      <c r="CG73" s="10">
        <v>3.7309016244942331E-2</v>
      </c>
      <c r="CH73" s="9">
        <v>0.1631944477558136</v>
      </c>
      <c r="CI73" s="9">
        <v>-0.10000000149011612</v>
      </c>
      <c r="CJ73" s="9">
        <v>0.16788321733474731</v>
      </c>
      <c r="CK73" s="9">
        <v>4.1825093328952789E-2</v>
      </c>
      <c r="CL73" s="9">
        <v>0.40641710162162781</v>
      </c>
      <c r="CM73" s="10">
        <v>1.1652762889862061</v>
      </c>
      <c r="CN73" s="10">
        <v>-1.8285789489746094</v>
      </c>
      <c r="CO73" s="10">
        <v>5.0344843417406082E-2</v>
      </c>
      <c r="CP73" s="10">
        <v>-0.23116792738437653</v>
      </c>
      <c r="CQ73" s="10">
        <v>0.43317258358001709</v>
      </c>
      <c r="CR73">
        <v>81.193807011966797</v>
      </c>
      <c r="CS73">
        <v>5.9761102218586268</v>
      </c>
      <c r="CT73">
        <v>0.30797659377887282</v>
      </c>
      <c r="CU73" s="9">
        <v>0.13586397171020509</v>
      </c>
      <c r="CV73" s="10">
        <v>-8.2190632075071338E-2</v>
      </c>
      <c r="CW73">
        <v>0.06</v>
      </c>
      <c r="CX73">
        <v>226.26834823525101</v>
      </c>
      <c r="CY73">
        <v>8099031.5892291507</v>
      </c>
      <c r="CZ73">
        <v>0.13586397171020509</v>
      </c>
      <c r="DA73">
        <v>71.140305955920155</v>
      </c>
      <c r="DB73">
        <v>25759721.937877025</v>
      </c>
      <c r="DC73">
        <v>0.12907077312469484</v>
      </c>
      <c r="DD73">
        <v>33.228162594195013</v>
      </c>
      <c r="DE73">
        <v>55150642.013535492</v>
      </c>
      <c r="DF73">
        <v>0.11956029510498048</v>
      </c>
      <c r="DG73">
        <v>18.782826991824404</v>
      </c>
      <c r="DH73">
        <v>97565425.098024681</v>
      </c>
      <c r="DI73">
        <v>0.10869117736816408</v>
      </c>
      <c r="DJ73">
        <v>8.4606527503767364</v>
      </c>
      <c r="DK73">
        <v>216597295.03948736</v>
      </c>
      <c r="DL73">
        <v>9.5104780197143551E-2</v>
      </c>
      <c r="DM73">
        <v>7558099.9999999991</v>
      </c>
      <c r="DN73">
        <v>0.13586397171020509</v>
      </c>
      <c r="DO73">
        <v>1832554500</v>
      </c>
      <c r="DP73">
        <v>655326460</v>
      </c>
      <c r="DQ73">
        <v>2584</v>
      </c>
      <c r="DR73">
        <v>-4.5810591214244911E-2</v>
      </c>
      <c r="DS73">
        <v>0.11949964832001367</v>
      </c>
      <c r="DT73" s="11">
        <v>-4.0000000000000036E-2</v>
      </c>
      <c r="DU73">
        <v>-0.85833333333333339</v>
      </c>
      <c r="DV73">
        <v>-0.89833333333333343</v>
      </c>
      <c r="DW73">
        <v>5.8940737284181051</v>
      </c>
      <c r="DX73">
        <v>0.74893966942148693</v>
      </c>
      <c r="DY73">
        <v>5.2315111556750216</v>
      </c>
      <c r="DZ73">
        <v>3511</v>
      </c>
      <c r="EA73">
        <v>5.0723812285851624</v>
      </c>
      <c r="EB73">
        <v>5</v>
      </c>
      <c r="EC73">
        <v>0.4050639948287007</v>
      </c>
      <c r="ED73">
        <v>1.5643180349062702</v>
      </c>
      <c r="EE73" s="12">
        <v>-2.0001000000000002</v>
      </c>
      <c r="EF73">
        <v>-2.0863999999999998</v>
      </c>
      <c r="EG73">
        <v>49.258939669421487</v>
      </c>
      <c r="EH73" t="s">
        <v>1431</v>
      </c>
      <c r="EI73">
        <v>1</v>
      </c>
      <c r="EJ73">
        <v>0</v>
      </c>
      <c r="EK73" s="14">
        <v>45504</v>
      </c>
      <c r="EL73" s="15">
        <v>-0.45</v>
      </c>
      <c r="EM73" s="15">
        <v>8</v>
      </c>
      <c r="EN73" s="15">
        <v>4.05</v>
      </c>
      <c r="EO73" s="15">
        <v>-2.46</v>
      </c>
      <c r="EP73" s="15">
        <v>8.6300000000000008</v>
      </c>
    </row>
    <row r="74" spans="1:146" ht="108" hidden="1" x14ac:dyDescent="0.25">
      <c r="A74" s="7"/>
      <c r="B74" s="7"/>
      <c r="C74" s="7" t="str">
        <f>""&amp;CHAR(10)&amp;Basic_Fundamental_Information_Constructure(F74)&amp;CHAR(10)&amp;Basic_Fundamental_Information_Concatenate("")</f>
        <v xml:space="preserve">
市值38.178245亿, 利润8424.65万; PE44.29; 平均PE71.2; 平均PEG2.82, PB3.48; ROIC13.4%; ROE13.8033%; 股利率1.1805%; 毛利65.85%; 净利18.73%; 上一年度营收增26.67%, 利润增25.59%; 当季营收增26.34%, 利润增18.71%; 过往5年营收增25.26%, 利润增34.77%
Income profile:
</v>
      </c>
      <c r="D74" t="s">
        <v>1210</v>
      </c>
      <c r="E74" t="s">
        <v>1324</v>
      </c>
      <c r="F74">
        <v>38.119999999999997</v>
      </c>
      <c r="G74">
        <v>3.17</v>
      </c>
      <c r="H74" t="s">
        <v>4070</v>
      </c>
      <c r="I74">
        <v>3817824500</v>
      </c>
      <c r="J74">
        <v>44.29</v>
      </c>
      <c r="K74">
        <v>3.48</v>
      </c>
      <c r="L74" t="s">
        <v>1277</v>
      </c>
      <c r="M74" t="s">
        <v>357</v>
      </c>
      <c r="N74" t="s">
        <v>1531</v>
      </c>
      <c r="O74" t="s">
        <v>446</v>
      </c>
      <c r="P74">
        <v>25.75</v>
      </c>
      <c r="Q74" t="s">
        <v>309</v>
      </c>
      <c r="R74">
        <v>12340592</v>
      </c>
      <c r="S74" s="5">
        <v>0.18709999999999999</v>
      </c>
      <c r="T74" t="s">
        <v>2910</v>
      </c>
      <c r="U74">
        <v>61428897</v>
      </c>
      <c r="V74">
        <v>100152794</v>
      </c>
      <c r="W74">
        <v>1.29</v>
      </c>
      <c r="X74">
        <v>7.0000000000000007E-2</v>
      </c>
      <c r="Y74">
        <v>11.63</v>
      </c>
      <c r="Z74" t="s">
        <v>2894</v>
      </c>
      <c r="AA74" t="s">
        <v>2895</v>
      </c>
      <c r="AB74" t="s">
        <v>2896</v>
      </c>
      <c r="AC74" t="s">
        <v>2897</v>
      </c>
      <c r="AD74" t="s">
        <v>63</v>
      </c>
      <c r="AE74">
        <v>-2004306</v>
      </c>
      <c r="AF74" t="s">
        <v>2898</v>
      </c>
      <c r="AG74">
        <v>1.78</v>
      </c>
      <c r="AH74" t="s">
        <v>2899</v>
      </c>
      <c r="AI74" t="s">
        <v>238</v>
      </c>
      <c r="AJ74" t="s">
        <v>2900</v>
      </c>
      <c r="AK74" t="s">
        <v>2901</v>
      </c>
      <c r="AL74" t="s">
        <v>2902</v>
      </c>
      <c r="AM74" t="s">
        <v>63</v>
      </c>
      <c r="AN74" t="s">
        <v>2903</v>
      </c>
      <c r="AO74" t="s">
        <v>63</v>
      </c>
      <c r="AP74" t="s">
        <v>2904</v>
      </c>
      <c r="AQ74" t="s">
        <v>2905</v>
      </c>
      <c r="AR74" t="s">
        <v>63</v>
      </c>
      <c r="AS74" t="s">
        <v>329</v>
      </c>
      <c r="AT74" t="s">
        <v>2906</v>
      </c>
      <c r="AU74" t="s">
        <v>2907</v>
      </c>
      <c r="AV74" t="s">
        <v>2908</v>
      </c>
      <c r="AW74" t="s">
        <v>2909</v>
      </c>
      <c r="AX74" t="s">
        <v>613</v>
      </c>
      <c r="AY74" t="s">
        <v>534</v>
      </c>
      <c r="AZ74" t="s">
        <v>216</v>
      </c>
      <c r="BA74" t="s">
        <v>278</v>
      </c>
      <c r="BB74" t="s">
        <v>183</v>
      </c>
      <c r="BC74" t="s">
        <v>1515</v>
      </c>
      <c r="BD74" t="s">
        <v>1211</v>
      </c>
      <c r="BE74" t="s">
        <v>1212</v>
      </c>
      <c r="BF74" t="s">
        <v>1213</v>
      </c>
      <c r="BG74" t="s">
        <v>1214</v>
      </c>
      <c r="BH74" t="s">
        <v>309</v>
      </c>
      <c r="BI74" t="s">
        <v>4071</v>
      </c>
      <c r="BJ74" t="s">
        <v>613</v>
      </c>
      <c r="BK74" t="s">
        <v>2910</v>
      </c>
      <c r="BL74" t="s">
        <v>4072</v>
      </c>
      <c r="BM74" t="s">
        <v>1515</v>
      </c>
      <c r="BN74">
        <v>4.25</v>
      </c>
      <c r="BO74">
        <v>8.9600000000000009</v>
      </c>
      <c r="BP74">
        <v>26.99</v>
      </c>
      <c r="BQ74">
        <v>5.08</v>
      </c>
      <c r="BR74">
        <v>9.0299999999999994</v>
      </c>
      <c r="BS74">
        <v>27.3</v>
      </c>
      <c r="BT74" t="s">
        <v>2911</v>
      </c>
      <c r="BU74" t="s">
        <v>1848</v>
      </c>
      <c r="BV74">
        <v>67.55</v>
      </c>
      <c r="BW74">
        <v>66.61</v>
      </c>
      <c r="BX74">
        <v>63.39</v>
      </c>
      <c r="BY74">
        <v>17.95</v>
      </c>
      <c r="BZ74">
        <v>18.53</v>
      </c>
      <c r="CA74">
        <v>19.71</v>
      </c>
      <c r="CB74">
        <v>4.4400000000000004</v>
      </c>
      <c r="CC74">
        <v>-16.95</v>
      </c>
      <c r="CD74" t="s">
        <v>4073</v>
      </c>
      <c r="CE74" t="s">
        <v>4074</v>
      </c>
      <c r="CF74" s="9">
        <v>0.26344536692154269</v>
      </c>
      <c r="CG74" s="10">
        <v>0.18705194305502115</v>
      </c>
      <c r="CH74" s="9">
        <v>0.26666668057441711</v>
      </c>
      <c r="CI74" s="9">
        <v>0.20000000298023224</v>
      </c>
      <c r="CJ74" s="9">
        <v>0.20967741310596466</v>
      </c>
      <c r="CK74" s="9">
        <v>0.46745562553405762</v>
      </c>
      <c r="CL74" s="9">
        <v>0.1192052960395813</v>
      </c>
      <c r="CM74" s="10">
        <v>0.2558714747428894</v>
      </c>
      <c r="CN74" s="10">
        <v>0.13360698521137238</v>
      </c>
      <c r="CO74" s="10">
        <v>9.1562755405902863E-2</v>
      </c>
      <c r="CP74" s="10">
        <v>0.48799982666969299</v>
      </c>
      <c r="CQ74" s="10">
        <v>0.76925241947174072</v>
      </c>
      <c r="CR74">
        <v>71.196765476870553</v>
      </c>
      <c r="CS74">
        <v>2.8185464209955144</v>
      </c>
      <c r="CT74">
        <v>1.180482686253935</v>
      </c>
      <c r="CU74" s="9">
        <v>0.25260100364685056</v>
      </c>
      <c r="CV74" s="10">
        <v>0.34765869230031965</v>
      </c>
      <c r="CW74">
        <v>0.06</v>
      </c>
      <c r="CX74">
        <v>30.363663946733766</v>
      </c>
      <c r="CY74">
        <v>99554009.862013593</v>
      </c>
      <c r="CZ74">
        <v>0.25260100364685056</v>
      </c>
      <c r="DA74">
        <v>8.669133699306304</v>
      </c>
      <c r="DB74">
        <v>348688185.56136513</v>
      </c>
      <c r="DC74">
        <v>0.23997095346450803</v>
      </c>
      <c r="DD74">
        <v>3.5269420906819393</v>
      </c>
      <c r="DE74">
        <v>857066666.33007646</v>
      </c>
      <c r="DF74">
        <v>0.22228888320922849</v>
      </c>
      <c r="DG74">
        <v>1.6843488775841193</v>
      </c>
      <c r="DH74">
        <v>1794654623.0586572</v>
      </c>
      <c r="DI74">
        <v>0.20208080291748046</v>
      </c>
      <c r="DJ74">
        <v>0.50218577655044949</v>
      </c>
      <c r="DK74">
        <v>6019335156.7302456</v>
      </c>
      <c r="DL74">
        <v>0.17682070255279539</v>
      </c>
      <c r="DM74">
        <v>84246500</v>
      </c>
      <c r="DN74">
        <v>0.25260100364685056</v>
      </c>
      <c r="DO74">
        <v>3022824500</v>
      </c>
      <c r="DP74">
        <v>838203740</v>
      </c>
      <c r="DQ74">
        <v>2587</v>
      </c>
      <c r="DR74">
        <v>1.0844363274692126E-2</v>
      </c>
      <c r="DS74">
        <v>-0.1606067492452985</v>
      </c>
      <c r="DT74" s="11">
        <v>0.12666666666666662</v>
      </c>
      <c r="DU74">
        <v>0.70333333333333325</v>
      </c>
      <c r="DV74">
        <v>0.82999999999999985</v>
      </c>
      <c r="DW74">
        <v>6.2075736325385691</v>
      </c>
      <c r="DX74">
        <v>0.48028282988950111</v>
      </c>
      <c r="DY74">
        <v>6.0208160712814118</v>
      </c>
      <c r="DZ74">
        <v>367</v>
      </c>
      <c r="EA74">
        <v>6.0193204764967057</v>
      </c>
      <c r="EB74">
        <v>6</v>
      </c>
      <c r="EC74">
        <v>6.043266251763281E-2</v>
      </c>
      <c r="ED74">
        <v>0.60262222939082455</v>
      </c>
      <c r="EE74" s="12">
        <v>-3.0662099999999999</v>
      </c>
      <c r="EF74">
        <v>-3.03451</v>
      </c>
      <c r="EG74">
        <v>38.100282829889501</v>
      </c>
      <c r="EH74" t="s">
        <v>1433</v>
      </c>
      <c r="EI74">
        <v>0</v>
      </c>
      <c r="EJ74">
        <v>1</v>
      </c>
      <c r="EK74" s="14">
        <v>45504</v>
      </c>
      <c r="EL74" s="15">
        <v>-2.9</v>
      </c>
      <c r="EM74" s="15">
        <v>1.37</v>
      </c>
      <c r="EN74" s="15">
        <v>0.92</v>
      </c>
      <c r="EO74" s="15">
        <v>-0.7</v>
      </c>
      <c r="EP74" s="15">
        <v>3.17</v>
      </c>
    </row>
    <row r="75" spans="1:146" ht="96" hidden="1" x14ac:dyDescent="0.25">
      <c r="A75" s="7"/>
      <c r="B75" s="7"/>
      <c r="C75" s="7" t="str">
        <f>""&amp;CHAR(10)&amp;Basic_Fundamental_Information_Constructure(F75)&amp;CHAR(10)&amp;Basic_Fundamental_Information_Concatenate("")</f>
        <v xml:space="preserve">
市值21.938717亿, 利润7663.77万; PE30.75; 平均PE32.96; 平均PEG3.45, PB2.11; ROIC6.43%; ROE8.45%; 股利率1.3986%; 毛利63.8933%; 净利35.58%; 上一年度营收增49.32%, 利润增53.72%; 当季营收增-6.4%, 利润增-36.75%; 过往5年营收增9.54%, 利润增9.66%
Income profile:
</v>
      </c>
      <c r="D75" t="s">
        <v>1215</v>
      </c>
      <c r="E75" t="s">
        <v>1216</v>
      </c>
      <c r="F75">
        <v>14.3</v>
      </c>
      <c r="G75">
        <v>4.53</v>
      </c>
      <c r="H75" t="s">
        <v>4075</v>
      </c>
      <c r="I75">
        <v>2193871700</v>
      </c>
      <c r="J75">
        <v>30.75</v>
      </c>
      <c r="K75">
        <v>2.11</v>
      </c>
      <c r="L75" t="s">
        <v>1277</v>
      </c>
      <c r="M75" t="s">
        <v>2912</v>
      </c>
      <c r="N75" t="s">
        <v>1809</v>
      </c>
      <c r="O75" t="s">
        <v>2913</v>
      </c>
      <c r="P75">
        <v>-6.4</v>
      </c>
      <c r="Q75" t="s">
        <v>524</v>
      </c>
      <c r="R75">
        <v>9107022</v>
      </c>
      <c r="S75" s="5">
        <v>-0.36749999999999999</v>
      </c>
      <c r="T75" t="s">
        <v>2928</v>
      </c>
      <c r="U75">
        <v>91457039</v>
      </c>
      <c r="V75">
        <v>153417600</v>
      </c>
      <c r="W75">
        <v>1.02</v>
      </c>
      <c r="X75">
        <v>0.03</v>
      </c>
      <c r="Y75">
        <v>26.06</v>
      </c>
      <c r="Z75" t="s">
        <v>2914</v>
      </c>
      <c r="AA75" t="s">
        <v>2915</v>
      </c>
      <c r="AB75" t="s">
        <v>2916</v>
      </c>
      <c r="AC75" t="s">
        <v>2917</v>
      </c>
      <c r="AD75" t="s">
        <v>63</v>
      </c>
      <c r="AE75">
        <v>-2917610</v>
      </c>
      <c r="AF75" t="s">
        <v>175</v>
      </c>
      <c r="AG75" t="s">
        <v>63</v>
      </c>
      <c r="AH75" t="s">
        <v>2918</v>
      </c>
      <c r="AI75" t="s">
        <v>1177</v>
      </c>
      <c r="AJ75" t="s">
        <v>2919</v>
      </c>
      <c r="AK75" t="s">
        <v>63</v>
      </c>
      <c r="AL75" t="s">
        <v>2920</v>
      </c>
      <c r="AM75" t="s">
        <v>63</v>
      </c>
      <c r="AN75" t="s">
        <v>2921</v>
      </c>
      <c r="AO75" t="s">
        <v>63</v>
      </c>
      <c r="AP75" t="s">
        <v>63</v>
      </c>
      <c r="AQ75" t="s">
        <v>2922</v>
      </c>
      <c r="AR75" t="s">
        <v>63</v>
      </c>
      <c r="AS75" t="s">
        <v>2923</v>
      </c>
      <c r="AT75" t="s">
        <v>63</v>
      </c>
      <c r="AU75" t="s">
        <v>2924</v>
      </c>
      <c r="AV75" t="s">
        <v>2925</v>
      </c>
      <c r="AW75" t="s">
        <v>2926</v>
      </c>
      <c r="AX75" t="s">
        <v>269</v>
      </c>
      <c r="AY75" t="s">
        <v>314</v>
      </c>
      <c r="AZ75" t="s">
        <v>284</v>
      </c>
      <c r="BA75" t="s">
        <v>256</v>
      </c>
      <c r="BB75" t="s">
        <v>278</v>
      </c>
      <c r="BC75" t="s">
        <v>2927</v>
      </c>
      <c r="BD75" t="s">
        <v>1217</v>
      </c>
      <c r="BE75" t="s">
        <v>1218</v>
      </c>
      <c r="BF75" t="s">
        <v>1219</v>
      </c>
      <c r="BG75" t="s">
        <v>1220</v>
      </c>
      <c r="BH75" t="s">
        <v>524</v>
      </c>
      <c r="BI75" t="s">
        <v>4076</v>
      </c>
      <c r="BJ75" t="s">
        <v>269</v>
      </c>
      <c r="BK75" t="s">
        <v>2928</v>
      </c>
      <c r="BL75" t="s">
        <v>4077</v>
      </c>
      <c r="BM75" t="s">
        <v>2927</v>
      </c>
      <c r="BN75">
        <v>3.98</v>
      </c>
      <c r="BO75">
        <v>4.46</v>
      </c>
      <c r="BP75">
        <v>10.85</v>
      </c>
      <c r="BQ75">
        <v>4.87</v>
      </c>
      <c r="BR75">
        <v>5.2</v>
      </c>
      <c r="BS75">
        <v>15.28</v>
      </c>
      <c r="BT75" t="s">
        <v>1413</v>
      </c>
      <c r="BU75" t="s">
        <v>1848</v>
      </c>
      <c r="BV75">
        <v>62.57</v>
      </c>
      <c r="BW75">
        <v>63.94</v>
      </c>
      <c r="BX75">
        <v>65.17</v>
      </c>
      <c r="BY75">
        <v>34.67</v>
      </c>
      <c r="BZ75">
        <v>33.590000000000003</v>
      </c>
      <c r="CA75">
        <v>38.479999999999997</v>
      </c>
      <c r="CB75">
        <v>7.68</v>
      </c>
      <c r="CC75">
        <v>-4.4800000000000004</v>
      </c>
      <c r="CD75" t="s">
        <v>4078</v>
      </c>
      <c r="CE75" t="s">
        <v>4079</v>
      </c>
      <c r="CF75" s="9">
        <v>-6.3995928262412766E-2</v>
      </c>
      <c r="CG75" s="10">
        <v>-0.36754156423184298</v>
      </c>
      <c r="CH75" s="9">
        <v>0.49324324727058411</v>
      </c>
      <c r="CI75" s="9">
        <v>-0.29523810744285583</v>
      </c>
      <c r="CJ75" s="9">
        <v>0.36363637447357178</v>
      </c>
      <c r="CK75" s="9">
        <v>-0.11999999731779099</v>
      </c>
      <c r="CL75" s="9">
        <v>3.5502959042787552E-2</v>
      </c>
      <c r="CM75" s="10">
        <v>0.53717178106307983</v>
      </c>
      <c r="CN75" s="10">
        <v>-0.38234966993331909</v>
      </c>
      <c r="CO75" s="10">
        <v>0.33474597334861755</v>
      </c>
      <c r="CP75" s="10">
        <v>-0.13332454860210419</v>
      </c>
      <c r="CQ75" s="10">
        <v>0.1268935352563858</v>
      </c>
      <c r="CR75">
        <v>32.95846074686677</v>
      </c>
      <c r="CS75">
        <v>3.4537191985693605</v>
      </c>
      <c r="CT75">
        <v>1.3986013986013985</v>
      </c>
      <c r="CU75" s="9">
        <v>9.5428895205259323E-2</v>
      </c>
      <c r="CV75" s="10">
        <v>9.6627414226531982E-2</v>
      </c>
      <c r="CW75">
        <v>0.06</v>
      </c>
      <c r="CX75">
        <v>14.935615681691218</v>
      </c>
      <c r="CY75">
        <v>79199199.096294433</v>
      </c>
      <c r="CZ75">
        <v>9.5428895205259323E-2</v>
      </c>
      <c r="DA75">
        <v>4.8584475405888945</v>
      </c>
      <c r="DB75">
        <v>243470530.47661838</v>
      </c>
      <c r="DC75">
        <v>9.0657450444996346E-2</v>
      </c>
      <c r="DD75">
        <v>2.3770212444406891</v>
      </c>
      <c r="DE75">
        <v>497634929.75357592</v>
      </c>
      <c r="DF75">
        <v>8.3977427780628208E-2</v>
      </c>
      <c r="DG75">
        <v>1.4175401122319509</v>
      </c>
      <c r="DH75">
        <v>834465839.65621495</v>
      </c>
      <c r="DI75">
        <v>7.634311616420747E-2</v>
      </c>
      <c r="DJ75">
        <v>0.72113286117247377</v>
      </c>
      <c r="DK75">
        <v>1640320201.2965651</v>
      </c>
      <c r="DL75">
        <v>6.6800226643681515E-2</v>
      </c>
      <c r="DM75">
        <v>76637700</v>
      </c>
      <c r="DN75">
        <v>9.5428895205259323E-2</v>
      </c>
      <c r="DO75">
        <v>1182888800</v>
      </c>
      <c r="DP75">
        <v>820564510</v>
      </c>
      <c r="DQ75">
        <v>2606</v>
      </c>
      <c r="DR75">
        <v>-0.15942482346767209</v>
      </c>
      <c r="DS75">
        <v>-0.46416897845837496</v>
      </c>
      <c r="DT75" s="11">
        <v>-0.28999999999999998</v>
      </c>
      <c r="DU75">
        <v>-7.0000000000000007E-2</v>
      </c>
      <c r="DV75">
        <v>-0.36</v>
      </c>
      <c r="DW75">
        <v>5.583333333333333</v>
      </c>
      <c r="DX75">
        <v>0.56999937939851542</v>
      </c>
      <c r="DY75">
        <v>5.0874996379824662</v>
      </c>
      <c r="DZ75">
        <v>2668</v>
      </c>
      <c r="EA75">
        <v>5.0417970079634333</v>
      </c>
      <c r="EB75">
        <v>5</v>
      </c>
      <c r="EC75">
        <v>7.8771927080074258E-2</v>
      </c>
      <c r="ED75">
        <v>0.52514835325282105</v>
      </c>
      <c r="EE75" s="12">
        <v>-1.0141100000000001</v>
      </c>
      <c r="EF75">
        <v>-1.0311999999999999</v>
      </c>
      <c r="EG75">
        <v>42.149999379398515</v>
      </c>
      <c r="EH75" t="s">
        <v>1284</v>
      </c>
      <c r="EI75">
        <v>1</v>
      </c>
      <c r="EJ75">
        <v>0</v>
      </c>
      <c r="EK75" s="14">
        <v>45504</v>
      </c>
      <c r="EL75" s="15">
        <v>-2.5</v>
      </c>
      <c r="EM75" s="15">
        <v>0.08</v>
      </c>
      <c r="EN75" s="15">
        <v>1.88</v>
      </c>
      <c r="EO75" s="15">
        <v>0.66</v>
      </c>
      <c r="EP75" s="15">
        <v>4.53</v>
      </c>
    </row>
    <row r="76" spans="1:146" ht="96" hidden="1" x14ac:dyDescent="0.25">
      <c r="A76" s="7"/>
      <c r="B76" s="7"/>
      <c r="C76" s="7" t="str">
        <f>""&amp;CHAR(10)&amp;Basic_Fundamental_Information_Constructure(F76)&amp;CHAR(10)&amp;Basic_Fundamental_Information_Concatenate("")</f>
        <v xml:space="preserve">
市值39.969457亿, 利润2.25亿; PE18.24; 平均PE30.86; 平均PEG.82, PB1.74; ROIC17.41%; ROE19.63%; 股利率2.2382%; 毛利49.26%; 净利24.6833%; 上一年度营收增33.33%, 利润增13.64%; 当季营收增24.31%, 利润增-13.64%; 过往5年营收增37.54%, 利润增43.98%
Income profile:
</v>
      </c>
      <c r="D76" t="s">
        <v>1325</v>
      </c>
      <c r="E76" t="s">
        <v>1326</v>
      </c>
      <c r="F76">
        <v>30.39</v>
      </c>
      <c r="G76">
        <v>4.6500000000000004</v>
      </c>
      <c r="H76" t="s">
        <v>4080</v>
      </c>
      <c r="I76">
        <v>3996945700</v>
      </c>
      <c r="J76">
        <v>18.239999999999998</v>
      </c>
      <c r="K76">
        <v>1.74</v>
      </c>
      <c r="L76" t="s">
        <v>1277</v>
      </c>
      <c r="M76" t="s">
        <v>312</v>
      </c>
      <c r="N76" t="s">
        <v>2929</v>
      </c>
      <c r="O76" t="s">
        <v>521</v>
      </c>
      <c r="P76">
        <v>24.8</v>
      </c>
      <c r="Q76" t="s">
        <v>1758</v>
      </c>
      <c r="R76">
        <v>36582852</v>
      </c>
      <c r="S76" s="5">
        <v>-0.13639999999999999</v>
      </c>
      <c r="T76" t="s">
        <v>521</v>
      </c>
      <c r="U76">
        <v>49095390</v>
      </c>
      <c r="V76">
        <v>131521740</v>
      </c>
      <c r="W76">
        <v>1.1499999999999999</v>
      </c>
      <c r="X76">
        <v>0.09</v>
      </c>
      <c r="Y76">
        <v>16.23</v>
      </c>
      <c r="Z76" t="s">
        <v>331</v>
      </c>
      <c r="AA76" t="s">
        <v>365</v>
      </c>
      <c r="AB76" t="s">
        <v>2930</v>
      </c>
      <c r="AC76" t="s">
        <v>2931</v>
      </c>
      <c r="AD76" t="s">
        <v>63</v>
      </c>
      <c r="AE76">
        <v>-3508909</v>
      </c>
      <c r="AF76" t="s">
        <v>2932</v>
      </c>
      <c r="AG76" t="s">
        <v>2933</v>
      </c>
      <c r="AH76" t="s">
        <v>2934</v>
      </c>
      <c r="AI76" t="s">
        <v>444</v>
      </c>
      <c r="AJ76" t="s">
        <v>2935</v>
      </c>
      <c r="AK76" t="s">
        <v>2936</v>
      </c>
      <c r="AL76" t="s">
        <v>2937</v>
      </c>
      <c r="AM76" t="s">
        <v>63</v>
      </c>
      <c r="AN76" t="s">
        <v>2938</v>
      </c>
      <c r="AO76" t="s">
        <v>63</v>
      </c>
      <c r="AP76" t="s">
        <v>63</v>
      </c>
      <c r="AQ76" t="s">
        <v>290</v>
      </c>
      <c r="AR76" t="s">
        <v>63</v>
      </c>
      <c r="AS76" t="s">
        <v>478</v>
      </c>
      <c r="AT76" t="s">
        <v>63</v>
      </c>
      <c r="AU76" t="s">
        <v>2939</v>
      </c>
      <c r="AV76" t="s">
        <v>994</v>
      </c>
      <c r="AW76" t="s">
        <v>2940</v>
      </c>
      <c r="AX76" t="s">
        <v>1516</v>
      </c>
      <c r="AY76" t="s">
        <v>353</v>
      </c>
      <c r="AZ76" t="s">
        <v>467</v>
      </c>
      <c r="BA76" t="s">
        <v>399</v>
      </c>
      <c r="BB76" t="s">
        <v>359</v>
      </c>
      <c r="BC76" t="s">
        <v>513</v>
      </c>
      <c r="BD76" t="s">
        <v>401</v>
      </c>
      <c r="BE76" t="s">
        <v>228</v>
      </c>
      <c r="BF76" t="s">
        <v>1327</v>
      </c>
      <c r="BG76" t="s">
        <v>1328</v>
      </c>
      <c r="BH76" t="s">
        <v>1758</v>
      </c>
      <c r="BI76" t="s">
        <v>202</v>
      </c>
      <c r="BJ76" t="s">
        <v>1516</v>
      </c>
      <c r="BK76" t="s">
        <v>521</v>
      </c>
      <c r="BL76" t="s">
        <v>4081</v>
      </c>
      <c r="BM76" t="s">
        <v>513</v>
      </c>
      <c r="BN76">
        <v>6.98</v>
      </c>
      <c r="BO76">
        <v>14.45</v>
      </c>
      <c r="BP76">
        <v>30.8</v>
      </c>
      <c r="BQ76">
        <v>7.49</v>
      </c>
      <c r="BR76">
        <v>16.579999999999998</v>
      </c>
      <c r="BS76">
        <v>34.82</v>
      </c>
      <c r="BT76" t="s">
        <v>2941</v>
      </c>
      <c r="BU76" t="s">
        <v>1848</v>
      </c>
      <c r="BV76">
        <v>45.95</v>
      </c>
      <c r="BW76">
        <v>49.66</v>
      </c>
      <c r="BX76">
        <v>52.17</v>
      </c>
      <c r="BY76">
        <v>22.32</v>
      </c>
      <c r="BZ76">
        <v>26.23</v>
      </c>
      <c r="CA76">
        <v>25.5</v>
      </c>
      <c r="CB76">
        <v>6.11</v>
      </c>
      <c r="CC76">
        <v>-4.97</v>
      </c>
      <c r="CD76" t="s">
        <v>4082</v>
      </c>
      <c r="CE76" t="s">
        <v>4083</v>
      </c>
      <c r="CF76" s="9">
        <v>0.24309392265193369</v>
      </c>
      <c r="CG76" s="10">
        <v>-0.13637399786589108</v>
      </c>
      <c r="CH76" s="9">
        <v>0.3333333432674408</v>
      </c>
      <c r="CI76" s="9">
        <v>0.30795848369598389</v>
      </c>
      <c r="CJ76" s="9">
        <v>0.32568806409835815</v>
      </c>
      <c r="CK76" s="9">
        <v>0.47297295928001404</v>
      </c>
      <c r="CL76" s="9">
        <v>0.43689319491386414</v>
      </c>
      <c r="CM76" s="10">
        <v>0.13636364042758942</v>
      </c>
      <c r="CN76" s="10">
        <v>0.34693878889083862</v>
      </c>
      <c r="CO76" s="10">
        <v>0.37383177876472473</v>
      </c>
      <c r="CP76" s="10">
        <v>0.73390829563140869</v>
      </c>
      <c r="CQ76" s="10">
        <v>0.6078345775604248</v>
      </c>
      <c r="CR76">
        <v>30.860819314281343</v>
      </c>
      <c r="CS76">
        <v>0.82214573199256546</v>
      </c>
      <c r="CT76">
        <v>2.2382369200394865</v>
      </c>
      <c r="CU76" s="9">
        <v>0.37536920905113219</v>
      </c>
      <c r="CV76" s="10">
        <v>0.43977541625499728</v>
      </c>
      <c r="CW76">
        <v>0.06</v>
      </c>
      <c r="CX76">
        <v>6.9669613974253437</v>
      </c>
      <c r="CY76">
        <v>291941577.39292902</v>
      </c>
      <c r="CZ76">
        <v>0.37536920905113219</v>
      </c>
      <c r="DA76">
        <v>1.8029183235767483</v>
      </c>
      <c r="DB76">
        <v>1128140788.9653728</v>
      </c>
      <c r="DC76">
        <v>0.35660074859857555</v>
      </c>
      <c r="DD76">
        <v>0.63175563071524177</v>
      </c>
      <c r="DE76">
        <v>3219513370.5373859</v>
      </c>
      <c r="DF76">
        <v>0.33032490396499631</v>
      </c>
      <c r="DG76">
        <v>0.24876244986597176</v>
      </c>
      <c r="DH76">
        <v>8176256911.3459415</v>
      </c>
      <c r="DI76">
        <v>0.30029536724090578</v>
      </c>
      <c r="DJ76">
        <v>4.5168513747290466E-2</v>
      </c>
      <c r="DK76">
        <v>45030166619.595955</v>
      </c>
      <c r="DL76">
        <v>0.26275844633579254</v>
      </c>
      <c r="DM76">
        <v>225000000</v>
      </c>
      <c r="DN76">
        <v>0.37536920905113219</v>
      </c>
      <c r="DO76">
        <v>2033945700</v>
      </c>
      <c r="DP76">
        <v>1712682000</v>
      </c>
      <c r="DQ76">
        <v>2615</v>
      </c>
      <c r="DR76">
        <v>-0.1322752863991985</v>
      </c>
      <c r="DS76">
        <v>-0.57614941412088838</v>
      </c>
      <c r="DT76" s="11">
        <v>0.22666666666666657</v>
      </c>
      <c r="DU76">
        <v>0.71666666666666667</v>
      </c>
      <c r="DV76">
        <v>0.94333333333333325</v>
      </c>
      <c r="DW76">
        <v>5.8134206219312601</v>
      </c>
      <c r="DX76">
        <v>0.50269258869975553</v>
      </c>
      <c r="DY76">
        <v>5.1323375066837604</v>
      </c>
      <c r="DZ76">
        <v>276</v>
      </c>
      <c r="EA76">
        <v>5.1251869287971674</v>
      </c>
      <c r="EB76">
        <v>5</v>
      </c>
      <c r="EC76">
        <v>7.7204726762282794E-2</v>
      </c>
      <c r="ED76">
        <v>0.47454360016830677</v>
      </c>
      <c r="EE76" s="12">
        <v>2.7699999999999999E-2</v>
      </c>
      <c r="EF76">
        <v>7.4200000000000002E-2</v>
      </c>
      <c r="EG76">
        <v>34.162692588699755</v>
      </c>
      <c r="EH76" t="s">
        <v>1099</v>
      </c>
      <c r="EI76">
        <v>1</v>
      </c>
      <c r="EJ76">
        <v>1</v>
      </c>
      <c r="EK76" s="14">
        <v>45504</v>
      </c>
      <c r="EL76" s="15">
        <v>-7.16</v>
      </c>
      <c r="EM76" s="15">
        <v>0.8</v>
      </c>
      <c r="EN76" s="15">
        <v>2.42</v>
      </c>
      <c r="EO76" s="15">
        <v>0</v>
      </c>
      <c r="EP76" s="15">
        <v>4.6500000000000004</v>
      </c>
    </row>
    <row r="77" spans="1:146" ht="108" hidden="1" x14ac:dyDescent="0.25">
      <c r="A77" s="7"/>
      <c r="B77" s="7"/>
      <c r="C77" s="7" t="str">
        <f>""&amp;CHAR(10)&amp;Basic_Fundamental_Information_Constructure(F77)&amp;CHAR(10)&amp;Basic_Fundamental_Information_Concatenate("")</f>
        <v xml:space="preserve">
市值427.51235亿, 利润2.01亿; PE228.3; 平均PE348.67; 平均PEG7.4, PB8.83; ROIC2.71%; ROE8.6733%; 股利率.1905%; 毛利91.13%; 净利22.3867%; 上一年度营收增26.57%, 利润增8.06%; 当季营收增33.12%, 利润增-63.75%; 过往5年营收增47.12%, 利润增35.06%
Income profile:
</v>
      </c>
      <c r="D77" t="s">
        <v>1330</v>
      </c>
      <c r="E77" t="s">
        <v>1331</v>
      </c>
      <c r="F77">
        <v>78.739999999999995</v>
      </c>
      <c r="G77">
        <v>4.47</v>
      </c>
      <c r="H77" t="s">
        <v>4084</v>
      </c>
      <c r="I77">
        <v>42751235000</v>
      </c>
      <c r="J77">
        <v>228.3</v>
      </c>
      <c r="K77">
        <v>8.83</v>
      </c>
      <c r="L77" t="s">
        <v>1277</v>
      </c>
      <c r="M77" t="s">
        <v>1298</v>
      </c>
      <c r="N77" t="s">
        <v>2942</v>
      </c>
      <c r="O77" t="s">
        <v>378</v>
      </c>
      <c r="P77">
        <v>33.590000000000003</v>
      </c>
      <c r="Q77" t="s">
        <v>768</v>
      </c>
      <c r="R77">
        <v>7665401</v>
      </c>
      <c r="S77" s="5">
        <v>-0.63749999999999996</v>
      </c>
      <c r="T77" t="s">
        <v>400</v>
      </c>
      <c r="U77">
        <v>262321450</v>
      </c>
      <c r="V77">
        <v>542941770</v>
      </c>
      <c r="W77">
        <v>1.1200000000000001</v>
      </c>
      <c r="X77">
        <v>0.04</v>
      </c>
      <c r="Y77">
        <v>3.59</v>
      </c>
      <c r="Z77" t="s">
        <v>441</v>
      </c>
      <c r="AA77" t="s">
        <v>2943</v>
      </c>
      <c r="AB77" t="s">
        <v>2944</v>
      </c>
      <c r="AC77" t="s">
        <v>2945</v>
      </c>
      <c r="AD77" t="s">
        <v>63</v>
      </c>
      <c r="AE77">
        <v>-16610226</v>
      </c>
      <c r="AF77" t="s">
        <v>2946</v>
      </c>
      <c r="AG77" t="s">
        <v>2947</v>
      </c>
      <c r="AH77" t="s">
        <v>2948</v>
      </c>
      <c r="AI77" t="s">
        <v>1773</v>
      </c>
      <c r="AJ77" t="s">
        <v>2949</v>
      </c>
      <c r="AK77" t="s">
        <v>2950</v>
      </c>
      <c r="AL77" t="s">
        <v>2951</v>
      </c>
      <c r="AM77" t="s">
        <v>63</v>
      </c>
      <c r="AN77" t="s">
        <v>2952</v>
      </c>
      <c r="AO77" t="s">
        <v>2953</v>
      </c>
      <c r="AP77" t="s">
        <v>63</v>
      </c>
      <c r="AQ77" t="s">
        <v>2954</v>
      </c>
      <c r="AR77" t="s">
        <v>63</v>
      </c>
      <c r="AS77" t="s">
        <v>803</v>
      </c>
      <c r="AT77" t="s">
        <v>2955</v>
      </c>
      <c r="AU77" t="s">
        <v>2956</v>
      </c>
      <c r="AV77" t="s">
        <v>2957</v>
      </c>
      <c r="AW77" t="s">
        <v>2958</v>
      </c>
      <c r="AX77" t="s">
        <v>901</v>
      </c>
      <c r="AY77" t="s">
        <v>771</v>
      </c>
      <c r="AZ77" t="s">
        <v>335</v>
      </c>
      <c r="BA77" t="s">
        <v>491</v>
      </c>
      <c r="BB77" t="s">
        <v>183</v>
      </c>
      <c r="BC77" t="s">
        <v>270</v>
      </c>
      <c r="BD77" t="s">
        <v>219</v>
      </c>
      <c r="BE77" t="s">
        <v>446</v>
      </c>
      <c r="BF77" t="s">
        <v>1332</v>
      </c>
      <c r="BG77" t="s">
        <v>1333</v>
      </c>
      <c r="BH77" t="s">
        <v>768</v>
      </c>
      <c r="BI77" t="s">
        <v>195</v>
      </c>
      <c r="BJ77" t="s">
        <v>901</v>
      </c>
      <c r="BK77" t="s">
        <v>400</v>
      </c>
      <c r="BL77" t="s">
        <v>4085</v>
      </c>
      <c r="BM77" t="s">
        <v>270</v>
      </c>
      <c r="BN77">
        <v>2.71</v>
      </c>
      <c r="BO77" t="s">
        <v>63</v>
      </c>
      <c r="BP77" t="s">
        <v>63</v>
      </c>
      <c r="BQ77">
        <v>3.64</v>
      </c>
      <c r="BR77">
        <v>7.33</v>
      </c>
      <c r="BS77">
        <v>15.05</v>
      </c>
      <c r="BT77" t="s">
        <v>1423</v>
      </c>
      <c r="BU77" t="s">
        <v>1848</v>
      </c>
      <c r="BV77">
        <v>93.78</v>
      </c>
      <c r="BW77">
        <v>90.25</v>
      </c>
      <c r="BX77">
        <v>89.36</v>
      </c>
      <c r="BY77">
        <v>19.87</v>
      </c>
      <c r="BZ77">
        <v>23.24</v>
      </c>
      <c r="CA77">
        <v>24.05</v>
      </c>
      <c r="CB77">
        <v>8.6999999999999993</v>
      </c>
      <c r="CC77">
        <v>-4.6500000000000004</v>
      </c>
      <c r="CD77" t="s">
        <v>4086</v>
      </c>
      <c r="CE77" t="s">
        <v>4087</v>
      </c>
      <c r="CF77" s="9">
        <v>0.33124999999999999</v>
      </c>
      <c r="CG77" s="10">
        <v>-0.63750456346766793</v>
      </c>
      <c r="CH77" s="9">
        <v>0.26566416025161743</v>
      </c>
      <c r="CI77" s="9">
        <v>0.37823835015296936</v>
      </c>
      <c r="CJ77" s="9">
        <v>0.39518073201179504</v>
      </c>
      <c r="CK77" s="9">
        <v>0.61478596925735474</v>
      </c>
      <c r="CL77" s="9">
        <v>0.70198673009872437</v>
      </c>
      <c r="CM77" s="10">
        <v>8.0645158886909485E-2</v>
      </c>
      <c r="CN77" s="10">
        <v>0.33812949061393738</v>
      </c>
      <c r="CO77" s="10">
        <v>0.33653846383094788</v>
      </c>
      <c r="CP77" s="10">
        <v>0.81952738761901855</v>
      </c>
      <c r="CQ77" s="10">
        <v>0.17803806066513062</v>
      </c>
      <c r="CR77">
        <v>348.66847153459037</v>
      </c>
      <c r="CS77">
        <v>7.4000380361174543</v>
      </c>
      <c r="CT77">
        <v>0.19050038100076203</v>
      </c>
      <c r="CU77" s="9">
        <v>0.47117118835449218</v>
      </c>
      <c r="CV77" s="10">
        <v>0.35057571232318879</v>
      </c>
      <c r="CW77">
        <v>0.06</v>
      </c>
      <c r="CX77">
        <v>138.59052919625904</v>
      </c>
      <c r="CY77">
        <v>278967366.84835178</v>
      </c>
      <c r="CZ77">
        <v>0.47117118835449218</v>
      </c>
      <c r="DA77">
        <v>33.291148092770271</v>
      </c>
      <c r="DB77">
        <v>1161336788.1534896</v>
      </c>
      <c r="DC77">
        <v>0.44761262893676756</v>
      </c>
      <c r="DD77">
        <v>10.37055136724106</v>
      </c>
      <c r="DE77">
        <v>3728079022.1171765</v>
      </c>
      <c r="DF77">
        <v>0.41463064575195313</v>
      </c>
      <c r="DG77">
        <v>3.4916845549243241</v>
      </c>
      <c r="DH77">
        <v>11072659741.119694</v>
      </c>
      <c r="DI77">
        <v>0.37693695068359379</v>
      </c>
      <c r="DJ77">
        <v>0.42297495128274926</v>
      </c>
      <c r="DK77">
        <v>91405495485.606583</v>
      </c>
      <c r="DL77">
        <v>0.32981983184814451</v>
      </c>
      <c r="DM77">
        <v>200999999.99999997</v>
      </c>
      <c r="DN77">
        <v>0.47117118835449218</v>
      </c>
      <c r="DO77">
        <v>38662235000</v>
      </c>
      <c r="DP77">
        <v>3045277400</v>
      </c>
      <c r="DQ77">
        <v>2674</v>
      </c>
      <c r="DR77">
        <v>-0.13992118835449219</v>
      </c>
      <c r="DS77">
        <v>-0.98808027579085667</v>
      </c>
      <c r="DT77" s="11">
        <v>0.4433333333333333</v>
      </c>
      <c r="DU77">
        <v>0.17666666666666661</v>
      </c>
      <c r="DV77">
        <v>0.61999999999999988</v>
      </c>
      <c r="DW77">
        <v>5.5344827586206895</v>
      </c>
      <c r="DX77">
        <v>0.58730514592108474</v>
      </c>
      <c r="DY77">
        <v>5.0680424055785132</v>
      </c>
      <c r="DZ77">
        <v>602</v>
      </c>
      <c r="EA77">
        <v>5.0600233123603724</v>
      </c>
      <c r="EB77">
        <v>5</v>
      </c>
      <c r="EC77">
        <v>1.4623115108642313E-2</v>
      </c>
      <c r="ED77">
        <v>0.11486664582833625</v>
      </c>
      <c r="EE77" s="12">
        <v>1.3700000000000002E-2</v>
      </c>
      <c r="EF77">
        <v>5.8399999999999994E-2</v>
      </c>
      <c r="EG77">
        <v>46.127305145921085</v>
      </c>
      <c r="EH77" t="s">
        <v>1099</v>
      </c>
      <c r="EI77">
        <v>1</v>
      </c>
      <c r="EJ77">
        <v>1</v>
      </c>
      <c r="EK77" s="14">
        <v>45504</v>
      </c>
      <c r="EL77" s="15">
        <v>-1.44</v>
      </c>
      <c r="EM77" s="15">
        <v>0.75</v>
      </c>
      <c r="EN77" s="15">
        <v>2.62</v>
      </c>
      <c r="EO77" s="15">
        <v>-1.24</v>
      </c>
      <c r="EP77" s="15">
        <v>4.47</v>
      </c>
    </row>
    <row r="78" spans="1:146" ht="96" x14ac:dyDescent="0.25">
      <c r="A78" s="7"/>
      <c r="B78" s="7"/>
      <c r="C78" s="7" t="str">
        <f>""&amp;CHAR(10)&amp;Basic_Fundamental_Information_Constructure(F78)&amp;CHAR(10)&amp;Basic_Fundamental_Information_Concatenate("")</f>
        <v xml:space="preserve">
市值23.17亿, 利润4143.30万; PE71.69; 平均PE46.19; 平均PEG8.47, PB2.24; ROIC8.5467%; ROE9.22%; 股利率1.5106%; 毛利83.4733%; 净利24.2667%; 上一年度营收增1.88%, 利润增-25.15%; 当季营收增-.53%, 利润增-135.11%; 过往5年营收增5.45%, 利润增19.06%
Income profile:
</v>
      </c>
      <c r="D78" t="s">
        <v>1334</v>
      </c>
      <c r="E78" t="s">
        <v>1345</v>
      </c>
      <c r="F78">
        <v>23.17</v>
      </c>
      <c r="G78">
        <v>3.39</v>
      </c>
      <c r="H78" t="s">
        <v>4088</v>
      </c>
      <c r="I78">
        <v>2317000000</v>
      </c>
      <c r="J78">
        <v>71.69</v>
      </c>
      <c r="K78">
        <v>2.2400000000000002</v>
      </c>
      <c r="L78" t="s">
        <v>1277</v>
      </c>
      <c r="M78" t="s">
        <v>2959</v>
      </c>
      <c r="N78" t="s">
        <v>288</v>
      </c>
      <c r="O78" t="s">
        <v>2960</v>
      </c>
      <c r="P78">
        <v>-0.53</v>
      </c>
      <c r="Q78" t="s">
        <v>200</v>
      </c>
      <c r="R78">
        <v>-2368528</v>
      </c>
      <c r="S78" s="5">
        <v>-1.351</v>
      </c>
      <c r="T78" t="s">
        <v>2976</v>
      </c>
      <c r="U78">
        <v>74061625</v>
      </c>
      <c r="V78">
        <v>100000000</v>
      </c>
      <c r="W78">
        <v>1.06</v>
      </c>
      <c r="X78">
        <v>0.04</v>
      </c>
      <c r="Y78">
        <v>-6.17</v>
      </c>
      <c r="Z78" t="s">
        <v>2961</v>
      </c>
      <c r="AA78" t="s">
        <v>2962</v>
      </c>
      <c r="AB78" t="s">
        <v>2963</v>
      </c>
      <c r="AC78" t="s">
        <v>2964</v>
      </c>
      <c r="AD78" t="s">
        <v>63</v>
      </c>
      <c r="AE78">
        <v>-627214</v>
      </c>
      <c r="AF78" t="s">
        <v>2965</v>
      </c>
      <c r="AG78">
        <v>8171.3</v>
      </c>
      <c r="AH78" t="s">
        <v>2966</v>
      </c>
      <c r="AI78" t="s">
        <v>468</v>
      </c>
      <c r="AJ78" t="s">
        <v>2967</v>
      </c>
      <c r="AK78" t="s">
        <v>2968</v>
      </c>
      <c r="AL78" t="s">
        <v>2969</v>
      </c>
      <c r="AM78" t="s">
        <v>63</v>
      </c>
      <c r="AN78">
        <v>0</v>
      </c>
      <c r="AO78" t="s">
        <v>63</v>
      </c>
      <c r="AP78" t="s">
        <v>63</v>
      </c>
      <c r="AQ78" t="s">
        <v>2970</v>
      </c>
      <c r="AR78" t="s">
        <v>2971</v>
      </c>
      <c r="AS78" t="s">
        <v>2972</v>
      </c>
      <c r="AT78" t="s">
        <v>63</v>
      </c>
      <c r="AU78" t="s">
        <v>2973</v>
      </c>
      <c r="AV78" t="s">
        <v>2974</v>
      </c>
      <c r="AW78" t="s">
        <v>2975</v>
      </c>
      <c r="AX78" t="s">
        <v>378</v>
      </c>
      <c r="AY78" t="s">
        <v>206</v>
      </c>
      <c r="AZ78" t="s">
        <v>555</v>
      </c>
      <c r="BA78" t="s">
        <v>661</v>
      </c>
      <c r="BB78" t="s">
        <v>468</v>
      </c>
      <c r="BC78" t="s">
        <v>1517</v>
      </c>
      <c r="BD78" t="s">
        <v>1335</v>
      </c>
      <c r="BE78" t="s">
        <v>1336</v>
      </c>
      <c r="BF78" t="s">
        <v>1337</v>
      </c>
      <c r="BG78" t="s">
        <v>1338</v>
      </c>
      <c r="BH78" t="s">
        <v>200</v>
      </c>
      <c r="BI78" t="s">
        <v>4089</v>
      </c>
      <c r="BJ78" t="s">
        <v>378</v>
      </c>
      <c r="BK78" t="s">
        <v>2976</v>
      </c>
      <c r="BL78" t="s">
        <v>4090</v>
      </c>
      <c r="BM78" t="s">
        <v>1517</v>
      </c>
      <c r="BN78">
        <v>2.89</v>
      </c>
      <c r="BO78">
        <v>6.82</v>
      </c>
      <c r="BP78">
        <v>15.93</v>
      </c>
      <c r="BQ78">
        <v>3.32</v>
      </c>
      <c r="BR78">
        <v>8.17</v>
      </c>
      <c r="BS78">
        <v>16.170000000000002</v>
      </c>
      <c r="BT78" t="s">
        <v>2977</v>
      </c>
      <c r="BU78" t="s">
        <v>1830</v>
      </c>
      <c r="BV78">
        <v>79.959999999999994</v>
      </c>
      <c r="BW78">
        <v>85.14</v>
      </c>
      <c r="BX78">
        <v>85.32</v>
      </c>
      <c r="BY78">
        <v>17.02</v>
      </c>
      <c r="BZ78">
        <v>25.43</v>
      </c>
      <c r="CA78">
        <v>30.35</v>
      </c>
      <c r="CB78">
        <v>5.75</v>
      </c>
      <c r="CC78">
        <v>-12.07</v>
      </c>
      <c r="CD78" t="s">
        <v>4091</v>
      </c>
      <c r="CE78" t="s">
        <v>4092</v>
      </c>
      <c r="CF78" s="9">
        <v>-5.2552517959091518E-3</v>
      </c>
      <c r="CG78" s="10">
        <v>-1.3511219165085391</v>
      </c>
      <c r="CH78" s="9">
        <v>1.8779342994093895E-2</v>
      </c>
      <c r="CI78" s="9">
        <v>-3.1818181276321411E-2</v>
      </c>
      <c r="CJ78" s="9">
        <v>0.11675126850605011</v>
      </c>
      <c r="CK78" s="9">
        <v>-7.075471431016922E-2</v>
      </c>
      <c r="CL78" s="9">
        <v>0.23976607620716095</v>
      </c>
      <c r="CM78" s="10">
        <v>-0.25145524740219116</v>
      </c>
      <c r="CN78" s="10">
        <v>-0.18481481075286865</v>
      </c>
      <c r="CO78" s="10">
        <v>0.32791739702224731</v>
      </c>
      <c r="CP78" s="10">
        <v>-0.12495636194944382</v>
      </c>
      <c r="CQ78" s="10">
        <v>1.1862765550613403</v>
      </c>
      <c r="CR78">
        <v>46.189023478589647</v>
      </c>
      <c r="CS78">
        <v>8.4680957094730296</v>
      </c>
      <c r="CT78">
        <v>1.5105740181268881</v>
      </c>
      <c r="CU78" s="9">
        <v>5.4544758424162863E-2</v>
      </c>
      <c r="CV78" s="10">
        <v>0.19059350639581679</v>
      </c>
      <c r="CW78">
        <v>0.06</v>
      </c>
      <c r="CX78">
        <v>33.071926422568097</v>
      </c>
      <c r="CY78">
        <v>41219766.95829089</v>
      </c>
      <c r="CZ78">
        <v>5.4544758424162863E-2</v>
      </c>
      <c r="DA78">
        <v>11.138318343757332</v>
      </c>
      <c r="DB78">
        <v>122389848.98147027</v>
      </c>
      <c r="DC78">
        <v>5.1817520502954718E-2</v>
      </c>
      <c r="DD78">
        <v>5.7054804223763655</v>
      </c>
      <c r="DE78">
        <v>238931167.76872793</v>
      </c>
      <c r="DF78">
        <v>4.7999387413263317E-2</v>
      </c>
      <c r="DG78">
        <v>3.5805356861606938</v>
      </c>
      <c r="DH78">
        <v>380729929.67757255</v>
      </c>
      <c r="DI78">
        <v>4.3635806739330291E-2</v>
      </c>
      <c r="DJ78">
        <v>2.0319486263370976</v>
      </c>
      <c r="DK78">
        <v>670891518.77693391</v>
      </c>
      <c r="DL78">
        <v>3.8181330896914001E-2</v>
      </c>
      <c r="DM78">
        <v>41433000</v>
      </c>
      <c r="DN78">
        <v>5.4544758424162863E-2</v>
      </c>
      <c r="DO78">
        <v>1363217100</v>
      </c>
      <c r="DP78">
        <v>567498830</v>
      </c>
      <c r="DQ78">
        <v>2675</v>
      </c>
      <c r="DR78">
        <v>-5.9800010220072017E-2</v>
      </c>
      <c r="DS78">
        <v>-1.5417154229043559</v>
      </c>
      <c r="DT78" s="11">
        <v>-0.34</v>
      </c>
      <c r="DU78">
        <v>-0.88166666666666671</v>
      </c>
      <c r="DV78">
        <v>-1.2216666666666667</v>
      </c>
      <c r="DW78">
        <v>6.322671156004489</v>
      </c>
      <c r="DX78">
        <v>0.52750571913635236</v>
      </c>
      <c r="DY78">
        <v>6.0282355715507325</v>
      </c>
      <c r="DZ78">
        <v>3813</v>
      </c>
      <c r="EA78">
        <v>6.00715839176942</v>
      </c>
      <c r="EB78">
        <v>6</v>
      </c>
      <c r="EC78">
        <v>5.2213000000000002E-2</v>
      </c>
      <c r="ED78">
        <v>0.59668100000000013</v>
      </c>
      <c r="EE78" s="12">
        <v>-4.0092100000000004</v>
      </c>
      <c r="EF78">
        <v>-4.0247000000000002</v>
      </c>
      <c r="EG78">
        <v>44.087505719136352</v>
      </c>
      <c r="EH78" t="s">
        <v>1719</v>
      </c>
      <c r="EI78">
        <v>0</v>
      </c>
      <c r="EJ78">
        <v>0</v>
      </c>
      <c r="EK78" s="14">
        <v>45504</v>
      </c>
      <c r="EL78" s="15">
        <v>-2.1</v>
      </c>
      <c r="EM78" s="15">
        <v>0.82</v>
      </c>
      <c r="EN78" s="15">
        <v>1.77</v>
      </c>
      <c r="EO78" s="15">
        <v>0.44</v>
      </c>
      <c r="EP78" s="15">
        <v>3.39</v>
      </c>
    </row>
    <row r="79" spans="1:146" ht="96" x14ac:dyDescent="0.25">
      <c r="C79" s="7" t="str">
        <f>""&amp;CHAR(10)&amp;Basic_Fundamental_Information_Constructure(F79)&amp;CHAR(10)&amp;Basic_Fundamental_Information_Concatenate("")</f>
        <v xml:space="preserve">
市值32.3312亿, 利润5826.89万; PE56.7; 平均PE61.92; 平均PEG3.97, PB3.18; ROIC14.78%; ROE12.245%; 股利率.9526%; 毛利40.3133%; 净利20.44%; 上一年度营收增1.95%, 利润增-5.3%; 当季营收增-16.71%, 利润增-14.06%; 过往5年营收增15.61%, 利润增23.24%
Income profile:
</v>
      </c>
      <c r="D79" s="5" t="s">
        <v>1584</v>
      </c>
      <c r="E79" t="s">
        <v>1585</v>
      </c>
      <c r="F79">
        <v>36.74</v>
      </c>
      <c r="G79">
        <v>18.82</v>
      </c>
      <c r="H79" t="s">
        <v>4093</v>
      </c>
      <c r="I79">
        <v>3233120000</v>
      </c>
      <c r="J79">
        <v>56.7</v>
      </c>
      <c r="K79">
        <v>3.18</v>
      </c>
      <c r="L79" t="s">
        <v>1277</v>
      </c>
      <c r="M79" t="s">
        <v>305</v>
      </c>
      <c r="N79" t="s">
        <v>2978</v>
      </c>
      <c r="O79" t="s">
        <v>2979</v>
      </c>
      <c r="P79" s="5">
        <v>-16.71</v>
      </c>
      <c r="Q79" t="s">
        <v>543</v>
      </c>
      <c r="R79">
        <v>7610936</v>
      </c>
      <c r="S79">
        <v>-0.1406</v>
      </c>
      <c r="T79" t="s">
        <v>2994</v>
      </c>
      <c r="U79">
        <v>37000000</v>
      </c>
      <c r="V79">
        <v>88000000</v>
      </c>
      <c r="W79">
        <v>1.1000000000000001</v>
      </c>
      <c r="X79">
        <v>0.05</v>
      </c>
      <c r="Y79">
        <v>12.77</v>
      </c>
      <c r="Z79" t="s">
        <v>2980</v>
      </c>
      <c r="AA79" t="s">
        <v>2981</v>
      </c>
      <c r="AB79" t="s">
        <v>2982</v>
      </c>
      <c r="AC79" t="s">
        <v>2983</v>
      </c>
      <c r="AD79" t="s">
        <v>63</v>
      </c>
      <c r="AE79">
        <v>-782462</v>
      </c>
      <c r="AF79" t="s">
        <v>2984</v>
      </c>
      <c r="AG79">
        <v>1.52</v>
      </c>
      <c r="AH79" t="s">
        <v>2985</v>
      </c>
      <c r="AI79" t="s">
        <v>626</v>
      </c>
      <c r="AJ79" t="s">
        <v>2986</v>
      </c>
      <c r="AK79" t="s">
        <v>63</v>
      </c>
      <c r="AL79" t="s">
        <v>2987</v>
      </c>
      <c r="AM79" t="s">
        <v>63</v>
      </c>
      <c r="AN79">
        <v>0</v>
      </c>
      <c r="AO79" t="s">
        <v>63</v>
      </c>
      <c r="AP79" t="s">
        <v>63</v>
      </c>
      <c r="AQ79" t="s">
        <v>2988</v>
      </c>
      <c r="AR79" t="s">
        <v>2989</v>
      </c>
      <c r="AS79" t="s">
        <v>2990</v>
      </c>
      <c r="AT79" t="s">
        <v>63</v>
      </c>
      <c r="AU79" t="s">
        <v>2991</v>
      </c>
      <c r="AV79" t="s">
        <v>1755</v>
      </c>
      <c r="AW79" t="s">
        <v>2992</v>
      </c>
      <c r="AX79" t="s">
        <v>726</v>
      </c>
      <c r="AY79" t="s">
        <v>293</v>
      </c>
      <c r="AZ79" t="s">
        <v>535</v>
      </c>
      <c r="BA79" t="s">
        <v>537</v>
      </c>
      <c r="BB79" t="s">
        <v>284</v>
      </c>
      <c r="BC79" t="s">
        <v>2993</v>
      </c>
      <c r="BD79" t="s">
        <v>1586</v>
      </c>
      <c r="BE79" t="s">
        <v>1762</v>
      </c>
      <c r="BF79" t="s">
        <v>1763</v>
      </c>
      <c r="BG79" t="s">
        <v>1764</v>
      </c>
      <c r="BH79" t="s">
        <v>543</v>
      </c>
      <c r="BI79" t="s">
        <v>4094</v>
      </c>
      <c r="BJ79" t="s">
        <v>726</v>
      </c>
      <c r="BK79" t="s">
        <v>2994</v>
      </c>
      <c r="BL79" t="s">
        <v>4095</v>
      </c>
      <c r="BM79" t="s">
        <v>2993</v>
      </c>
      <c r="BN79">
        <v>3.39</v>
      </c>
      <c r="BO79">
        <v>18.78</v>
      </c>
      <c r="BP79">
        <v>22.17</v>
      </c>
      <c r="BQ79">
        <v>4.7</v>
      </c>
      <c r="BR79">
        <v>19.79</v>
      </c>
      <c r="BS79" t="s">
        <v>63</v>
      </c>
      <c r="BT79" t="s">
        <v>2977</v>
      </c>
      <c r="BU79" t="s">
        <v>1830</v>
      </c>
      <c r="BV79">
        <v>36.270000000000003</v>
      </c>
      <c r="BW79">
        <v>39.92</v>
      </c>
      <c r="BX79">
        <v>44.75</v>
      </c>
      <c r="BY79">
        <v>18.59</v>
      </c>
      <c r="BZ79">
        <v>20.03</v>
      </c>
      <c r="CA79">
        <v>22.7</v>
      </c>
      <c r="CB79">
        <v>19.170000000000002</v>
      </c>
      <c r="CC79" s="9">
        <v>-23.44</v>
      </c>
      <c r="CD79" s="10" t="s">
        <v>4096</v>
      </c>
      <c r="CE79" s="9" t="s">
        <v>4097</v>
      </c>
      <c r="CF79" s="9">
        <v>-0.16705613354427903</v>
      </c>
      <c r="CG79" s="9">
        <v>-0.14056076877039647</v>
      </c>
      <c r="CH79" s="9">
        <v>1.9543973729014397E-2</v>
      </c>
      <c r="CI79" s="9">
        <v>0.11636363714933395</v>
      </c>
      <c r="CJ79" s="10">
        <v>0.12704917788505554</v>
      </c>
      <c r="CK79" s="10">
        <v>0.27748692035675049</v>
      </c>
      <c r="CL79" s="10">
        <v>0.24025973677635193</v>
      </c>
      <c r="CM79" s="10">
        <v>-5.2952449768781662E-2</v>
      </c>
      <c r="CN79" s="10">
        <v>-1.5978952869772911E-2</v>
      </c>
      <c r="CO79">
        <v>3.5953342914581299E-2</v>
      </c>
      <c r="CP79">
        <v>0.3073832094669342</v>
      </c>
      <c r="CQ79">
        <v>0.88778889179229736</v>
      </c>
      <c r="CR79" s="9">
        <v>61.91777096637356</v>
      </c>
      <c r="CS79" s="10">
        <v>3.9655115711236189</v>
      </c>
      <c r="CT79">
        <v>0.95264017419706037</v>
      </c>
      <c r="CU79">
        <v>0.15614068917930127</v>
      </c>
      <c r="CV79">
        <v>0.23243880830705166</v>
      </c>
      <c r="CW79">
        <v>0.06</v>
      </c>
      <c r="CX79">
        <v>36.632260713009202</v>
      </c>
      <c r="CY79">
        <v>63553817.173320554</v>
      </c>
      <c r="CZ79">
        <v>0.15614068917930127</v>
      </c>
      <c r="DA79">
        <v>11.323895051004774</v>
      </c>
      <c r="DB79">
        <v>205593569.1309171</v>
      </c>
      <c r="DC79">
        <v>0.14833365472033619</v>
      </c>
      <c r="DD79">
        <v>5.1658906108566676</v>
      </c>
      <c r="DE79">
        <v>450671563.7971909</v>
      </c>
      <c r="DF79">
        <v>0.13740380647778511</v>
      </c>
      <c r="DG79">
        <v>2.8397992473526363</v>
      </c>
      <c r="DH79">
        <v>819818514.34405363</v>
      </c>
      <c r="DI79">
        <v>0.12491255134344102</v>
      </c>
      <c r="DJ79">
        <v>1.1979064860971149</v>
      </c>
      <c r="DK79">
        <v>1943490603.8327086</v>
      </c>
      <c r="DL79">
        <v>0.10929848242551088</v>
      </c>
      <c r="DM79">
        <v>58268900</v>
      </c>
      <c r="DN79">
        <v>0.15614068917930127</v>
      </c>
      <c r="DO79">
        <v>2328120000</v>
      </c>
      <c r="DP79">
        <v>947825910</v>
      </c>
      <c r="DQ79" s="11">
        <v>2714</v>
      </c>
      <c r="DR79">
        <v>-0.3231968227235803</v>
      </c>
      <c r="DS79">
        <v>-0.37299957707744813</v>
      </c>
      <c r="DT79">
        <v>-0.22333333333333338</v>
      </c>
      <c r="DU79">
        <v>0.31666666666666665</v>
      </c>
      <c r="DV79">
        <v>9.3333333333333268E-2</v>
      </c>
      <c r="DW79">
        <v>7.4498943909880309</v>
      </c>
      <c r="DX79">
        <v>1.0552183147826475</v>
      </c>
      <c r="DY79">
        <v>7.1103223443882477</v>
      </c>
      <c r="DZ79">
        <v>1578</v>
      </c>
      <c r="EA79">
        <v>7.0762407744108291</v>
      </c>
      <c r="EB79" s="12">
        <v>7</v>
      </c>
      <c r="EC79" s="12">
        <v>0.26152840909090908</v>
      </c>
      <c r="ED79">
        <v>1.0665125</v>
      </c>
      <c r="EE79">
        <v>3.0259999999999998</v>
      </c>
      <c r="EF79">
        <v>4.0641999999999996</v>
      </c>
      <c r="EG79">
        <v>81.245218314782647</v>
      </c>
      <c r="EH79" s="14" t="s">
        <v>1465</v>
      </c>
      <c r="EI79">
        <v>1</v>
      </c>
      <c r="EJ79">
        <v>0</v>
      </c>
      <c r="EK79">
        <v>45504</v>
      </c>
      <c r="EL79">
        <v>0.49</v>
      </c>
      <c r="EM79">
        <v>-0.1</v>
      </c>
      <c r="EN79" s="15">
        <v>-1.62</v>
      </c>
      <c r="EO79" s="15">
        <v>1.62</v>
      </c>
      <c r="EP79" s="15">
        <v>18.82</v>
      </c>
    </row>
    <row r="80" spans="1:146" ht="96" hidden="1" x14ac:dyDescent="0.25">
      <c r="C80" s="7" t="str">
        <f>""&amp;CHAR(10)&amp;Basic_Fundamental_Information_Constructure(F80)&amp;CHAR(10)&amp;Basic_Fundamental_Information_Concatenate("")</f>
        <v xml:space="preserve">
市值28.0819亿, 利润4551.68万; PE84.7; 平均PE54.74; 平均PEG2.06, PB2.46; ROIC18.3567%; ROE13.575%; 股利率.3711%; 毛利49.7467%; 净利20.2233%; 上一年度营收增-.57%, 利润增-42.43%; 当季营收增-48.27%, 利润增-300.75%; 过往5年营收增26.58%, 利润增40.15%
Income profile:
</v>
      </c>
      <c r="D80" t="s">
        <v>1518</v>
      </c>
      <c r="E80" t="s">
        <v>1519</v>
      </c>
      <c r="F80">
        <v>26.95</v>
      </c>
      <c r="G80">
        <v>3.34</v>
      </c>
      <c r="H80" t="s">
        <v>4098</v>
      </c>
      <c r="I80">
        <v>2808190000</v>
      </c>
      <c r="J80">
        <v>84.7</v>
      </c>
      <c r="K80">
        <v>2.46</v>
      </c>
      <c r="L80" t="s">
        <v>1277</v>
      </c>
      <c r="M80" t="s">
        <v>424</v>
      </c>
      <c r="N80" t="s">
        <v>1714</v>
      </c>
      <c r="O80" t="s">
        <v>2995</v>
      </c>
      <c r="P80">
        <v>-48.27</v>
      </c>
      <c r="Q80" t="s">
        <v>638</v>
      </c>
      <c r="R80">
        <v>-8251800</v>
      </c>
      <c r="S80">
        <v>-3.0070000000000001</v>
      </c>
      <c r="T80" t="s">
        <v>3012</v>
      </c>
      <c r="U80">
        <v>38823725</v>
      </c>
      <c r="V80">
        <v>104200000</v>
      </c>
      <c r="W80">
        <v>1.1000000000000001</v>
      </c>
      <c r="X80">
        <v>0.02</v>
      </c>
      <c r="Y80">
        <v>-27.11</v>
      </c>
      <c r="Z80" t="s">
        <v>2996</v>
      </c>
      <c r="AA80" t="s">
        <v>2997</v>
      </c>
      <c r="AB80" t="s">
        <v>2998</v>
      </c>
      <c r="AC80" t="s">
        <v>2999</v>
      </c>
      <c r="AD80" t="s">
        <v>63</v>
      </c>
      <c r="AE80">
        <v>-4055608</v>
      </c>
      <c r="AF80" t="s">
        <v>3000</v>
      </c>
      <c r="AG80">
        <v>9290.26</v>
      </c>
      <c r="AH80" t="s">
        <v>3001</v>
      </c>
      <c r="AI80" t="s">
        <v>569</v>
      </c>
      <c r="AJ80" t="s">
        <v>3002</v>
      </c>
      <c r="AK80" t="s">
        <v>3003</v>
      </c>
      <c r="AL80" t="s">
        <v>3004</v>
      </c>
      <c r="AM80" t="s">
        <v>63</v>
      </c>
      <c r="AN80" t="s">
        <v>3005</v>
      </c>
      <c r="AO80" t="s">
        <v>3006</v>
      </c>
      <c r="AP80" t="s">
        <v>3007</v>
      </c>
      <c r="AQ80" t="s">
        <v>3008</v>
      </c>
      <c r="AR80" t="s">
        <v>63</v>
      </c>
      <c r="AS80" t="s">
        <v>316</v>
      </c>
      <c r="AT80" t="s">
        <v>63</v>
      </c>
      <c r="AU80" t="s">
        <v>3009</v>
      </c>
      <c r="AV80" t="s">
        <v>687</v>
      </c>
      <c r="AW80" t="s">
        <v>3010</v>
      </c>
      <c r="AX80" t="s">
        <v>1111</v>
      </c>
      <c r="AY80" t="s">
        <v>675</v>
      </c>
      <c r="AZ80" t="s">
        <v>515</v>
      </c>
      <c r="BA80" t="s">
        <v>588</v>
      </c>
      <c r="BB80" t="s">
        <v>305</v>
      </c>
      <c r="BC80" t="s">
        <v>3011</v>
      </c>
      <c r="BD80" t="s">
        <v>1520</v>
      </c>
      <c r="BE80" t="s">
        <v>1521</v>
      </c>
      <c r="BF80" t="s">
        <v>1522</v>
      </c>
      <c r="BG80" t="s">
        <v>1523</v>
      </c>
      <c r="BH80" t="s">
        <v>638</v>
      </c>
      <c r="BI80" t="s">
        <v>4099</v>
      </c>
      <c r="BJ80" t="s">
        <v>1111</v>
      </c>
      <c r="BK80" t="s">
        <v>3012</v>
      </c>
      <c r="BL80" t="s">
        <v>4100</v>
      </c>
      <c r="BM80" t="s">
        <v>3011</v>
      </c>
      <c r="BN80">
        <v>2.91</v>
      </c>
      <c r="BO80">
        <v>23.91</v>
      </c>
      <c r="BP80">
        <v>28.25</v>
      </c>
      <c r="BQ80">
        <v>3.63</v>
      </c>
      <c r="BR80">
        <v>23.52</v>
      </c>
      <c r="BS80" t="s">
        <v>63</v>
      </c>
      <c r="BT80" t="s">
        <v>1410</v>
      </c>
      <c r="BU80" t="s">
        <v>1848</v>
      </c>
      <c r="BV80">
        <v>47.59</v>
      </c>
      <c r="BW80">
        <v>49.36</v>
      </c>
      <c r="BX80">
        <v>52.29</v>
      </c>
      <c r="BY80">
        <v>12.96</v>
      </c>
      <c r="BZ80">
        <v>22.42</v>
      </c>
      <c r="CA80">
        <v>25.29</v>
      </c>
      <c r="CB80">
        <v>4.66</v>
      </c>
      <c r="CC80" s="9">
        <v>-22</v>
      </c>
      <c r="CD80" s="10" t="s">
        <v>4101</v>
      </c>
      <c r="CE80" s="9" t="s">
        <v>268</v>
      </c>
      <c r="CF80" s="9">
        <v>-0.48272662541698602</v>
      </c>
      <c r="CG80" s="9">
        <v>-3.0074930057170661</v>
      </c>
      <c r="CH80" s="9">
        <v>-5.6657223030924797E-3</v>
      </c>
      <c r="CI80" s="9">
        <v>0.2256944477558136</v>
      </c>
      <c r="CJ80" s="10">
        <v>0.23076923191547394</v>
      </c>
      <c r="CK80" s="10">
        <v>0.41818180680274963</v>
      </c>
      <c r="CL80" s="10">
        <v>0.46017700433731079</v>
      </c>
      <c r="CM80" s="10">
        <v>-0.42426136136054993</v>
      </c>
      <c r="CN80" s="10">
        <v>8.7079800665378571E-2</v>
      </c>
      <c r="CO80">
        <v>0.31668642163276672</v>
      </c>
      <c r="CP80">
        <v>0.37641918659210205</v>
      </c>
      <c r="CQ80">
        <v>1.6514344215393066</v>
      </c>
      <c r="CR80" s="9">
        <v>54.741150487042411</v>
      </c>
      <c r="CS80" s="10">
        <v>2.0592435664485125</v>
      </c>
      <c r="CT80">
        <v>0.3710575139146568</v>
      </c>
      <c r="CU80">
        <v>0.26583135370165112</v>
      </c>
      <c r="CV80">
        <v>0.40147169381380082</v>
      </c>
      <c r="CW80">
        <v>0.06</v>
      </c>
      <c r="CX80">
        <v>33.37652079983426</v>
      </c>
      <c r="CY80">
        <v>54355276.000157841</v>
      </c>
      <c r="CZ80">
        <v>0.26583135370165112</v>
      </c>
      <c r="DA80">
        <v>9.427467880920565</v>
      </c>
      <c r="DB80">
        <v>192436614.25477585</v>
      </c>
      <c r="DC80">
        <v>0.25253978601656857</v>
      </c>
      <c r="DD80">
        <v>3.7747972228463618</v>
      </c>
      <c r="DE80">
        <v>480605948.58444387</v>
      </c>
      <c r="DF80">
        <v>0.233931591257453</v>
      </c>
      <c r="DG80">
        <v>1.7667132373880674</v>
      </c>
      <c r="DH80">
        <v>1026872930.8227309</v>
      </c>
      <c r="DI80">
        <v>0.21266508296132092</v>
      </c>
      <c r="DJ80">
        <v>0.50044884160192205</v>
      </c>
      <c r="DK80">
        <v>3625125785.470561</v>
      </c>
      <c r="DL80">
        <v>0.18608194759115576</v>
      </c>
      <c r="DM80">
        <v>45516800</v>
      </c>
      <c r="DN80">
        <v>0.26583135370165112</v>
      </c>
      <c r="DO80">
        <v>1814190000</v>
      </c>
      <c r="DP80">
        <v>1022320500</v>
      </c>
      <c r="DQ80" s="11">
        <v>2734</v>
      </c>
      <c r="DR80">
        <v>-0.7485579791186372</v>
      </c>
      <c r="DS80">
        <v>-3.4089646995308671</v>
      </c>
      <c r="DT80">
        <v>5.9999999999999908E-2</v>
      </c>
      <c r="DU80">
        <v>-0.61499999999999999</v>
      </c>
      <c r="DV80">
        <v>-0.55500000000000005</v>
      </c>
      <c r="DW80">
        <v>6.1747936984246063</v>
      </c>
      <c r="DX80">
        <v>0.51500555555555727</v>
      </c>
      <c r="DY80">
        <v>6.0183543094106859</v>
      </c>
      <c r="DZ80">
        <v>3022</v>
      </c>
      <c r="EA80">
        <v>6.0074955147671671</v>
      </c>
      <c r="EB80" s="12">
        <v>6</v>
      </c>
      <c r="EC80" s="12">
        <v>0.12697408829174664</v>
      </c>
      <c r="ED80">
        <v>1.2092130518234165</v>
      </c>
      <c r="EE80">
        <v>1.0178100000000001</v>
      </c>
      <c r="EF80">
        <v>1.0156000000000001</v>
      </c>
      <c r="EG80">
        <v>41.105005555555557</v>
      </c>
      <c r="EH80" s="14" t="s">
        <v>1286</v>
      </c>
      <c r="EI80" s="15">
        <v>0</v>
      </c>
      <c r="EJ80" s="15">
        <v>0</v>
      </c>
      <c r="EK80" s="15">
        <v>45504</v>
      </c>
      <c r="EL80" s="15">
        <v>-5.64</v>
      </c>
      <c r="EM80" s="15">
        <v>-1.2</v>
      </c>
      <c r="EN80" s="15">
        <v>0.67</v>
      </c>
      <c r="EO80" s="15">
        <v>1.1299999999999999</v>
      </c>
      <c r="EP80" s="15">
        <v>3.34</v>
      </c>
    </row>
    <row r="81" spans="1:146" ht="108" hidden="1" x14ac:dyDescent="0.25">
      <c r="C81" s="7" t="str">
        <f>""&amp;CHAR(10)&amp;Basic_Fundamental_Information_Constructure(F81)&amp;CHAR(10)&amp;Basic_Fundamental_Information_Concatenate("")</f>
        <v xml:space="preserve">
市值21.5418亿, 利润5449.92万; PE72.64; 平均PE32.87; 平均PEG1.2, PB1.51; ROIC25.74%; ROE10.76%; 股利率2.2422%; 毛利53.5433%; 净利17.2967%; 上一年度营收增18.57%, 利润增-37.51%; 当季营收增.29%, 利润增-447.79%; 过往5年营收增27.33%, 利润增16.07%
Income profile:
</v>
      </c>
      <c r="D81" t="s">
        <v>1524</v>
      </c>
      <c r="E81" t="s">
        <v>1525</v>
      </c>
      <c r="F81">
        <v>22.3</v>
      </c>
      <c r="G81">
        <v>4.16</v>
      </c>
      <c r="H81" t="s">
        <v>4102</v>
      </c>
      <c r="I81">
        <v>2154180000</v>
      </c>
      <c r="J81">
        <v>72.64</v>
      </c>
      <c r="K81">
        <v>1.51</v>
      </c>
      <c r="L81" t="s">
        <v>1277</v>
      </c>
      <c r="M81" t="s">
        <v>506</v>
      </c>
      <c r="N81" t="s">
        <v>3013</v>
      </c>
      <c r="O81" t="s">
        <v>3014</v>
      </c>
      <c r="P81" s="5">
        <v>0.28999999999999998</v>
      </c>
      <c r="Q81" t="s">
        <v>869</v>
      </c>
      <c r="R81">
        <v>-19296959</v>
      </c>
      <c r="S81">
        <v>-4.4779999999999998</v>
      </c>
      <c r="T81" t="s">
        <v>3028</v>
      </c>
      <c r="U81">
        <v>43862109</v>
      </c>
      <c r="V81">
        <v>96600000</v>
      </c>
      <c r="W81">
        <v>1.1000000000000001</v>
      </c>
      <c r="X81">
        <v>0.05</v>
      </c>
      <c r="Y81">
        <v>-21.47</v>
      </c>
      <c r="Z81" t="s">
        <v>290</v>
      </c>
      <c r="AA81" t="s">
        <v>3015</v>
      </c>
      <c r="AB81" t="s">
        <v>3016</v>
      </c>
      <c r="AC81" t="s">
        <v>3017</v>
      </c>
      <c r="AD81" t="s">
        <v>63</v>
      </c>
      <c r="AE81">
        <v>-177502</v>
      </c>
      <c r="AF81" t="s">
        <v>3018</v>
      </c>
      <c r="AG81">
        <v>0.04</v>
      </c>
      <c r="AH81" t="s">
        <v>3019</v>
      </c>
      <c r="AI81" t="s">
        <v>572</v>
      </c>
      <c r="AJ81" t="s">
        <v>3020</v>
      </c>
      <c r="AK81" t="s">
        <v>1684</v>
      </c>
      <c r="AL81" t="s">
        <v>3021</v>
      </c>
      <c r="AM81" t="s">
        <v>63</v>
      </c>
      <c r="AN81" t="s">
        <v>316</v>
      </c>
      <c r="AO81" t="s">
        <v>3022</v>
      </c>
      <c r="AP81" t="s">
        <v>63</v>
      </c>
      <c r="AQ81" t="s">
        <v>3023</v>
      </c>
      <c r="AR81" t="s">
        <v>63</v>
      </c>
      <c r="AS81" t="s">
        <v>488</v>
      </c>
      <c r="AT81" t="s">
        <v>63</v>
      </c>
      <c r="AU81" t="s">
        <v>3024</v>
      </c>
      <c r="AV81" t="s">
        <v>3025</v>
      </c>
      <c r="AW81" t="s">
        <v>3026</v>
      </c>
      <c r="AX81" t="s">
        <v>280</v>
      </c>
      <c r="AY81" t="s">
        <v>458</v>
      </c>
      <c r="AZ81" t="s">
        <v>590</v>
      </c>
      <c r="BA81" t="s">
        <v>626</v>
      </c>
      <c r="BB81" t="s">
        <v>209</v>
      </c>
      <c r="BC81" t="s">
        <v>3027</v>
      </c>
      <c r="BD81" t="s">
        <v>1526</v>
      </c>
      <c r="BE81" t="s">
        <v>1527</v>
      </c>
      <c r="BF81" t="s">
        <v>1528</v>
      </c>
      <c r="BG81" t="s">
        <v>1529</v>
      </c>
      <c r="BH81" t="s">
        <v>869</v>
      </c>
      <c r="BI81" t="s">
        <v>4103</v>
      </c>
      <c r="BJ81" t="s">
        <v>280</v>
      </c>
      <c r="BK81" t="s">
        <v>3028</v>
      </c>
      <c r="BL81" t="s">
        <v>4104</v>
      </c>
      <c r="BM81" t="s">
        <v>3027</v>
      </c>
      <c r="BN81" t="s">
        <v>63</v>
      </c>
      <c r="BO81">
        <v>20.96</v>
      </c>
      <c r="BP81">
        <v>30.52</v>
      </c>
      <c r="BQ81">
        <v>-0.01</v>
      </c>
      <c r="BR81">
        <v>21.53</v>
      </c>
      <c r="BS81" t="s">
        <v>63</v>
      </c>
      <c r="BT81" t="s">
        <v>1548</v>
      </c>
      <c r="BU81" t="s">
        <v>1848</v>
      </c>
      <c r="BV81">
        <v>48.66</v>
      </c>
      <c r="BW81">
        <v>55.32</v>
      </c>
      <c r="BX81">
        <v>56.65</v>
      </c>
      <c r="BY81">
        <v>10.43</v>
      </c>
      <c r="BZ81">
        <v>19.510000000000002</v>
      </c>
      <c r="CA81">
        <v>21.95</v>
      </c>
      <c r="CB81">
        <v>5.39</v>
      </c>
      <c r="CC81" s="9">
        <v>3.05</v>
      </c>
      <c r="CD81" s="10" t="s">
        <v>4105</v>
      </c>
      <c r="CE81" s="9" t="s">
        <v>4106</v>
      </c>
      <c r="CF81" s="9">
        <v>2.9369803883222928E-3</v>
      </c>
      <c r="CG81" s="9">
        <v>-4.4779321966693102</v>
      </c>
      <c r="CH81" s="9">
        <v>0.18574513494968414</v>
      </c>
      <c r="CI81" s="9">
        <v>2.8888888657093048E-2</v>
      </c>
      <c r="CJ81" s="10">
        <v>0.33531156182289124</v>
      </c>
      <c r="CK81" s="10">
        <v>0.37551021575927734</v>
      </c>
      <c r="CL81" s="10">
        <v>0.44117647409439087</v>
      </c>
      <c r="CM81" s="10">
        <v>-0.37508514523506165</v>
      </c>
      <c r="CN81" s="10">
        <v>-0.10038559138774872</v>
      </c>
      <c r="CO81">
        <v>0.26242601871490479</v>
      </c>
      <c r="CP81">
        <v>0.79618686437606812</v>
      </c>
      <c r="CQ81">
        <v>0.22060053050518036</v>
      </c>
      <c r="CR81" s="9">
        <v>32.869877289941805</v>
      </c>
      <c r="CS81" s="10">
        <v>1.2025867486236219</v>
      </c>
      <c r="CT81">
        <v>2.2421524663677128</v>
      </c>
      <c r="CU81">
        <v>0.27332645505666731</v>
      </c>
      <c r="CV81">
        <v>0.16074853539466857</v>
      </c>
      <c r="CW81">
        <v>0.06</v>
      </c>
      <c r="CX81">
        <v>14.574923539358382</v>
      </c>
      <c r="CY81">
        <v>65467238.810777664</v>
      </c>
      <c r="CZ81">
        <v>0.27332645505666731</v>
      </c>
      <c r="DA81">
        <v>4.0918832705431072</v>
      </c>
      <c r="DB81">
        <v>233188470.1768029</v>
      </c>
      <c r="DC81">
        <v>0.25966013230383395</v>
      </c>
      <c r="DD81">
        <v>1.6236429329296089</v>
      </c>
      <c r="DE81">
        <v>587678473.29482222</v>
      </c>
      <c r="DF81">
        <v>0.24052728044986724</v>
      </c>
      <c r="DG81">
        <v>0.75121718228401158</v>
      </c>
      <c r="DH81">
        <v>1270178614.7900629</v>
      </c>
      <c r="DI81">
        <v>0.21866116404533387</v>
      </c>
      <c r="DJ81">
        <v>0.20664678362724026</v>
      </c>
      <c r="DK81">
        <v>4617444236.2538643</v>
      </c>
      <c r="DL81">
        <v>0.19132851853966709</v>
      </c>
      <c r="DM81">
        <v>54499200</v>
      </c>
      <c r="DN81">
        <v>0.27332645505666731</v>
      </c>
      <c r="DO81">
        <v>954180000</v>
      </c>
      <c r="DP81">
        <v>1141731350</v>
      </c>
      <c r="DQ81" s="11">
        <v>2761</v>
      </c>
      <c r="DR81">
        <v>-0.27038947466834501</v>
      </c>
      <c r="DS81">
        <v>-4.6386807320639791</v>
      </c>
      <c r="DT81">
        <v>7.6666666666666591E-2</v>
      </c>
      <c r="DU81">
        <v>-0.59833333333333338</v>
      </c>
      <c r="DV81">
        <v>-0.52166666666666683</v>
      </c>
      <c r="DW81">
        <v>4.5658627087198518</v>
      </c>
      <c r="DX81">
        <v>0.46663821445122922</v>
      </c>
      <c r="DY81">
        <v>4.0433667076208266</v>
      </c>
      <c r="DZ81">
        <v>2972</v>
      </c>
      <c r="EA81">
        <v>4.0181345511899149</v>
      </c>
      <c r="EB81" s="12">
        <v>4</v>
      </c>
      <c r="EC81" s="12">
        <v>7.2925465838509312E-2</v>
      </c>
      <c r="ED81">
        <v>0.95155486542443068</v>
      </c>
      <c r="EE81">
        <v>3.0396100000000001</v>
      </c>
      <c r="EF81">
        <v>3.0019999999999998</v>
      </c>
      <c r="EG81">
        <v>39.076638214451229</v>
      </c>
      <c r="EH81" s="14" t="s">
        <v>1451</v>
      </c>
      <c r="EI81" s="15">
        <v>0</v>
      </c>
      <c r="EJ81" s="15">
        <v>0</v>
      </c>
      <c r="EK81" s="15">
        <v>45504</v>
      </c>
      <c r="EL81" s="15">
        <v>-3.16</v>
      </c>
      <c r="EM81" s="15">
        <v>0.61</v>
      </c>
      <c r="EN81" s="15">
        <v>0.52</v>
      </c>
      <c r="EO81" s="15">
        <v>2.0099999999999998</v>
      </c>
      <c r="EP81" s="15">
        <v>4.16</v>
      </c>
    </row>
    <row r="82" spans="1:146" x14ac:dyDescent="0.25">
      <c r="D82" t="s">
        <v>4107</v>
      </c>
      <c r="E82" t="s">
        <v>4108</v>
      </c>
      <c r="F82">
        <v>6.7</v>
      </c>
      <c r="G82">
        <v>3.55</v>
      </c>
      <c r="H82" t="s">
        <v>4109</v>
      </c>
      <c r="I82">
        <v>2926560000</v>
      </c>
      <c r="J82">
        <v>240.9</v>
      </c>
      <c r="K82">
        <v>1.58</v>
      </c>
      <c r="L82" t="s">
        <v>1277</v>
      </c>
      <c r="M82" t="s">
        <v>4110</v>
      </c>
      <c r="N82" t="s">
        <v>4111</v>
      </c>
      <c r="O82" t="s">
        <v>399</v>
      </c>
      <c r="P82" s="5">
        <v>-40.619999999999997</v>
      </c>
      <c r="Q82" t="s">
        <v>4112</v>
      </c>
      <c r="R82">
        <v>-11160000</v>
      </c>
      <c r="S82">
        <v>-2.3439999999999999</v>
      </c>
      <c r="T82" t="s">
        <v>4113</v>
      </c>
      <c r="U82">
        <v>436800000</v>
      </c>
      <c r="V82">
        <v>436800000</v>
      </c>
      <c r="W82">
        <v>1.44</v>
      </c>
      <c r="X82">
        <v>0.09</v>
      </c>
      <c r="Y82">
        <v>-10.84</v>
      </c>
      <c r="Z82" t="s">
        <v>407</v>
      </c>
      <c r="AA82" t="s">
        <v>489</v>
      </c>
      <c r="AB82" t="s">
        <v>4114</v>
      </c>
      <c r="AC82" t="s">
        <v>4115</v>
      </c>
      <c r="AD82" t="s">
        <v>63</v>
      </c>
      <c r="AE82">
        <v>461418</v>
      </c>
      <c r="AF82" t="s">
        <v>4116</v>
      </c>
      <c r="AG82" t="s">
        <v>4117</v>
      </c>
      <c r="AH82" t="s">
        <v>4118</v>
      </c>
      <c r="AI82" t="s">
        <v>1063</v>
      </c>
      <c r="AJ82" t="s">
        <v>4119</v>
      </c>
      <c r="AK82" t="s">
        <v>319</v>
      </c>
      <c r="AL82" t="s">
        <v>4120</v>
      </c>
      <c r="AM82" t="s">
        <v>63</v>
      </c>
      <c r="AN82">
        <v>0</v>
      </c>
      <c r="AO82" t="s">
        <v>4121</v>
      </c>
      <c r="AP82" t="s">
        <v>4122</v>
      </c>
      <c r="AQ82" t="s">
        <v>590</v>
      </c>
      <c r="AR82" t="s">
        <v>4123</v>
      </c>
      <c r="AS82" t="s">
        <v>4124</v>
      </c>
      <c r="AT82" t="s">
        <v>1311</v>
      </c>
      <c r="AU82" t="s">
        <v>4125</v>
      </c>
      <c r="AV82" t="s">
        <v>4126</v>
      </c>
      <c r="AW82" t="s">
        <v>4127</v>
      </c>
      <c r="AX82" t="s">
        <v>4128</v>
      </c>
      <c r="AY82" t="s">
        <v>4129</v>
      </c>
      <c r="AZ82" t="s">
        <v>4130</v>
      </c>
      <c r="BA82" t="s">
        <v>4131</v>
      </c>
      <c r="BB82" t="s">
        <v>4132</v>
      </c>
      <c r="BC82" t="s">
        <v>4133</v>
      </c>
      <c r="BD82" t="s">
        <v>4134</v>
      </c>
      <c r="BE82" t="s">
        <v>4135</v>
      </c>
      <c r="BF82" t="s">
        <v>4136</v>
      </c>
      <c r="BG82" t="s">
        <v>4137</v>
      </c>
      <c r="BH82" t="s">
        <v>4112</v>
      </c>
      <c r="BI82" t="s">
        <v>344</v>
      </c>
      <c r="BJ82" t="s">
        <v>4128</v>
      </c>
      <c r="BK82" t="s">
        <v>4113</v>
      </c>
      <c r="BL82" t="s">
        <v>4138</v>
      </c>
      <c r="BM82" t="s">
        <v>4133</v>
      </c>
      <c r="BN82">
        <v>2.71</v>
      </c>
      <c r="BO82">
        <v>3.04</v>
      </c>
      <c r="BP82">
        <v>3.45</v>
      </c>
      <c r="BQ82">
        <v>4.57</v>
      </c>
      <c r="BR82">
        <v>3.84</v>
      </c>
      <c r="BS82">
        <v>5.29</v>
      </c>
      <c r="BT82" t="s">
        <v>4139</v>
      </c>
      <c r="BU82" t="s">
        <v>1830</v>
      </c>
      <c r="BV82">
        <v>30.74</v>
      </c>
      <c r="BW82">
        <v>33.72</v>
      </c>
      <c r="BX82">
        <v>32.22</v>
      </c>
      <c r="BY82">
        <v>0.79</v>
      </c>
      <c r="BZ82">
        <v>2.81</v>
      </c>
      <c r="CA82">
        <v>2.85</v>
      </c>
      <c r="CB82">
        <v>8.94</v>
      </c>
      <c r="CC82" s="9">
        <v>-4.6900000000000004</v>
      </c>
      <c r="CD82" s="10" t="s">
        <v>4140</v>
      </c>
      <c r="CE82" s="9" t="s">
        <v>269</v>
      </c>
      <c r="CF82" s="9">
        <v>-0.40562248995983941</v>
      </c>
      <c r="CG82" s="9">
        <v>-1.6926041543837003</v>
      </c>
      <c r="CH82" s="9">
        <v>4.3066875077784061E-3</v>
      </c>
      <c r="CI82" s="9">
        <v>-8.4745787084102631E-2</v>
      </c>
      <c r="CJ82" s="10">
        <v>9.5896273851394653E-2</v>
      </c>
      <c r="CK82" s="10">
        <v>-0.29975795745849609</v>
      </c>
      <c r="CL82" s="10">
        <v>-1.0772068984806538E-2</v>
      </c>
      <c r="CM82" s="10">
        <v>-0.28230327367782593</v>
      </c>
      <c r="CN82" s="10">
        <v>-0.24362242221832275</v>
      </c>
      <c r="CO82">
        <v>0.60648936033248901</v>
      </c>
      <c r="CP82">
        <v>-0.21699166297912598</v>
      </c>
      <c r="CQ82">
        <v>0.44314411282539368</v>
      </c>
      <c r="CR82" s="9">
        <v>44.755079351404916</v>
      </c>
      <c r="CS82" s="10">
        <v>7.5837338173503595</v>
      </c>
      <c r="CT82">
        <v>0.17910447761194029</v>
      </c>
      <c r="CU82">
        <v>-5.9014570433646441E-2</v>
      </c>
      <c r="CV82">
        <v>6.1343222856521606E-2</v>
      </c>
      <c r="CW82">
        <v>0.06</v>
      </c>
      <c r="CX82" t="e">
        <v>#VALUE!</v>
      </c>
      <c r="CY82" t="s">
        <v>3817</v>
      </c>
      <c r="CZ82">
        <v>-5.9014570433646441E-2</v>
      </c>
      <c r="DA82">
        <v>11.999217221657847</v>
      </c>
      <c r="DB82" t="s">
        <v>4141</v>
      </c>
      <c r="DC82">
        <v>-5.6063841911964118E-2</v>
      </c>
      <c r="DD82">
        <v>5.9996086108289237</v>
      </c>
      <c r="DE82" t="s">
        <v>4142</v>
      </c>
      <c r="DF82">
        <v>-5.1932821981608868E-2</v>
      </c>
      <c r="DG82">
        <v>3.5997651664973542</v>
      </c>
      <c r="DH82" t="s">
        <v>4143</v>
      </c>
      <c r="DI82">
        <v>-4.7211656346917152E-2</v>
      </c>
      <c r="DJ82">
        <v>1.7998825832486771</v>
      </c>
      <c r="DK82" t="s">
        <v>4144</v>
      </c>
      <c r="DL82">
        <v>-4.1310199303552508E-2</v>
      </c>
      <c r="DM82">
        <v>49907700.000000007</v>
      </c>
      <c r="DN82">
        <v>-5.9014570433646441E-2</v>
      </c>
      <c r="DO82">
        <v>1796560000</v>
      </c>
      <c r="DP82">
        <v>1245361000</v>
      </c>
      <c r="DQ82" s="11">
        <v>3067</v>
      </c>
      <c r="DR82">
        <v>-0.34660791952619296</v>
      </c>
      <c r="DS82">
        <v>-1.7539473772402219</v>
      </c>
      <c r="DT82">
        <v>-0.55666666666666664</v>
      </c>
      <c r="DU82">
        <v>-0.96499999999999997</v>
      </c>
      <c r="DV82">
        <v>-1.5216666666666665</v>
      </c>
      <c r="DW82">
        <v>5.5246085011185686</v>
      </c>
      <c r="DX82">
        <v>0.52681554054054203</v>
      </c>
      <c r="DY82">
        <v>5.0822667656750706</v>
      </c>
      <c r="DZ82">
        <v>4038</v>
      </c>
      <c r="EA82">
        <v>5.017232858119093</v>
      </c>
      <c r="EB82" s="12">
        <v>5</v>
      </c>
      <c r="EC82" s="12">
        <v>5.3133470695970693E-2</v>
      </c>
      <c r="ED82">
        <v>0.33882783882783885</v>
      </c>
      <c r="EE82">
        <v>3.0794999999999999</v>
      </c>
      <c r="EF82">
        <v>3.1150000000000002</v>
      </c>
      <c r="EG82">
        <v>37.156815540540542</v>
      </c>
      <c r="EH82" s="14" t="s">
        <v>1451</v>
      </c>
      <c r="EI82">
        <v>1</v>
      </c>
      <c r="EJ82">
        <v>0</v>
      </c>
      <c r="EK82">
        <v>45504</v>
      </c>
      <c r="EL82">
        <v>-1.76</v>
      </c>
      <c r="EM82">
        <v>0.81</v>
      </c>
      <c r="EN82" s="15">
        <v>2.2599999999999998</v>
      </c>
      <c r="EO82" s="15">
        <v>0.95</v>
      </c>
      <c r="EP82" s="15">
        <v>3.55</v>
      </c>
    </row>
    <row r="83" spans="1:146" ht="108" hidden="1" x14ac:dyDescent="0.25">
      <c r="A83" s="7"/>
      <c r="B83" s="7"/>
      <c r="C83" s="7" t="str">
        <f>""&amp;CHAR(10)&amp;Basic_Fundamental_Information_Constructure(F83)&amp;CHAR(10)&amp;Basic_Fundamental_Information_Concatenate("")</f>
        <v xml:space="preserve">
市值347.00732亿, 利润14.24亿; PE29.76; 平均PE28.28; 平均PEG1.6, PB4.37; ROIC15.7833%; ROE18.6767%; 股利率.7096%; 毛利73.7967%; 净利21.3833%; 上一年度营收增11.98%, 利润增30.52%; 当季营收增5.13%, 利润增-84.06%; 过往5年营收增17.69%, 利润增25.74%
Income profile:
</v>
      </c>
      <c r="D83" t="s">
        <v>129</v>
      </c>
      <c r="E83" t="s">
        <v>24</v>
      </c>
      <c r="F83">
        <v>18.32</v>
      </c>
      <c r="G83">
        <v>5.77</v>
      </c>
      <c r="H83" t="s">
        <v>4145</v>
      </c>
      <c r="I83">
        <v>34700732000</v>
      </c>
      <c r="J83">
        <v>29.76</v>
      </c>
      <c r="K83">
        <v>4.37</v>
      </c>
      <c r="L83" t="s">
        <v>1277</v>
      </c>
      <c r="M83" t="s">
        <v>3029</v>
      </c>
      <c r="N83" t="s">
        <v>3030</v>
      </c>
      <c r="O83" t="s">
        <v>1151</v>
      </c>
      <c r="P83">
        <v>5.13</v>
      </c>
      <c r="Q83" t="s">
        <v>3042</v>
      </c>
      <c r="R83">
        <v>35377000</v>
      </c>
      <c r="S83" s="5">
        <v>-1.163</v>
      </c>
      <c r="T83" t="s">
        <v>1082</v>
      </c>
      <c r="U83">
        <v>1894144800</v>
      </c>
      <c r="V83">
        <v>1894144800</v>
      </c>
      <c r="W83">
        <v>1.5</v>
      </c>
      <c r="X83">
        <v>0.09</v>
      </c>
      <c r="Y83">
        <v>-2.96</v>
      </c>
      <c r="Z83" t="s">
        <v>3031</v>
      </c>
      <c r="AA83" t="s">
        <v>485</v>
      </c>
      <c r="AB83" t="s">
        <v>318</v>
      </c>
      <c r="AC83" t="s">
        <v>561</v>
      </c>
      <c r="AD83" t="s">
        <v>63</v>
      </c>
      <c r="AE83">
        <v>-5750151</v>
      </c>
      <c r="AF83" t="s">
        <v>3032</v>
      </c>
      <c r="AG83" t="s">
        <v>3033</v>
      </c>
      <c r="AH83" t="s">
        <v>3034</v>
      </c>
      <c r="AI83" t="s">
        <v>1771</v>
      </c>
      <c r="AJ83" t="s">
        <v>3035</v>
      </c>
      <c r="AK83" t="s">
        <v>3036</v>
      </c>
      <c r="AL83" t="s">
        <v>3037</v>
      </c>
      <c r="AM83" t="s">
        <v>63</v>
      </c>
      <c r="AN83" t="s">
        <v>233</v>
      </c>
      <c r="AO83" t="s">
        <v>433</v>
      </c>
      <c r="AP83" t="s">
        <v>3038</v>
      </c>
      <c r="AQ83" t="s">
        <v>475</v>
      </c>
      <c r="AR83" t="s">
        <v>3039</v>
      </c>
      <c r="AS83" t="s">
        <v>1685</v>
      </c>
      <c r="AT83" t="s">
        <v>436</v>
      </c>
      <c r="AU83" t="s">
        <v>3040</v>
      </c>
      <c r="AV83" t="s">
        <v>834</v>
      </c>
      <c r="AW83" t="s">
        <v>3041</v>
      </c>
      <c r="AX83" t="s">
        <v>1533</v>
      </c>
      <c r="AY83" t="s">
        <v>1221</v>
      </c>
      <c r="AZ83" t="s">
        <v>937</v>
      </c>
      <c r="BA83" t="s">
        <v>592</v>
      </c>
      <c r="BB83" t="s">
        <v>939</v>
      </c>
      <c r="BC83" t="s">
        <v>859</v>
      </c>
      <c r="BD83" t="s">
        <v>1223</v>
      </c>
      <c r="BE83" t="s">
        <v>938</v>
      </c>
      <c r="BF83" t="s">
        <v>593</v>
      </c>
      <c r="BG83" t="s">
        <v>265</v>
      </c>
      <c r="BH83" t="s">
        <v>3042</v>
      </c>
      <c r="BI83" t="s">
        <v>983</v>
      </c>
      <c r="BJ83" t="s">
        <v>1533</v>
      </c>
      <c r="BK83" t="s">
        <v>1082</v>
      </c>
      <c r="BL83" t="s">
        <v>372</v>
      </c>
      <c r="BM83" t="s">
        <v>859</v>
      </c>
      <c r="BN83">
        <v>7.39</v>
      </c>
      <c r="BO83">
        <v>15.37</v>
      </c>
      <c r="BP83">
        <v>24.59</v>
      </c>
      <c r="BQ83">
        <v>8.56</v>
      </c>
      <c r="BR83">
        <v>17.36</v>
      </c>
      <c r="BS83">
        <v>30.11</v>
      </c>
      <c r="BT83" t="s">
        <v>1424</v>
      </c>
      <c r="BU83" t="s">
        <v>1848</v>
      </c>
      <c r="BV83">
        <v>74.84</v>
      </c>
      <c r="BW83">
        <v>73.56</v>
      </c>
      <c r="BX83">
        <v>72.989999999999995</v>
      </c>
      <c r="BY83">
        <v>19.82</v>
      </c>
      <c r="BZ83">
        <v>17.22</v>
      </c>
      <c r="CA83">
        <v>27.11</v>
      </c>
      <c r="CB83">
        <v>7.26</v>
      </c>
      <c r="CC83">
        <v>-3.73</v>
      </c>
      <c r="CD83" t="s">
        <v>4146</v>
      </c>
      <c r="CE83" t="s">
        <v>4147</v>
      </c>
      <c r="CF83" s="9">
        <v>5.1327433628318583E-2</v>
      </c>
      <c r="CG83" s="10">
        <v>-0.84064414414414412</v>
      </c>
      <c r="CH83" s="9">
        <v>0.11980925500392914</v>
      </c>
      <c r="CI83" s="9">
        <v>0.18282704055309296</v>
      </c>
      <c r="CJ83" s="9">
        <v>0.31727772951126099</v>
      </c>
      <c r="CK83" s="9">
        <v>7.7737584710121155E-2</v>
      </c>
      <c r="CL83" s="9">
        <v>0.18663804233074188</v>
      </c>
      <c r="CM83" s="10">
        <v>0.30522447824478149</v>
      </c>
      <c r="CN83" s="10">
        <v>-0.25478136539459229</v>
      </c>
      <c r="CO83" s="10">
        <v>0.10741300880908966</v>
      </c>
      <c r="CP83" s="10">
        <v>-6.6384181380271912E-2</v>
      </c>
      <c r="CQ83" s="10">
        <v>1.195348858833313</v>
      </c>
      <c r="CR83">
        <v>28.280955175224125</v>
      </c>
      <c r="CS83">
        <v>1.5990775820892147</v>
      </c>
      <c r="CT83">
        <v>0.70960698689956336</v>
      </c>
      <c r="CU83" s="9">
        <v>0.17685793042182923</v>
      </c>
      <c r="CV83" s="10">
        <v>0.25736415982246397</v>
      </c>
      <c r="CW83">
        <v>0.06</v>
      </c>
      <c r="CX83">
        <v>19.865275222314647</v>
      </c>
      <c r="CY83">
        <v>1580986502.755363</v>
      </c>
      <c r="CZ83">
        <v>0.17685793042182923</v>
      </c>
      <c r="DA83">
        <v>6.0359316115086621</v>
      </c>
      <c r="DB83">
        <v>5203294871.6842709</v>
      </c>
      <c r="DC83">
        <v>0.16801503390073777</v>
      </c>
      <c r="DD83">
        <v>2.6874763988358619</v>
      </c>
      <c r="DE83">
        <v>11686328487.797884</v>
      </c>
      <c r="DF83">
        <v>0.15563497877120971</v>
      </c>
      <c r="DG83">
        <v>1.4349092719179446</v>
      </c>
      <c r="DH83">
        <v>21887608237.432865</v>
      </c>
      <c r="DI83">
        <v>0.1414863443374634</v>
      </c>
      <c r="DJ83">
        <v>0.56437557515879944</v>
      </c>
      <c r="DK83">
        <v>55648637861.698799</v>
      </c>
      <c r="DL83">
        <v>0.12380055129528046</v>
      </c>
      <c r="DM83">
        <v>1424000000</v>
      </c>
      <c r="DN83">
        <v>0.17685793042182923</v>
      </c>
      <c r="DO83">
        <v>31406732000</v>
      </c>
      <c r="DP83">
        <v>833025599.99999952</v>
      </c>
      <c r="DQ83">
        <v>3275</v>
      </c>
      <c r="DR83">
        <v>-0.12553049679351064</v>
      </c>
      <c r="DS83">
        <v>-1.098008303966608</v>
      </c>
      <c r="DT83" s="11">
        <v>-5.6666666666666719E-2</v>
      </c>
      <c r="DU83">
        <v>-0.22333333333333338</v>
      </c>
      <c r="DV83">
        <v>-0.28000000000000008</v>
      </c>
      <c r="DW83">
        <v>5.5137741046831952</v>
      </c>
      <c r="DX83">
        <v>0.79619687500000114</v>
      </c>
      <c r="DY83">
        <v>5.0751121685606062</v>
      </c>
      <c r="DZ83">
        <v>2475</v>
      </c>
      <c r="EA83">
        <v>5.0387177642560834</v>
      </c>
      <c r="EB83">
        <v>5</v>
      </c>
      <c r="EC83">
        <v>3.9517992499834224E-2</v>
      </c>
      <c r="ED83">
        <v>0.2703066840507653</v>
      </c>
      <c r="EE83" s="12">
        <v>-3.0047000000000001</v>
      </c>
      <c r="EF83">
        <v>-3.0623999999999998</v>
      </c>
      <c r="EG83">
        <v>65.146196875000001</v>
      </c>
      <c r="EH83" t="s">
        <v>1470</v>
      </c>
      <c r="EI83">
        <v>1</v>
      </c>
      <c r="EJ83">
        <v>0</v>
      </c>
      <c r="EK83" s="14">
        <v>45504</v>
      </c>
      <c r="EL83" s="15">
        <v>-1.39</v>
      </c>
      <c r="EM83" s="15">
        <v>2.0499999999999998</v>
      </c>
      <c r="EN83" s="15">
        <v>0</v>
      </c>
      <c r="EO83" s="15">
        <v>-0.92</v>
      </c>
      <c r="EP83" s="15">
        <v>5.77</v>
      </c>
    </row>
    <row r="84" spans="1:146" ht="96" x14ac:dyDescent="0.25">
      <c r="A84" s="7"/>
      <c r="B84" s="7"/>
      <c r="C84" s="7" t="str">
        <f>""&amp;CHAR(10)&amp;Basic_Fundamental_Information_Constructure(F84)&amp;CHAR(10)&amp;Basic_Fundamental_Information_Concatenate("")</f>
        <v xml:space="preserve">
市值327.49435亿, 利润-9.67亿; PE; 平均PE71.71; 平均PEG14.41, PB3.4; ROIC4.125%; ROE.8%; 股利率0%; 毛利56.1167%; 净利.18%; 上一年度营收增5.77%, 利润增-541.55%; 当季营收增18.58%, 利润增-105.79%; 过往5年营收增4.98%, 利润增-112.44%
Income profile:
</v>
      </c>
      <c r="D84" t="s">
        <v>101</v>
      </c>
      <c r="E84" t="s">
        <v>8</v>
      </c>
      <c r="F84">
        <v>9.58</v>
      </c>
      <c r="G84">
        <v>3.79</v>
      </c>
      <c r="H84" t="s">
        <v>4148</v>
      </c>
      <c r="I84">
        <v>32749435000</v>
      </c>
      <c r="K84">
        <v>3.4</v>
      </c>
      <c r="L84" t="s">
        <v>1277</v>
      </c>
      <c r="M84" t="s">
        <v>3043</v>
      </c>
      <c r="N84" t="s">
        <v>3044</v>
      </c>
      <c r="O84" t="s">
        <v>3045</v>
      </c>
      <c r="P84">
        <v>18.61</v>
      </c>
      <c r="Q84" t="s">
        <v>3059</v>
      </c>
      <c r="R84">
        <v>-817000000</v>
      </c>
      <c r="S84" s="5">
        <v>-0.14169999999999999</v>
      </c>
      <c r="T84" t="s">
        <v>1768</v>
      </c>
      <c r="U84">
        <v>3416997400</v>
      </c>
      <c r="V84">
        <v>3418521400</v>
      </c>
      <c r="W84">
        <v>2.16</v>
      </c>
      <c r="X84">
        <v>7.0000000000000007E-2</v>
      </c>
      <c r="Y84">
        <v>-26.69</v>
      </c>
      <c r="Z84" t="s">
        <v>3046</v>
      </c>
      <c r="AA84" t="s">
        <v>563</v>
      </c>
      <c r="AB84" t="s">
        <v>548</v>
      </c>
      <c r="AC84" t="s">
        <v>560</v>
      </c>
      <c r="AD84" t="s">
        <v>63</v>
      </c>
      <c r="AE84">
        <v>26035590</v>
      </c>
      <c r="AF84" t="s">
        <v>3047</v>
      </c>
      <c r="AG84" t="s">
        <v>3048</v>
      </c>
      <c r="AH84" t="s">
        <v>3049</v>
      </c>
      <c r="AI84" t="s">
        <v>3050</v>
      </c>
      <c r="AJ84" t="s">
        <v>3051</v>
      </c>
      <c r="AK84" t="s">
        <v>182</v>
      </c>
      <c r="AL84" t="s">
        <v>3052</v>
      </c>
      <c r="AM84" t="s">
        <v>63</v>
      </c>
      <c r="AN84" t="s">
        <v>887</v>
      </c>
      <c r="AO84" t="s">
        <v>3053</v>
      </c>
      <c r="AP84" t="s">
        <v>63</v>
      </c>
      <c r="AQ84" t="s">
        <v>3054</v>
      </c>
      <c r="AR84" t="s">
        <v>3055</v>
      </c>
      <c r="AS84" t="s">
        <v>3056</v>
      </c>
      <c r="AT84" t="s">
        <v>3057</v>
      </c>
      <c r="AU84" t="s">
        <v>3058</v>
      </c>
      <c r="AV84" t="s">
        <v>725</v>
      </c>
      <c r="AW84" t="s">
        <v>229</v>
      </c>
      <c r="AX84" t="s">
        <v>1535</v>
      </c>
      <c r="AY84" t="s">
        <v>1224</v>
      </c>
      <c r="AZ84" t="s">
        <v>1225</v>
      </c>
      <c r="BA84" t="s">
        <v>597</v>
      </c>
      <c r="BB84" t="s">
        <v>941</v>
      </c>
      <c r="BC84" t="s">
        <v>391</v>
      </c>
      <c r="BD84" t="s">
        <v>951</v>
      </c>
      <c r="BE84" t="s">
        <v>1164</v>
      </c>
      <c r="BF84" t="s">
        <v>598</v>
      </c>
      <c r="BG84" t="s">
        <v>411</v>
      </c>
      <c r="BH84" t="s">
        <v>3059</v>
      </c>
      <c r="BI84" t="s">
        <v>3958</v>
      </c>
      <c r="BJ84" t="s">
        <v>1535</v>
      </c>
      <c r="BK84" t="s">
        <v>1768</v>
      </c>
      <c r="BL84" t="s">
        <v>4149</v>
      </c>
      <c r="BM84" t="s">
        <v>391</v>
      </c>
      <c r="BN84" t="s">
        <v>63</v>
      </c>
      <c r="BO84">
        <v>1.5</v>
      </c>
      <c r="BP84">
        <v>6.75</v>
      </c>
      <c r="BQ84">
        <v>-9.7899999999999991</v>
      </c>
      <c r="BR84">
        <v>2</v>
      </c>
      <c r="BS84">
        <v>10.19</v>
      </c>
      <c r="BT84" t="s">
        <v>1409</v>
      </c>
      <c r="BU84" t="s">
        <v>1830</v>
      </c>
      <c r="BV84">
        <v>50.73</v>
      </c>
      <c r="BW84">
        <v>56.37</v>
      </c>
      <c r="BX84">
        <v>61.25</v>
      </c>
      <c r="BY84">
        <v>-9.5299999999999994</v>
      </c>
      <c r="BZ84">
        <v>2.4300000000000002</v>
      </c>
      <c r="CA84">
        <v>7.64</v>
      </c>
      <c r="CB84">
        <v>4.13</v>
      </c>
      <c r="CC84">
        <v>-10.63</v>
      </c>
      <c r="CD84" t="s">
        <v>4150</v>
      </c>
      <c r="CE84" t="s">
        <v>569</v>
      </c>
      <c r="CF84" s="9">
        <v>0.18576271186440663</v>
      </c>
      <c r="CG84" s="10">
        <v>-1.0579345088161209</v>
      </c>
      <c r="CH84" s="9">
        <v>5.7654891163110733E-2</v>
      </c>
      <c r="CI84" s="9">
        <v>3.6945857107639313E-2</v>
      </c>
      <c r="CJ84" s="9">
        <v>4.7373328357934952E-2</v>
      </c>
      <c r="CK84" s="9">
        <v>2.1151434630155563E-3</v>
      </c>
      <c r="CL84" s="9">
        <v>0.10476438701152802</v>
      </c>
      <c r="CM84" s="10">
        <v>-5.415524959564209</v>
      </c>
      <c r="CN84" s="10">
        <v>-0.6906779408454895</v>
      </c>
      <c r="CO84" s="10">
        <v>-0.2812182605266571</v>
      </c>
      <c r="CP84" s="10">
        <v>-0.16737113893032074</v>
      </c>
      <c r="CQ84" s="10">
        <v>0.9330066442489624</v>
      </c>
      <c r="CR84">
        <v>71.714091240875916</v>
      </c>
      <c r="CS84">
        <v>14.408891250494861</v>
      </c>
      <c r="CT84">
        <v>0</v>
      </c>
      <c r="CU84" s="9">
        <v>4.9770721420645717E-2</v>
      </c>
      <c r="CV84" s="10">
        <v>-1.1243571311235427</v>
      </c>
      <c r="CW84">
        <v>0.06</v>
      </c>
      <c r="CX84" t="e">
        <v>#VALUE!</v>
      </c>
      <c r="CY84" t="s">
        <v>1282</v>
      </c>
      <c r="CZ84">
        <v>4.9770721420645717E-2</v>
      </c>
      <c r="DA84" t="e">
        <v>#VALUE!</v>
      </c>
      <c r="DB84" t="s">
        <v>1283</v>
      </c>
      <c r="DC84">
        <v>4.7282185349613426E-2</v>
      </c>
      <c r="DD84" t="e">
        <v>#VALUE!</v>
      </c>
      <c r="DE84" t="s">
        <v>1283</v>
      </c>
      <c r="DF84">
        <v>4.3798234850168233E-2</v>
      </c>
      <c r="DG84" t="e">
        <v>#VALUE!</v>
      </c>
      <c r="DH84" t="s">
        <v>1283</v>
      </c>
      <c r="DI84">
        <v>3.9816577136516575E-2</v>
      </c>
      <c r="DJ84" t="e">
        <v>#VALUE!</v>
      </c>
      <c r="DK84" t="s">
        <v>1283</v>
      </c>
      <c r="DL84">
        <v>3.4839504994452E-2</v>
      </c>
      <c r="DM84">
        <v>-967000000</v>
      </c>
      <c r="DN84">
        <v>4.9770721420645717E-2</v>
      </c>
      <c r="DO84">
        <v>35195435000</v>
      </c>
      <c r="DP84">
        <v>1158111300</v>
      </c>
      <c r="DQ84">
        <v>3292</v>
      </c>
      <c r="DR84">
        <v>0.13599199044376092</v>
      </c>
      <c r="DS84">
        <v>6.6422622307421797E-2</v>
      </c>
      <c r="DT84" s="11">
        <v>-0.44</v>
      </c>
      <c r="DU84">
        <v>-1.9983333333333333</v>
      </c>
      <c r="DV84">
        <v>-2.4383333333333335</v>
      </c>
      <c r="DW84">
        <v>6.2798102981029809</v>
      </c>
      <c r="DX84">
        <v>0.52754781420764907</v>
      </c>
      <c r="DY84">
        <v>6.0300929859537664</v>
      </c>
      <c r="DZ84">
        <v>4629</v>
      </c>
      <c r="EA84">
        <v>6.0028219538511856</v>
      </c>
      <c r="EB84">
        <v>6</v>
      </c>
      <c r="EC84">
        <v>2.3028962170603934E-2</v>
      </c>
      <c r="ED84">
        <v>0.21412766349802578</v>
      </c>
      <c r="EE84" s="12">
        <v>1.02691</v>
      </c>
      <c r="EF84">
        <v>1.0109999999999999</v>
      </c>
      <c r="EG84">
        <v>42.107547814207649</v>
      </c>
      <c r="EH84" t="s">
        <v>1286</v>
      </c>
      <c r="EI84">
        <v>0</v>
      </c>
      <c r="EJ84">
        <v>0</v>
      </c>
      <c r="EK84" s="14">
        <v>45504</v>
      </c>
      <c r="EL84" s="15">
        <v>-2.23</v>
      </c>
      <c r="EM84" s="15">
        <v>0.65</v>
      </c>
      <c r="EN84" s="15">
        <v>0.43</v>
      </c>
      <c r="EO84" s="15">
        <v>-1.18</v>
      </c>
      <c r="EP84" s="15">
        <v>3.79</v>
      </c>
    </row>
    <row r="85" spans="1:146" ht="96" hidden="1" x14ac:dyDescent="0.25">
      <c r="A85" s="7"/>
      <c r="B85" s="7"/>
      <c r="C85" s="7" t="str">
        <f>""&amp;CHAR(10)&amp;Basic_Fundamental_Information_Constructure(F85)&amp;CHAR(10)&amp;Basic_Fundamental_Information_Concatenate("")</f>
        <v xml:space="preserve">
市值149.76024亿, 利润1.93亿; PE70.89; 平均PE64.46; 平均PEG16.92, PB3.21; ROIC2.9567%; ROE4.4267%; 股利率.3927%; 毛利19.76%; 净利4.78%; 上一年度营收增16.1%, 利润增6.63%; 当季营收增28.61%, 利润增44.04%; 过往5年营收增3.81%, 利润增-5.57%
Income profile:
</v>
      </c>
      <c r="D85" t="s">
        <v>138</v>
      </c>
      <c r="E85" t="s">
        <v>55</v>
      </c>
      <c r="F85">
        <v>10.95</v>
      </c>
      <c r="G85">
        <v>6.1</v>
      </c>
      <c r="H85" t="s">
        <v>4151</v>
      </c>
      <c r="I85">
        <v>14976024000</v>
      </c>
      <c r="J85">
        <v>70.89</v>
      </c>
      <c r="K85">
        <v>3.21</v>
      </c>
      <c r="L85" t="s">
        <v>1277</v>
      </c>
      <c r="M85" t="s">
        <v>3060</v>
      </c>
      <c r="N85" t="s">
        <v>3061</v>
      </c>
      <c r="O85" t="s">
        <v>1723</v>
      </c>
      <c r="P85">
        <v>28.66</v>
      </c>
      <c r="Q85" t="s">
        <v>3076</v>
      </c>
      <c r="R85">
        <v>60015547</v>
      </c>
      <c r="S85" s="5">
        <v>0.44040000000000001</v>
      </c>
      <c r="T85" t="s">
        <v>333</v>
      </c>
      <c r="U85">
        <v>1074302990</v>
      </c>
      <c r="V85">
        <v>1367673500</v>
      </c>
      <c r="W85">
        <v>1.44</v>
      </c>
      <c r="X85">
        <v>0.2</v>
      </c>
      <c r="Y85">
        <v>4.1100000000000003</v>
      </c>
      <c r="Z85" t="s">
        <v>1724</v>
      </c>
      <c r="AA85" t="s">
        <v>346</v>
      </c>
      <c r="AB85" t="s">
        <v>3062</v>
      </c>
      <c r="AC85" t="s">
        <v>3063</v>
      </c>
      <c r="AD85" t="s">
        <v>63</v>
      </c>
      <c r="AE85">
        <v>-21537968</v>
      </c>
      <c r="AF85" t="s">
        <v>3064</v>
      </c>
      <c r="AG85" t="s">
        <v>3065</v>
      </c>
      <c r="AH85" t="s">
        <v>3066</v>
      </c>
      <c r="AI85" t="s">
        <v>3067</v>
      </c>
      <c r="AJ85" t="s">
        <v>3068</v>
      </c>
      <c r="AK85" t="s">
        <v>3069</v>
      </c>
      <c r="AL85" t="s">
        <v>3070</v>
      </c>
      <c r="AM85" t="s">
        <v>63</v>
      </c>
      <c r="AN85" t="s">
        <v>3071</v>
      </c>
      <c r="AO85" t="s">
        <v>63</v>
      </c>
      <c r="AP85" t="s">
        <v>3072</v>
      </c>
      <c r="AQ85" t="s">
        <v>1810</v>
      </c>
      <c r="AR85" t="s">
        <v>3073</v>
      </c>
      <c r="AS85" t="s">
        <v>3074</v>
      </c>
      <c r="AT85" t="s">
        <v>63</v>
      </c>
      <c r="AU85" t="s">
        <v>3075</v>
      </c>
      <c r="AV85" t="s">
        <v>1718</v>
      </c>
      <c r="AW85" t="s">
        <v>690</v>
      </c>
      <c r="AX85" t="s">
        <v>1536</v>
      </c>
      <c r="AY85" t="s">
        <v>1226</v>
      </c>
      <c r="AZ85" t="s">
        <v>525</v>
      </c>
      <c r="BA85" t="s">
        <v>600</v>
      </c>
      <c r="BB85" t="s">
        <v>942</v>
      </c>
      <c r="BC85" t="s">
        <v>202</v>
      </c>
      <c r="BD85" t="s">
        <v>491</v>
      </c>
      <c r="BE85" t="s">
        <v>441</v>
      </c>
      <c r="BF85" t="s">
        <v>263</v>
      </c>
      <c r="BG85" t="s">
        <v>570</v>
      </c>
      <c r="BH85" t="s">
        <v>3076</v>
      </c>
      <c r="BI85" t="s">
        <v>4152</v>
      </c>
      <c r="BJ85" t="s">
        <v>1536</v>
      </c>
      <c r="BK85" t="s">
        <v>333</v>
      </c>
      <c r="BL85" t="s">
        <v>4153</v>
      </c>
      <c r="BM85" t="s">
        <v>202</v>
      </c>
      <c r="BN85">
        <v>2.23</v>
      </c>
      <c r="BO85">
        <v>2.12</v>
      </c>
      <c r="BP85">
        <v>4.5199999999999996</v>
      </c>
      <c r="BQ85">
        <v>3.38</v>
      </c>
      <c r="BR85">
        <v>4.0199999999999996</v>
      </c>
      <c r="BS85">
        <v>5.88</v>
      </c>
      <c r="BT85" t="s">
        <v>3077</v>
      </c>
      <c r="BU85" t="s">
        <v>1848</v>
      </c>
      <c r="BV85">
        <v>17.989999999999998</v>
      </c>
      <c r="BW85">
        <v>19.739999999999998</v>
      </c>
      <c r="BX85">
        <v>21.55</v>
      </c>
      <c r="BY85">
        <v>4.34</v>
      </c>
      <c r="BZ85">
        <v>4.1500000000000004</v>
      </c>
      <c r="CA85">
        <v>5.85</v>
      </c>
      <c r="CB85">
        <v>7.25</v>
      </c>
      <c r="CC85">
        <v>-4.09</v>
      </c>
      <c r="CD85" t="s">
        <v>4154</v>
      </c>
      <c r="CE85" t="s">
        <v>347</v>
      </c>
      <c r="CF85" s="9">
        <v>0.28610108303249099</v>
      </c>
      <c r="CG85" s="10">
        <v>0.44042728806603126</v>
      </c>
      <c r="CH85" s="9">
        <v>0.16100570559501648</v>
      </c>
      <c r="CI85" s="9">
        <v>-9.1928660869598389E-2</v>
      </c>
      <c r="CJ85" s="9">
        <v>8.7799519300460815E-2</v>
      </c>
      <c r="CK85" s="9">
        <v>-6.115766242146492E-2</v>
      </c>
      <c r="CL85" s="9">
        <v>9.4715647399425507E-2</v>
      </c>
      <c r="CM85" s="10">
        <v>6.6298343241214752E-2</v>
      </c>
      <c r="CN85" s="10">
        <v>-0.29571983218193054</v>
      </c>
      <c r="CO85" s="10">
        <v>3.2128512859344482E-2</v>
      </c>
      <c r="CP85" s="10">
        <v>2.8925620019435883E-2</v>
      </c>
      <c r="CQ85" s="10">
        <v>-0.11029411852359772</v>
      </c>
      <c r="CR85">
        <v>64.459213773314204</v>
      </c>
      <c r="CS85">
        <v>16.92424355520032</v>
      </c>
      <c r="CT85">
        <v>0.39269406392694067</v>
      </c>
      <c r="CU85" s="9">
        <v>3.8086909800767899E-2</v>
      </c>
      <c r="CV85" s="10">
        <v>-5.5732294917106628E-2</v>
      </c>
      <c r="CW85">
        <v>0.06</v>
      </c>
      <c r="CX85">
        <v>69.948746335118685</v>
      </c>
      <c r="CY85">
        <v>189010163.7656115</v>
      </c>
      <c r="CZ85">
        <v>3.8086909800767899E-2</v>
      </c>
      <c r="DA85">
        <v>23.89191380465569</v>
      </c>
      <c r="DB85">
        <v>553368144.0548178</v>
      </c>
      <c r="DC85">
        <v>3.6182564310729505E-2</v>
      </c>
      <c r="DD85">
        <v>12.462660437691946</v>
      </c>
      <c r="DE85">
        <v>1060850856.532564</v>
      </c>
      <c r="DF85">
        <v>3.351648062467575E-2</v>
      </c>
      <c r="DG85">
        <v>7.9756762347134789</v>
      </c>
      <c r="DH85">
        <v>1657668091.1966529</v>
      </c>
      <c r="DI85">
        <v>3.0469527840614321E-2</v>
      </c>
      <c r="DJ85">
        <v>4.7103938461411854</v>
      </c>
      <c r="DK85">
        <v>2806776764.7138109</v>
      </c>
      <c r="DL85">
        <v>2.6660836860537527E-2</v>
      </c>
      <c r="DM85">
        <v>193000000</v>
      </c>
      <c r="DN85">
        <v>3.8086909800767899E-2</v>
      </c>
      <c r="DO85">
        <v>13221024000</v>
      </c>
      <c r="DP85">
        <v>3507848100</v>
      </c>
      <c r="DQ85">
        <v>3305</v>
      </c>
      <c r="DR85">
        <v>0.24801417323172309</v>
      </c>
      <c r="DS85">
        <v>0.49615958298313789</v>
      </c>
      <c r="DT85" s="11">
        <v>-0.27333333333333337</v>
      </c>
      <c r="DU85">
        <v>7.0000000000000007E-2</v>
      </c>
      <c r="DV85">
        <v>-0.20333333333333337</v>
      </c>
      <c r="DW85">
        <v>5.564137931034483</v>
      </c>
      <c r="DX85">
        <v>0.84444315245477986</v>
      </c>
      <c r="DY85">
        <v>5.0927686197986279</v>
      </c>
      <c r="DZ85">
        <v>2288</v>
      </c>
      <c r="EA85">
        <v>5.0512152521206204</v>
      </c>
      <c r="EB85">
        <v>5</v>
      </c>
      <c r="EC85">
        <v>4.6531207923528529E-2</v>
      </c>
      <c r="ED85">
        <v>0.28296227133157148</v>
      </c>
      <c r="EE85" s="12">
        <v>-1.03101</v>
      </c>
      <c r="EF85">
        <v>-1.03</v>
      </c>
      <c r="EG85">
        <v>68.16444315245478</v>
      </c>
      <c r="EH85" t="s">
        <v>1284</v>
      </c>
      <c r="EI85">
        <v>1</v>
      </c>
      <c r="EJ85">
        <v>0</v>
      </c>
      <c r="EK85" s="14">
        <v>45504</v>
      </c>
      <c r="EL85" s="15">
        <v>-0.87</v>
      </c>
      <c r="EM85" s="15">
        <v>-0.69</v>
      </c>
      <c r="EN85" s="15">
        <v>1.78</v>
      </c>
      <c r="EO85" s="15">
        <v>0.28999999999999998</v>
      </c>
      <c r="EP85" s="15">
        <v>6.1</v>
      </c>
    </row>
    <row r="86" spans="1:146" ht="96" x14ac:dyDescent="0.25">
      <c r="A86" s="7"/>
      <c r="B86" s="7"/>
      <c r="C86" s="7" t="str">
        <f>""&amp;CHAR(10)&amp;Basic_Fundamental_Information_Constructure(F86)&amp;CHAR(10)&amp;Basic_Fundamental_Information_Concatenate("")</f>
        <v xml:space="preserve">
市值534.47317亿, 利润-4.92亿; PE; 平均PE30.16; 平均PEG4.25, PB1.69; ROIC.97%; ROE-1.78%; 股利率1.3369%; 毛利60.6167%; 净利-7.0833%; 上一年度营收增-4.89%, 利润增77.68%; 当季营收增-12.56%, 利润增-58.6%; 过往5年营收增-7.09%, 利润增-63.57%
Income profile:
</v>
      </c>
      <c r="D86" t="s">
        <v>145</v>
      </c>
      <c r="E86" t="s">
        <v>44</v>
      </c>
      <c r="F86">
        <v>7.48</v>
      </c>
      <c r="G86">
        <v>3.17</v>
      </c>
      <c r="H86" t="s">
        <v>4155</v>
      </c>
      <c r="I86">
        <v>53447317000</v>
      </c>
      <c r="K86">
        <v>1.69</v>
      </c>
      <c r="L86" t="s">
        <v>1277</v>
      </c>
      <c r="M86" t="s">
        <v>3078</v>
      </c>
      <c r="N86" t="s">
        <v>3079</v>
      </c>
      <c r="O86" t="s">
        <v>1748</v>
      </c>
      <c r="P86">
        <v>-12.53</v>
      </c>
      <c r="Q86" t="s">
        <v>3094</v>
      </c>
      <c r="R86">
        <v>-295000000</v>
      </c>
      <c r="S86" s="5">
        <v>0.41149999999999998</v>
      </c>
      <c r="T86" t="s">
        <v>3095</v>
      </c>
      <c r="U86">
        <v>7145363200</v>
      </c>
      <c r="V86">
        <v>7145363200</v>
      </c>
      <c r="W86">
        <v>1.26</v>
      </c>
      <c r="X86">
        <v>0.04</v>
      </c>
      <c r="Y86">
        <v>-6.61</v>
      </c>
      <c r="Z86" t="s">
        <v>1707</v>
      </c>
      <c r="AA86" t="s">
        <v>1700</v>
      </c>
      <c r="AB86" t="s">
        <v>619</v>
      </c>
      <c r="AC86" t="s">
        <v>195</v>
      </c>
      <c r="AD86" t="s">
        <v>63</v>
      </c>
      <c r="AE86">
        <v>-174643000</v>
      </c>
      <c r="AF86" t="s">
        <v>3080</v>
      </c>
      <c r="AG86" t="s">
        <v>3081</v>
      </c>
      <c r="AH86" t="s">
        <v>3082</v>
      </c>
      <c r="AI86" t="s">
        <v>3083</v>
      </c>
      <c r="AJ86" t="s">
        <v>3084</v>
      </c>
      <c r="AK86" t="s">
        <v>3085</v>
      </c>
      <c r="AL86" t="s">
        <v>3086</v>
      </c>
      <c r="AM86" t="s">
        <v>63</v>
      </c>
      <c r="AN86" t="s">
        <v>3087</v>
      </c>
      <c r="AO86" t="s">
        <v>1083</v>
      </c>
      <c r="AP86" t="s">
        <v>3088</v>
      </c>
      <c r="AQ86" t="s">
        <v>3089</v>
      </c>
      <c r="AR86" t="s">
        <v>3090</v>
      </c>
      <c r="AS86" t="s">
        <v>3091</v>
      </c>
      <c r="AT86" t="s">
        <v>650</v>
      </c>
      <c r="AU86" t="s">
        <v>3092</v>
      </c>
      <c r="AV86" t="s">
        <v>3093</v>
      </c>
      <c r="AW86" t="s">
        <v>419</v>
      </c>
      <c r="AX86" t="s">
        <v>1537</v>
      </c>
      <c r="AY86" t="s">
        <v>1229</v>
      </c>
      <c r="AZ86" t="s">
        <v>947</v>
      </c>
      <c r="BA86" t="s">
        <v>607</v>
      </c>
      <c r="BB86" t="s">
        <v>949</v>
      </c>
      <c r="BC86" t="s">
        <v>1538</v>
      </c>
      <c r="BD86" t="s">
        <v>1230</v>
      </c>
      <c r="BE86" t="s">
        <v>948</v>
      </c>
      <c r="BF86" t="s">
        <v>608</v>
      </c>
      <c r="BG86" t="s">
        <v>950</v>
      </c>
      <c r="BH86" t="s">
        <v>3094</v>
      </c>
      <c r="BI86" t="s">
        <v>4156</v>
      </c>
      <c r="BJ86" t="s">
        <v>1537</v>
      </c>
      <c r="BK86" t="s">
        <v>3095</v>
      </c>
      <c r="BL86" t="s">
        <v>4157</v>
      </c>
      <c r="BM86" t="s">
        <v>1538</v>
      </c>
      <c r="BN86" t="s">
        <v>63</v>
      </c>
      <c r="BO86" t="s">
        <v>63</v>
      </c>
      <c r="BP86">
        <v>0.97</v>
      </c>
      <c r="BQ86">
        <v>-1.17</v>
      </c>
      <c r="BR86">
        <v>-6.67</v>
      </c>
      <c r="BS86">
        <v>2.5</v>
      </c>
      <c r="BT86" t="s">
        <v>1410</v>
      </c>
      <c r="BU86" t="s">
        <v>1830</v>
      </c>
      <c r="BV86">
        <v>60.76</v>
      </c>
      <c r="BW86">
        <v>58.8</v>
      </c>
      <c r="BX86">
        <v>62.29</v>
      </c>
      <c r="BY86">
        <v>-5.51</v>
      </c>
      <c r="BZ86">
        <v>-23.46</v>
      </c>
      <c r="CA86">
        <v>7.72</v>
      </c>
      <c r="CB86">
        <v>4.32</v>
      </c>
      <c r="CC86">
        <v>-6.97</v>
      </c>
      <c r="CD86" t="s">
        <v>425</v>
      </c>
      <c r="CE86" t="s">
        <v>1831</v>
      </c>
      <c r="CF86" s="9">
        <v>-0.12563580874872826</v>
      </c>
      <c r="CG86" s="10">
        <v>-0.58602150537634412</v>
      </c>
      <c r="CH86" s="9">
        <v>-4.8944529145956039E-2</v>
      </c>
      <c r="CI86" s="9">
        <v>-0.12539033591747284</v>
      </c>
      <c r="CJ86" s="9">
        <v>-6.276366114616394E-2</v>
      </c>
      <c r="CK86" s="9">
        <v>-9.5475457608699799E-2</v>
      </c>
      <c r="CL86" s="9">
        <v>-2.1936172619462013E-2</v>
      </c>
      <c r="CM86" s="10">
        <v>0.77676951885223389</v>
      </c>
      <c r="CN86" s="10">
        <v>-3.4434587955474854</v>
      </c>
      <c r="CO86" s="10">
        <v>-0.69035357236862183</v>
      </c>
      <c r="CP86" s="10">
        <v>-0.51287627220153809</v>
      </c>
      <c r="CQ86" s="10">
        <v>0.69165492057800293</v>
      </c>
      <c r="CR86">
        <v>30.156470001880763</v>
      </c>
      <c r="CS86">
        <v>4.2532589622965675</v>
      </c>
      <c r="CT86">
        <v>1.3368983957219251</v>
      </c>
      <c r="CU86" s="9">
        <v>-7.0902031287550932E-2</v>
      </c>
      <c r="CV86" s="10">
        <v>-0.63565284013748169</v>
      </c>
      <c r="CW86">
        <v>0.06</v>
      </c>
      <c r="CX86" t="e">
        <v>#VALUE!</v>
      </c>
      <c r="CY86" t="s">
        <v>1282</v>
      </c>
      <c r="CZ86">
        <v>-7.0902031287550932E-2</v>
      </c>
      <c r="DA86" t="e">
        <v>#VALUE!</v>
      </c>
      <c r="DB86" t="s">
        <v>1283</v>
      </c>
      <c r="DC86">
        <v>-6.7356929723173378E-2</v>
      </c>
      <c r="DD86" t="e">
        <v>#VALUE!</v>
      </c>
      <c r="DE86" t="s">
        <v>1283</v>
      </c>
      <c r="DF86">
        <v>-6.2393787533044823E-2</v>
      </c>
      <c r="DG86" t="e">
        <v>#VALUE!</v>
      </c>
      <c r="DH86" t="s">
        <v>1283</v>
      </c>
      <c r="DI86">
        <v>-5.6721625030040745E-2</v>
      </c>
      <c r="DJ86" t="e">
        <v>#VALUE!</v>
      </c>
      <c r="DK86" t="s">
        <v>1283</v>
      </c>
      <c r="DL86">
        <v>-4.9631421901285652E-2</v>
      </c>
      <c r="DM86">
        <v>-492000000</v>
      </c>
      <c r="DN86">
        <v>-7.0902031287550932E-2</v>
      </c>
      <c r="DO86">
        <v>30144317000.000004</v>
      </c>
      <c r="DP86">
        <v>23043114000</v>
      </c>
      <c r="DQ86">
        <v>3712</v>
      </c>
      <c r="DR86">
        <v>-5.473377746117733E-2</v>
      </c>
      <c r="DS86">
        <v>4.9631334761137569E-2</v>
      </c>
      <c r="DT86" s="11">
        <v>-0.44</v>
      </c>
      <c r="DU86">
        <v>-1.8816666666666668</v>
      </c>
      <c r="DV86">
        <v>-2.3216666666666668</v>
      </c>
      <c r="DW86">
        <v>6.3826395039858284</v>
      </c>
      <c r="DX86">
        <v>0.68396090410825683</v>
      </c>
      <c r="DY86">
        <v>6.0512587339014754</v>
      </c>
      <c r="DZ86">
        <v>4571</v>
      </c>
      <c r="EA86">
        <v>6.0053887901536989</v>
      </c>
      <c r="EB86">
        <v>6</v>
      </c>
      <c r="EC86">
        <v>2.5890916223824705E-2</v>
      </c>
      <c r="ED86">
        <v>0.19327219083838873</v>
      </c>
      <c r="EE86" s="12">
        <v>-1.0925100000000001</v>
      </c>
      <c r="EF86">
        <v>-1.06081</v>
      </c>
      <c r="EG86">
        <v>55.133960904108257</v>
      </c>
      <c r="EH86" t="s">
        <v>1285</v>
      </c>
      <c r="EI86">
        <v>0</v>
      </c>
      <c r="EJ86">
        <v>0</v>
      </c>
      <c r="EK86" s="14">
        <v>45504</v>
      </c>
      <c r="EL86" s="15">
        <v>-2.1800000000000002</v>
      </c>
      <c r="EM86" s="15">
        <v>0</v>
      </c>
      <c r="EN86" s="15">
        <v>0.98</v>
      </c>
      <c r="EO86" s="15">
        <v>-0.41</v>
      </c>
      <c r="EP86" s="15">
        <v>3.17</v>
      </c>
    </row>
    <row r="87" spans="1:146" ht="204" hidden="1" x14ac:dyDescent="0.25">
      <c r="A87" s="7"/>
      <c r="B87" s="7"/>
      <c r="C87" s="7" t="str">
        <f>"公司的主要业务聚焦在证券信息服务平台、大数据及数据工程服务和境外业务三大板块。证券信息服务平台是以软件终端为载体,以移动APP、PC版软件、云服务、互动直播以及TV终端等方式向广大投资者提供及时、专业的证券信息和数据服务的综合性互联网平台"&amp;CHAR(10)&amp;Basic_Fundamental_Information_Constructure(F87)&amp;CHAR(10)&amp;Basic_Fundamental_Information_Concatenate("金融资讯及数据PC终端服务系统 3.18亿 38.79% 33.19% 56.41%
港股服务系统 1.65亿 20.15% 19.86% 65.01%
广告 1.47亿 18.00% 26.98% 98.82%
证券公司综合服务系统 9298.82万 11.36% 9.81% 56.94%
其他 4820.12万 5.89% 7.98% 89.39%")</f>
        <v>公司的主要业务聚焦在证券信息服务平台、大数据及数据工程服务和境外业务三大板块。证券信息服务平台是以软件终端为载体,以移动APP、PC版软件、云服务、互动直播以及TV终端等方式向广大投资者提供及时、专业的证券信息和数据服务的综合性互联网平台
市值122.836961亿, 利润1.02亿; PE; 平均PE340.92; 平均PEG58.43, PB7.63; ROIC5.755%; ROE2.9367%; 股利率0%; 毛利61.5133%; 净利.38%; 上一年度营收增-.38%, 利润增215.51%; 当季营收增-4.76%, 利润增-145.9%; 过往5年营收增5.83%, 利润增101.64%
Income profile:
金融资讯及数据PC终端服务系统 3.18亿 38.79% 33.19% 56.41%
港股服务系统 1.65亿 20.15% 19.86% 65.01%
广告 1.47亿 18.00% 26.98% 98.82%
证券公司综合服务系统 9298.82万 11.36% 9.81% 56.94%
其他 4820.12万 5.89% 7.98% 89.39%</v>
      </c>
      <c r="D87" t="s">
        <v>73</v>
      </c>
      <c r="E87" t="s">
        <v>62</v>
      </c>
      <c r="F87">
        <v>6.13</v>
      </c>
      <c r="G87">
        <v>8.3000000000000007</v>
      </c>
      <c r="H87" t="s">
        <v>4158</v>
      </c>
      <c r="I87">
        <v>12283696100</v>
      </c>
      <c r="K87">
        <v>7.63</v>
      </c>
      <c r="L87" t="s">
        <v>1277</v>
      </c>
      <c r="M87" t="s">
        <v>502</v>
      </c>
      <c r="N87" t="s">
        <v>3096</v>
      </c>
      <c r="O87" t="s">
        <v>195</v>
      </c>
      <c r="P87">
        <v>-5.07</v>
      </c>
      <c r="Q87" t="s">
        <v>526</v>
      </c>
      <c r="R87">
        <v>-140000000</v>
      </c>
      <c r="S87" s="6">
        <v>-1.2250000000000001</v>
      </c>
      <c r="T87" t="s">
        <v>316</v>
      </c>
      <c r="U87">
        <v>2003865600</v>
      </c>
      <c r="V87">
        <v>2003865600</v>
      </c>
      <c r="W87">
        <v>1.38</v>
      </c>
      <c r="X87">
        <v>7.0000000000000007E-2</v>
      </c>
      <c r="Y87">
        <v>-43.61</v>
      </c>
      <c r="Z87" t="s">
        <v>524</v>
      </c>
      <c r="AA87" t="s">
        <v>3097</v>
      </c>
      <c r="AB87" t="s">
        <v>3098</v>
      </c>
      <c r="AC87" t="s">
        <v>3099</v>
      </c>
      <c r="AD87" t="s">
        <v>63</v>
      </c>
      <c r="AE87">
        <v>-6367220</v>
      </c>
      <c r="AF87" t="s">
        <v>3100</v>
      </c>
      <c r="AG87" t="s">
        <v>3101</v>
      </c>
      <c r="AH87" t="s">
        <v>3102</v>
      </c>
      <c r="AI87" t="s">
        <v>718</v>
      </c>
      <c r="AJ87" t="s">
        <v>3103</v>
      </c>
      <c r="AK87" t="s">
        <v>63</v>
      </c>
      <c r="AL87" t="s">
        <v>3104</v>
      </c>
      <c r="AM87" t="s">
        <v>63</v>
      </c>
      <c r="AN87">
        <v>0</v>
      </c>
      <c r="AO87" t="s">
        <v>63</v>
      </c>
      <c r="AP87" t="s">
        <v>63</v>
      </c>
      <c r="AQ87" t="s">
        <v>255</v>
      </c>
      <c r="AR87" t="s">
        <v>3105</v>
      </c>
      <c r="AS87" t="s">
        <v>887</v>
      </c>
      <c r="AT87" t="s">
        <v>63</v>
      </c>
      <c r="AU87" t="s">
        <v>1078</v>
      </c>
      <c r="AV87" t="s">
        <v>3106</v>
      </c>
      <c r="AW87" t="s">
        <v>3107</v>
      </c>
      <c r="AX87" t="s">
        <v>1315</v>
      </c>
      <c r="AY87" t="s">
        <v>240</v>
      </c>
      <c r="AZ87" t="s">
        <v>951</v>
      </c>
      <c r="BA87" t="s">
        <v>609</v>
      </c>
      <c r="BB87" t="s">
        <v>765</v>
      </c>
      <c r="BC87" t="s">
        <v>3108</v>
      </c>
      <c r="BD87" t="s">
        <v>1231</v>
      </c>
      <c r="BE87" t="s">
        <v>952</v>
      </c>
      <c r="BF87" t="s">
        <v>610</v>
      </c>
      <c r="BG87" t="s">
        <v>173</v>
      </c>
      <c r="BH87" t="s">
        <v>526</v>
      </c>
      <c r="BI87" t="s">
        <v>186</v>
      </c>
      <c r="BJ87" t="s">
        <v>1315</v>
      </c>
      <c r="BK87" t="s">
        <v>316</v>
      </c>
      <c r="BL87" t="s">
        <v>178</v>
      </c>
      <c r="BM87" t="s">
        <v>3108</v>
      </c>
      <c r="BN87">
        <v>11.68</v>
      </c>
      <c r="BO87" t="s">
        <v>63</v>
      </c>
      <c r="BP87">
        <v>-0.17</v>
      </c>
      <c r="BQ87">
        <v>13.2</v>
      </c>
      <c r="BR87">
        <v>-5.43</v>
      </c>
      <c r="BS87">
        <v>1.04</v>
      </c>
      <c r="BT87" t="s">
        <v>1409</v>
      </c>
      <c r="BU87" t="s">
        <v>1848</v>
      </c>
      <c r="BV87">
        <v>59.06</v>
      </c>
      <c r="BW87">
        <v>59.55</v>
      </c>
      <c r="BX87">
        <v>65.930000000000007</v>
      </c>
      <c r="BY87">
        <v>11.04</v>
      </c>
      <c r="BZ87">
        <v>-11.86</v>
      </c>
      <c r="CA87">
        <v>1.96</v>
      </c>
      <c r="CB87">
        <v>12.27</v>
      </c>
      <c r="CC87">
        <v>3.9</v>
      </c>
      <c r="CD87" t="s">
        <v>305</v>
      </c>
      <c r="CE87" t="s">
        <v>1141</v>
      </c>
      <c r="CF87" s="9">
        <v>-4.7619047619047616E-2</v>
      </c>
      <c r="CG87" s="10">
        <v>-1.459016393442623</v>
      </c>
      <c r="CH87" s="9">
        <v>-3.8461538497358561E-3</v>
      </c>
      <c r="CI87" s="9">
        <v>-4.76190485060215E-2</v>
      </c>
      <c r="CJ87" s="9">
        <v>0.15677966177463531</v>
      </c>
      <c r="CK87" s="9">
        <v>3.660321980714798E-2</v>
      </c>
      <c r="CL87" s="9">
        <v>0.14983165264129639</v>
      </c>
      <c r="CM87" s="10">
        <v>2.1550731658935547</v>
      </c>
      <c r="CN87" s="10">
        <v>-6.5021090507507324</v>
      </c>
      <c r="CO87" s="10">
        <v>-0.77856677770614624</v>
      </c>
      <c r="CP87" s="10">
        <v>11.152525901794434</v>
      </c>
      <c r="CQ87" s="10">
        <v>-0.94477593898773193</v>
      </c>
      <c r="CR87">
        <v>340.91752953567664</v>
      </c>
      <c r="CS87">
        <v>58.426445632909683</v>
      </c>
      <c r="CT87">
        <v>0</v>
      </c>
      <c r="CU87" s="9">
        <v>5.8349866373464468E-2</v>
      </c>
      <c r="CV87" s="10">
        <v>1.0164294600486756</v>
      </c>
      <c r="CW87">
        <v>0.06</v>
      </c>
      <c r="CX87">
        <v>110.7969524903463</v>
      </c>
      <c r="CY87">
        <v>101841213.55669187</v>
      </c>
      <c r="CZ87">
        <v>5.8349866373464468E-2</v>
      </c>
      <c r="DA87">
        <v>37.194451891506816</v>
      </c>
      <c r="DB87">
        <v>303370409.46089548</v>
      </c>
      <c r="DC87">
        <v>5.5432373054791241E-2</v>
      </c>
      <c r="DD87">
        <v>18.972099329099105</v>
      </c>
      <c r="DE87">
        <v>594752109.62517178</v>
      </c>
      <c r="DF87">
        <v>5.134788240864873E-2</v>
      </c>
      <c r="DG87">
        <v>11.85142784028829</v>
      </c>
      <c r="DH87">
        <v>952095920.59799612</v>
      </c>
      <c r="DI87">
        <v>4.6679893098771574E-2</v>
      </c>
      <c r="DJ87">
        <v>6.6616396457922527</v>
      </c>
      <c r="DK87">
        <v>1693831654.0624073</v>
      </c>
      <c r="DL87">
        <v>4.0844906461425128E-2</v>
      </c>
      <c r="DM87">
        <v>102000000</v>
      </c>
      <c r="DN87">
        <v>5.8349866373464468E-2</v>
      </c>
      <c r="DO87">
        <v>11283696100</v>
      </c>
      <c r="DP87">
        <v>1153703400</v>
      </c>
      <c r="DQ87">
        <v>3727</v>
      </c>
      <c r="DR87">
        <v>-0.10596891399251208</v>
      </c>
      <c r="DS87">
        <v>-2.4754458534912986</v>
      </c>
      <c r="DT87" s="11">
        <v>-0.3066666666666667</v>
      </c>
      <c r="DU87">
        <v>-1.4300000000000004</v>
      </c>
      <c r="DV87">
        <v>-1.736666666666667</v>
      </c>
      <c r="DW87">
        <v>5.3178484107579465</v>
      </c>
      <c r="DX87">
        <v>2.0976412776412658</v>
      </c>
      <c r="DY87">
        <v>5.0882478388590862</v>
      </c>
      <c r="DZ87">
        <v>4207</v>
      </c>
      <c r="EA87">
        <v>5.0155660342231867</v>
      </c>
      <c r="EB87">
        <v>5</v>
      </c>
      <c r="EC87">
        <v>5.6391007460779796E-2</v>
      </c>
      <c r="ED87">
        <v>0.20310743395165823</v>
      </c>
      <c r="EE87" s="12">
        <v>4.0351999999999997</v>
      </c>
      <c r="EF87">
        <v>4.1181999999999999</v>
      </c>
      <c r="EG87">
        <v>182.27764127764127</v>
      </c>
      <c r="EH87" t="s">
        <v>1465</v>
      </c>
      <c r="EI87">
        <v>1</v>
      </c>
      <c r="EJ87">
        <v>0</v>
      </c>
      <c r="EK87" s="14">
        <v>45504</v>
      </c>
      <c r="EL87" s="15">
        <v>-2.67</v>
      </c>
      <c r="EM87" s="15">
        <v>2.2000000000000002</v>
      </c>
      <c r="EN87" s="15">
        <v>1.43</v>
      </c>
      <c r="EO87" s="15">
        <v>-0.71</v>
      </c>
      <c r="EP87" s="15">
        <v>8.3000000000000007</v>
      </c>
    </row>
    <row r="88" spans="1:146" ht="48" x14ac:dyDescent="0.25">
      <c r="A88" s="7"/>
      <c r="B88" s="7"/>
      <c r="C88" s="7" t="s">
        <v>1092</v>
      </c>
      <c r="D88" t="s">
        <v>107</v>
      </c>
      <c r="E88" t="s">
        <v>1539</v>
      </c>
      <c r="F88">
        <v>29.7</v>
      </c>
      <c r="G88">
        <v>5.36</v>
      </c>
      <c r="H88" t="s">
        <v>4159</v>
      </c>
      <c r="I88">
        <v>7739911300</v>
      </c>
      <c r="J88">
        <v>37.549999999999997</v>
      </c>
      <c r="K88">
        <v>3.79</v>
      </c>
      <c r="L88" t="s">
        <v>1277</v>
      </c>
      <c r="M88" t="s">
        <v>1705</v>
      </c>
      <c r="N88" t="s">
        <v>3109</v>
      </c>
      <c r="O88" t="s">
        <v>250</v>
      </c>
      <c r="P88">
        <v>3.13</v>
      </c>
      <c r="Q88" t="s">
        <v>2855</v>
      </c>
      <c r="R88">
        <v>27994697</v>
      </c>
      <c r="S88" s="5">
        <v>47.64</v>
      </c>
      <c r="T88" t="s">
        <v>298</v>
      </c>
      <c r="U88">
        <v>260603070</v>
      </c>
      <c r="V88">
        <v>260603070</v>
      </c>
      <c r="W88">
        <v>1.8</v>
      </c>
      <c r="X88">
        <v>0.09</v>
      </c>
      <c r="Y88">
        <v>8.15</v>
      </c>
      <c r="Z88" t="s">
        <v>1683</v>
      </c>
      <c r="AA88" t="s">
        <v>3110</v>
      </c>
      <c r="AB88" t="s">
        <v>204</v>
      </c>
      <c r="AC88" t="s">
        <v>3111</v>
      </c>
      <c r="AD88" t="s">
        <v>63</v>
      </c>
      <c r="AE88">
        <v>-8930797</v>
      </c>
      <c r="AF88" t="s">
        <v>3112</v>
      </c>
      <c r="AG88" t="s">
        <v>3113</v>
      </c>
      <c r="AH88" t="s">
        <v>3114</v>
      </c>
      <c r="AI88" t="s">
        <v>1831</v>
      </c>
      <c r="AJ88" t="s">
        <v>3115</v>
      </c>
      <c r="AK88" t="s">
        <v>3116</v>
      </c>
      <c r="AL88" t="s">
        <v>3117</v>
      </c>
      <c r="AM88" t="s">
        <v>63</v>
      </c>
      <c r="AN88" t="s">
        <v>469</v>
      </c>
      <c r="AO88" t="s">
        <v>63</v>
      </c>
      <c r="AP88" t="s">
        <v>63</v>
      </c>
      <c r="AQ88" t="s">
        <v>883</v>
      </c>
      <c r="AR88" t="s">
        <v>63</v>
      </c>
      <c r="AS88" t="s">
        <v>3118</v>
      </c>
      <c r="AT88" t="s">
        <v>63</v>
      </c>
      <c r="AU88" t="s">
        <v>3119</v>
      </c>
      <c r="AV88" t="s">
        <v>645</v>
      </c>
      <c r="AW88" t="s">
        <v>3120</v>
      </c>
      <c r="AX88" t="s">
        <v>1456</v>
      </c>
      <c r="AY88" t="s">
        <v>1232</v>
      </c>
      <c r="AZ88" t="s">
        <v>954</v>
      </c>
      <c r="BA88" t="s">
        <v>612</v>
      </c>
      <c r="BB88" t="s">
        <v>802</v>
      </c>
      <c r="BC88" t="s">
        <v>457</v>
      </c>
      <c r="BD88" t="s">
        <v>445</v>
      </c>
      <c r="BE88" t="s">
        <v>380</v>
      </c>
      <c r="BF88" t="s">
        <v>252</v>
      </c>
      <c r="BG88" t="s">
        <v>285</v>
      </c>
      <c r="BH88" t="s">
        <v>2855</v>
      </c>
      <c r="BI88" t="s">
        <v>478</v>
      </c>
      <c r="BJ88" t="s">
        <v>1456</v>
      </c>
      <c r="BK88" t="s">
        <v>298</v>
      </c>
      <c r="BL88" t="s">
        <v>4160</v>
      </c>
      <c r="BM88" t="s">
        <v>457</v>
      </c>
      <c r="BN88">
        <v>-4.46</v>
      </c>
      <c r="BO88">
        <v>10.06</v>
      </c>
      <c r="BP88">
        <v>15.3</v>
      </c>
      <c r="BQ88">
        <v>0.56999999999999995</v>
      </c>
      <c r="BR88">
        <v>11.78</v>
      </c>
      <c r="BS88">
        <v>18.690000000000001</v>
      </c>
      <c r="BT88" t="s">
        <v>1423</v>
      </c>
      <c r="BU88" t="s">
        <v>1830</v>
      </c>
      <c r="BV88">
        <v>93.94</v>
      </c>
      <c r="BW88">
        <v>93.23</v>
      </c>
      <c r="BX88">
        <v>95.47</v>
      </c>
      <c r="BY88">
        <v>7.47</v>
      </c>
      <c r="BZ88">
        <v>9.57</v>
      </c>
      <c r="CA88">
        <v>15.41</v>
      </c>
      <c r="CB88">
        <v>3.85</v>
      </c>
      <c r="CC88">
        <v>-13.13</v>
      </c>
      <c r="CD88" t="s">
        <v>4161</v>
      </c>
      <c r="CE88" t="s">
        <v>4162</v>
      </c>
      <c r="CF88" s="9">
        <v>3.003003003003003E-2</v>
      </c>
      <c r="CG88" s="10">
        <v>47.644130321459599</v>
      </c>
      <c r="CH88" s="9">
        <v>2.6597971096634865E-2</v>
      </c>
      <c r="CI88" s="9">
        <v>0.16375435888767242</v>
      </c>
      <c r="CJ88" s="9">
        <v>0.35155200958251953</v>
      </c>
      <c r="CK88" s="9">
        <v>0.15241058170795441</v>
      </c>
      <c r="CL88" s="9">
        <v>0.28087648749351501</v>
      </c>
      <c r="CM88" s="10">
        <v>-0.19730941951274872</v>
      </c>
      <c r="CN88" s="10">
        <v>-0.2783171534538269</v>
      </c>
      <c r="CO88" s="10">
        <v>0.34347826242446899</v>
      </c>
      <c r="CP88" s="10">
        <v>0.6428571343421936</v>
      </c>
      <c r="CQ88" s="10">
        <v>0.22807016968727112</v>
      </c>
      <c r="CR88">
        <v>38.861479330543936</v>
      </c>
      <c r="CS88">
        <v>1.99250521390603</v>
      </c>
      <c r="CT88">
        <v>0.50505050505050508</v>
      </c>
      <c r="CU88" s="9">
        <v>0.19503828175365925</v>
      </c>
      <c r="CV88" s="10">
        <v>0.14775579869747163</v>
      </c>
      <c r="CW88">
        <v>0.06</v>
      </c>
      <c r="CX88">
        <v>37.268463094924854</v>
      </c>
      <c r="CY88">
        <v>201803634.3716085</v>
      </c>
      <c r="CZ88">
        <v>0.19503828175365925</v>
      </c>
      <c r="DA88">
        <v>11.154663978647285</v>
      </c>
      <c r="DB88">
        <v>674239162.59573901</v>
      </c>
      <c r="DC88">
        <v>0.18528636766597628</v>
      </c>
      <c r="DD88">
        <v>4.8611026682465601</v>
      </c>
      <c r="DE88">
        <v>1547161583.1378553</v>
      </c>
      <c r="DF88">
        <v>0.17163368794322015</v>
      </c>
      <c r="DG88">
        <v>2.5285940581927866</v>
      </c>
      <c r="DH88">
        <v>2974345081.4620976</v>
      </c>
      <c r="DI88">
        <v>0.15603062540292742</v>
      </c>
      <c r="DJ88">
        <v>0.93321328383700075</v>
      </c>
      <c r="DK88">
        <v>8059155854.5727224</v>
      </c>
      <c r="DL88">
        <v>0.13652679722756147</v>
      </c>
      <c r="DM88">
        <v>179000000</v>
      </c>
      <c r="DN88">
        <v>0.19503828175365925</v>
      </c>
      <c r="DO88">
        <v>7520911300</v>
      </c>
      <c r="DP88">
        <v>1469308800</v>
      </c>
      <c r="DQ88">
        <v>3875</v>
      </c>
      <c r="DR88">
        <v>-0.16500825172362923</v>
      </c>
      <c r="DS88">
        <v>47.496374522762125</v>
      </c>
      <c r="DT88" s="11">
        <v>5.9999999999999908E-2</v>
      </c>
      <c r="DU88">
        <v>0.15</v>
      </c>
      <c r="DV88">
        <v>0.20999999999999991</v>
      </c>
      <c r="DW88">
        <v>6.2267373380447584</v>
      </c>
      <c r="DX88">
        <v>0.54530784150733924</v>
      </c>
      <c r="DY88">
        <v>6.0329467131804044</v>
      </c>
      <c r="DZ88">
        <v>1335</v>
      </c>
      <c r="EA88">
        <v>6.0243359336001694</v>
      </c>
      <c r="EB88">
        <v>6</v>
      </c>
      <c r="EC88">
        <v>2.5153963074955335E-2</v>
      </c>
      <c r="ED88">
        <v>0.17310809116715317</v>
      </c>
      <c r="EE88" s="12">
        <v>-1.05661</v>
      </c>
      <c r="EF88">
        <v>-1.00301</v>
      </c>
      <c r="EG88">
        <v>40.145307841507339</v>
      </c>
      <c r="EH88" t="s">
        <v>1285</v>
      </c>
      <c r="EI88">
        <v>0</v>
      </c>
      <c r="EJ88">
        <v>1</v>
      </c>
      <c r="EK88" s="14">
        <v>45504</v>
      </c>
      <c r="EL88" s="15">
        <v>-2.56</v>
      </c>
      <c r="EM88" s="15">
        <v>0.52</v>
      </c>
      <c r="EN88" s="15">
        <v>-0.03</v>
      </c>
      <c r="EO88" s="15">
        <v>-2.2999999999999998</v>
      </c>
      <c r="EP88" s="15">
        <v>5.36</v>
      </c>
    </row>
    <row r="89" spans="1:146" ht="96" hidden="1" x14ac:dyDescent="0.25">
      <c r="A89" s="7"/>
      <c r="B89" s="7"/>
      <c r="C89" s="7" t="str">
        <f>""&amp;CHAR(10)&amp;Basic_Fundamental_Information_Constructure(F89)&amp;CHAR(10)&amp;Basic_Fundamental_Information_Concatenate("")</f>
        <v xml:space="preserve">
市值31.025015亿, 利润-8334.30万; PE; 平均PE140.05; 平均PEG14.41, PB2.03; ROIC3.26%; ROE1.6733%; 股利率.8688%; 毛利33.41%; 净利.49%; 上一年度营收增-6.94%, 利润增-327.5%; 当季营收增6.62%, 利润增146.26%; 过往5年营收增9.72%, 利润增11.7%
Income profile:
</v>
      </c>
      <c r="D89" t="s">
        <v>79</v>
      </c>
      <c r="E89" t="s">
        <v>9</v>
      </c>
      <c r="F89">
        <v>11.51</v>
      </c>
      <c r="G89">
        <v>3.41</v>
      </c>
      <c r="H89" t="s">
        <v>4163</v>
      </c>
      <c r="I89">
        <v>3102501500</v>
      </c>
      <c r="K89">
        <v>2.0299999999999998</v>
      </c>
      <c r="L89" t="s">
        <v>1277</v>
      </c>
      <c r="M89" t="s">
        <v>401</v>
      </c>
      <c r="N89" t="s">
        <v>3121</v>
      </c>
      <c r="O89" t="s">
        <v>3122</v>
      </c>
      <c r="P89">
        <v>6.62</v>
      </c>
      <c r="Q89" t="s">
        <v>494</v>
      </c>
      <c r="R89">
        <v>6500000</v>
      </c>
      <c r="S89" s="5">
        <v>1.2430000000000001</v>
      </c>
      <c r="T89" t="s">
        <v>3136</v>
      </c>
      <c r="U89">
        <v>269548350</v>
      </c>
      <c r="V89">
        <v>269548350</v>
      </c>
      <c r="W89">
        <v>1.08</v>
      </c>
      <c r="X89">
        <v>0.04</v>
      </c>
      <c r="Y89">
        <v>5.0999999999999996</v>
      </c>
      <c r="Z89" t="s">
        <v>3123</v>
      </c>
      <c r="AA89" t="s">
        <v>3124</v>
      </c>
      <c r="AB89" t="s">
        <v>3125</v>
      </c>
      <c r="AC89" t="s">
        <v>3126</v>
      </c>
      <c r="AD89" t="s">
        <v>63</v>
      </c>
      <c r="AE89">
        <v>-711467</v>
      </c>
      <c r="AF89" t="s">
        <v>3127</v>
      </c>
      <c r="AG89" t="s">
        <v>63</v>
      </c>
      <c r="AH89" t="s">
        <v>3128</v>
      </c>
      <c r="AI89" t="s">
        <v>220</v>
      </c>
      <c r="AJ89" t="s">
        <v>3129</v>
      </c>
      <c r="AK89" t="s">
        <v>3130</v>
      </c>
      <c r="AL89" t="s">
        <v>3131</v>
      </c>
      <c r="AM89" t="s">
        <v>63</v>
      </c>
      <c r="AN89" t="s">
        <v>1111</v>
      </c>
      <c r="AO89" t="s">
        <v>63</v>
      </c>
      <c r="AP89" t="s">
        <v>63</v>
      </c>
      <c r="AQ89" t="s">
        <v>3132</v>
      </c>
      <c r="AR89" t="s">
        <v>63</v>
      </c>
      <c r="AS89" t="s">
        <v>381</v>
      </c>
      <c r="AT89" t="s">
        <v>63</v>
      </c>
      <c r="AU89" t="s">
        <v>3133</v>
      </c>
      <c r="AV89" t="s">
        <v>3134</v>
      </c>
      <c r="AW89" t="s">
        <v>3135</v>
      </c>
      <c r="AX89" t="s">
        <v>413</v>
      </c>
      <c r="AY89" t="s">
        <v>803</v>
      </c>
      <c r="AZ89" t="s">
        <v>362</v>
      </c>
      <c r="BA89" t="s">
        <v>582</v>
      </c>
      <c r="BB89" t="s">
        <v>215</v>
      </c>
      <c r="BC89" t="s">
        <v>1540</v>
      </c>
      <c r="BD89" t="s">
        <v>1234</v>
      </c>
      <c r="BE89" t="s">
        <v>956</v>
      </c>
      <c r="BF89" t="s">
        <v>615</v>
      </c>
      <c r="BG89" t="s">
        <v>957</v>
      </c>
      <c r="BH89" t="s">
        <v>494</v>
      </c>
      <c r="BI89" t="s">
        <v>4164</v>
      </c>
      <c r="BJ89" t="s">
        <v>413</v>
      </c>
      <c r="BK89" t="s">
        <v>3136</v>
      </c>
      <c r="BL89" t="s">
        <v>4165</v>
      </c>
      <c r="BM89" t="s">
        <v>1540</v>
      </c>
      <c r="BN89" t="s">
        <v>63</v>
      </c>
      <c r="BO89">
        <v>1.73</v>
      </c>
      <c r="BP89">
        <v>4.79</v>
      </c>
      <c r="BQ89">
        <v>-3.04</v>
      </c>
      <c r="BR89">
        <v>2.15</v>
      </c>
      <c r="BS89">
        <v>5.91</v>
      </c>
      <c r="BT89" t="s">
        <v>1410</v>
      </c>
      <c r="BU89" t="s">
        <v>1848</v>
      </c>
      <c r="BV89">
        <v>17.87</v>
      </c>
      <c r="BW89">
        <v>35.22</v>
      </c>
      <c r="BX89">
        <v>47.14</v>
      </c>
      <c r="BY89">
        <v>-28.2</v>
      </c>
      <c r="BZ89">
        <v>11.57</v>
      </c>
      <c r="CA89">
        <v>18.100000000000001</v>
      </c>
      <c r="CB89">
        <v>7.47</v>
      </c>
      <c r="CC89">
        <v>1.86</v>
      </c>
      <c r="CD89" t="s">
        <v>4166</v>
      </c>
      <c r="CE89" t="s">
        <v>365</v>
      </c>
      <c r="CF89" s="9">
        <v>6.6159428474165255E-2</v>
      </c>
      <c r="CG89" s="10">
        <v>1.4625577307629356</v>
      </c>
      <c r="CH89" s="9">
        <v>-6.940063089132309E-2</v>
      </c>
      <c r="CI89" s="9">
        <v>-0.12430939078330994</v>
      </c>
      <c r="CJ89" s="9">
        <v>0.1036585345864296</v>
      </c>
      <c r="CK89" s="9">
        <v>0.10067114233970642</v>
      </c>
      <c r="CL89" s="9">
        <v>0.47524753212928772</v>
      </c>
      <c r="CM89" s="10">
        <v>-3.274968147277832</v>
      </c>
      <c r="CN89" s="10">
        <v>-0.44118320941925049</v>
      </c>
      <c r="CO89" s="10">
        <v>-8.5357889533042908E-2</v>
      </c>
      <c r="CP89" s="10">
        <v>1.0837956666946411</v>
      </c>
      <c r="CQ89" s="10">
        <v>3.3027732372283936</v>
      </c>
      <c r="CR89">
        <v>140.05050543048111</v>
      </c>
      <c r="CS89">
        <v>14.412426797687692</v>
      </c>
      <c r="CT89">
        <v>0.86880973066898348</v>
      </c>
      <c r="CU89" s="9">
        <v>9.7173437476158142E-2</v>
      </c>
      <c r="CV89" s="10">
        <v>0.11701193153858185</v>
      </c>
      <c r="CW89">
        <v>0.06</v>
      </c>
      <c r="CX89" t="e">
        <v>#VALUE!</v>
      </c>
      <c r="CY89" t="s">
        <v>1283</v>
      </c>
      <c r="CZ89">
        <v>9.7173437476158142E-2</v>
      </c>
      <c r="DA89" t="e">
        <v>#VALUE!</v>
      </c>
      <c r="DB89" t="s">
        <v>1283</v>
      </c>
      <c r="DC89">
        <v>9.2314765602350232E-2</v>
      </c>
      <c r="DD89" t="e">
        <v>#VALUE!</v>
      </c>
      <c r="DE89" t="s">
        <v>1283</v>
      </c>
      <c r="DF89">
        <v>8.5512624979019167E-2</v>
      </c>
      <c r="DG89" t="e">
        <v>#VALUE!</v>
      </c>
      <c r="DH89" t="s">
        <v>1283</v>
      </c>
      <c r="DI89">
        <v>7.7738749980926516E-2</v>
      </c>
      <c r="DJ89" t="e">
        <v>#VALUE!</v>
      </c>
      <c r="DK89" t="s">
        <v>1283</v>
      </c>
      <c r="DL89">
        <v>6.8021406233310697E-2</v>
      </c>
      <c r="DM89">
        <v>-83343000</v>
      </c>
      <c r="DN89">
        <v>9.7173437476158142E-2</v>
      </c>
      <c r="DO89">
        <v>1718501500</v>
      </c>
      <c r="DP89">
        <v>932251100</v>
      </c>
      <c r="DQ89">
        <v>3990</v>
      </c>
      <c r="DR89">
        <v>-3.1014009001992887E-2</v>
      </c>
      <c r="DS89">
        <v>1.3455457992243538</v>
      </c>
      <c r="DT89" s="11">
        <v>-0.34</v>
      </c>
      <c r="DU89">
        <v>-0.23333333333333342</v>
      </c>
      <c r="DV89">
        <v>-0.57333333333333347</v>
      </c>
      <c r="DW89">
        <v>5.2489959839357434</v>
      </c>
      <c r="DX89">
        <v>0.60442595419847489</v>
      </c>
      <c r="DY89">
        <v>5.0359614825715076</v>
      </c>
      <c r="DZ89">
        <v>3059</v>
      </c>
      <c r="EA89">
        <v>5.0144254263486721</v>
      </c>
      <c r="EB89">
        <v>5</v>
      </c>
      <c r="EC89">
        <v>7.0190746854877792E-2</v>
      </c>
      <c r="ED89">
        <v>0.48599815209404917</v>
      </c>
      <c r="EE89" s="12">
        <v>1.06741</v>
      </c>
      <c r="EF89">
        <v>1.03331</v>
      </c>
      <c r="EG89">
        <v>46.144425954198475</v>
      </c>
      <c r="EH89" t="s">
        <v>1287</v>
      </c>
      <c r="EI89">
        <v>1</v>
      </c>
      <c r="EJ89">
        <v>0</v>
      </c>
      <c r="EK89" s="14">
        <v>45504</v>
      </c>
      <c r="EL89" s="15">
        <v>-1.65</v>
      </c>
      <c r="EM89" s="15">
        <v>0.65</v>
      </c>
      <c r="EN89" s="15">
        <v>1.95</v>
      </c>
      <c r="EO89" s="15">
        <v>0.27</v>
      </c>
      <c r="EP89" s="15">
        <v>3.41</v>
      </c>
    </row>
    <row r="90" spans="1:146" ht="96" hidden="1" x14ac:dyDescent="0.25">
      <c r="A90" s="7"/>
      <c r="B90" s="7"/>
      <c r="C90" s="7" t="str">
        <f>""&amp;CHAR(10)&amp;Basic_Fundamental_Information_Constructure(F90)&amp;CHAR(10)&amp;Basic_Fundamental_Information_Concatenate("")</f>
        <v xml:space="preserve">
市值24.801352亿, 利润3696.57万; PE91.46; 平均PE48.49; 平均PEG3.45, PB1.85; ROIC5.71%; ROE.83%; 股利率.5644%; 毛利46.3533%; 净利6.0633%; 上一年度营收增-15%, 利润增524.28%; 当季营收增-29.24%, 利润增-14.04%; 过往5年营收增14.07%, 利润增86.41%
Income profile:
</v>
      </c>
      <c r="D90" t="s">
        <v>94</v>
      </c>
      <c r="E90" t="s">
        <v>13</v>
      </c>
      <c r="F90">
        <v>10.63</v>
      </c>
      <c r="G90">
        <v>3.1</v>
      </c>
      <c r="H90" t="s">
        <v>4167</v>
      </c>
      <c r="I90">
        <v>2480135200</v>
      </c>
      <c r="J90">
        <v>91.46</v>
      </c>
      <c r="K90">
        <v>1.85</v>
      </c>
      <c r="L90" t="s">
        <v>1277</v>
      </c>
      <c r="M90" t="s">
        <v>374</v>
      </c>
      <c r="N90" t="s">
        <v>1288</v>
      </c>
      <c r="O90" t="s">
        <v>3137</v>
      </c>
      <c r="P90">
        <v>-29.24</v>
      </c>
      <c r="Q90" t="s">
        <v>887</v>
      </c>
      <c r="R90">
        <v>-47500000</v>
      </c>
      <c r="S90" s="5">
        <v>-0.23649999999999999</v>
      </c>
      <c r="T90" t="s">
        <v>3150</v>
      </c>
      <c r="U90">
        <v>233314700</v>
      </c>
      <c r="V90">
        <v>233314700</v>
      </c>
      <c r="W90">
        <v>1.19</v>
      </c>
      <c r="X90">
        <v>0.03</v>
      </c>
      <c r="Y90">
        <v>-106.55</v>
      </c>
      <c r="Z90" t="s">
        <v>173</v>
      </c>
      <c r="AA90" t="s">
        <v>3138</v>
      </c>
      <c r="AB90" t="s">
        <v>3139</v>
      </c>
      <c r="AC90" t="s">
        <v>3140</v>
      </c>
      <c r="AD90" t="s">
        <v>63</v>
      </c>
      <c r="AE90">
        <v>-115994</v>
      </c>
      <c r="AF90" t="s">
        <v>3141</v>
      </c>
      <c r="AG90">
        <v>4861.29</v>
      </c>
      <c r="AH90" t="s">
        <v>3142</v>
      </c>
      <c r="AI90" t="s">
        <v>367</v>
      </c>
      <c r="AJ90" t="s">
        <v>3143</v>
      </c>
      <c r="AK90" t="s">
        <v>3144</v>
      </c>
      <c r="AL90" t="s">
        <v>3145</v>
      </c>
      <c r="AM90" t="s">
        <v>63</v>
      </c>
      <c r="AN90">
        <v>0</v>
      </c>
      <c r="AO90" t="s">
        <v>1311</v>
      </c>
      <c r="AP90" t="s">
        <v>63</v>
      </c>
      <c r="AQ90" t="s">
        <v>3146</v>
      </c>
      <c r="AR90" t="s">
        <v>63</v>
      </c>
      <c r="AS90" t="s">
        <v>524</v>
      </c>
      <c r="AT90" t="s">
        <v>63</v>
      </c>
      <c r="AU90" t="s">
        <v>3147</v>
      </c>
      <c r="AV90" t="s">
        <v>3148</v>
      </c>
      <c r="AW90" t="s">
        <v>3149</v>
      </c>
      <c r="AX90" t="s">
        <v>246</v>
      </c>
      <c r="AY90" t="s">
        <v>807</v>
      </c>
      <c r="AZ90" t="s">
        <v>787</v>
      </c>
      <c r="BA90" t="s">
        <v>485</v>
      </c>
      <c r="BB90" t="s">
        <v>445</v>
      </c>
      <c r="BC90" t="s">
        <v>1541</v>
      </c>
      <c r="BD90" t="s">
        <v>1235</v>
      </c>
      <c r="BE90" t="s">
        <v>958</v>
      </c>
      <c r="BF90" t="s">
        <v>616</v>
      </c>
      <c r="BG90" t="s">
        <v>959</v>
      </c>
      <c r="BH90" t="s">
        <v>887</v>
      </c>
      <c r="BI90" t="s">
        <v>4168</v>
      </c>
      <c r="BJ90" t="s">
        <v>246</v>
      </c>
      <c r="BK90" t="s">
        <v>3150</v>
      </c>
      <c r="BL90" t="s">
        <v>4169</v>
      </c>
      <c r="BM90" t="s">
        <v>1541</v>
      </c>
      <c r="BN90" t="s">
        <v>63</v>
      </c>
      <c r="BO90" t="s">
        <v>63</v>
      </c>
      <c r="BP90">
        <v>5.71</v>
      </c>
      <c r="BQ90">
        <v>-2.75</v>
      </c>
      <c r="BR90">
        <v>-0.63</v>
      </c>
      <c r="BS90">
        <v>5.87</v>
      </c>
      <c r="BT90" t="s">
        <v>1418</v>
      </c>
      <c r="BU90" t="s">
        <v>1848</v>
      </c>
      <c r="BV90">
        <v>47.48</v>
      </c>
      <c r="BW90">
        <v>39.86</v>
      </c>
      <c r="BX90">
        <v>51.72</v>
      </c>
      <c r="BY90">
        <v>6.52</v>
      </c>
      <c r="BZ90">
        <v>-1.39</v>
      </c>
      <c r="CA90">
        <v>13.06</v>
      </c>
      <c r="CB90">
        <v>-0.56000000000000005</v>
      </c>
      <c r="CC90">
        <v>-5.85</v>
      </c>
      <c r="CD90" t="s">
        <v>4170</v>
      </c>
      <c r="CE90" t="s">
        <v>391</v>
      </c>
      <c r="CF90" s="9">
        <v>-0.29236147251462502</v>
      </c>
      <c r="CG90" s="10">
        <v>-0.14040689718091415</v>
      </c>
      <c r="CH90" s="9">
        <v>-0.15000000596046448</v>
      </c>
      <c r="CI90" s="9">
        <v>8.0196402966976166E-2</v>
      </c>
      <c r="CJ90" s="9">
        <v>0.37303370237350464</v>
      </c>
      <c r="CK90" s="9">
        <v>0.19946092367172241</v>
      </c>
      <c r="CL90" s="9">
        <v>0.20064724981784821</v>
      </c>
      <c r="CM90" s="10">
        <v>5.2428350448608398</v>
      </c>
      <c r="CN90" s="10">
        <v>-1.1093047857284546</v>
      </c>
      <c r="CO90" s="10">
        <v>0.39648032188415527</v>
      </c>
      <c r="CP90" s="10">
        <v>-0.18547503650188446</v>
      </c>
      <c r="CQ90" s="10">
        <v>-2.4020979180932045E-2</v>
      </c>
      <c r="CR90">
        <v>48.485185129674505</v>
      </c>
      <c r="CS90">
        <v>3.4467899018104928</v>
      </c>
      <c r="CT90">
        <v>0.56444026340545617</v>
      </c>
      <c r="CU90" s="9">
        <v>0.14066765457391739</v>
      </c>
      <c r="CV90" s="10">
        <v>0.8641029130667448</v>
      </c>
      <c r="CW90">
        <v>0.06</v>
      </c>
      <c r="CX90">
        <v>35.147705097248334</v>
      </c>
      <c r="CY90">
        <v>39778847.470455706</v>
      </c>
      <c r="CZ90">
        <v>0.14066765457391739</v>
      </c>
      <c r="DA90">
        <v>11.006318361379364</v>
      </c>
      <c r="DB90">
        <v>127030234.27942884</v>
      </c>
      <c r="DC90">
        <v>0.1336342718452215</v>
      </c>
      <c r="DD90">
        <v>5.1122764817070365</v>
      </c>
      <c r="DE90">
        <v>273485834.54022223</v>
      </c>
      <c r="DF90">
        <v>0.1237875360250473</v>
      </c>
      <c r="DG90">
        <v>2.8709502894742105</v>
      </c>
      <c r="DH90">
        <v>486993872.76958257</v>
      </c>
      <c r="DI90">
        <v>0.11253412365913391</v>
      </c>
      <c r="DJ90">
        <v>1.2735929234822005</v>
      </c>
      <c r="DK90">
        <v>1097788134.8282633</v>
      </c>
      <c r="DL90">
        <v>9.8467358201742169E-2</v>
      </c>
      <c r="DM90">
        <v>36965700</v>
      </c>
      <c r="DN90">
        <v>0.14066765457391739</v>
      </c>
      <c r="DO90">
        <v>1398135200</v>
      </c>
      <c r="DP90">
        <v>967727150</v>
      </c>
      <c r="DQ90">
        <v>4026</v>
      </c>
      <c r="DR90">
        <v>-0.43302912708854241</v>
      </c>
      <c r="DS90">
        <v>-1.0045098102476588</v>
      </c>
      <c r="DT90" s="11">
        <v>-0.25666666666666677</v>
      </c>
      <c r="DU90">
        <v>-0.85833333333333339</v>
      </c>
      <c r="DV90">
        <v>-1.1150000000000002</v>
      </c>
      <c r="DW90">
        <v>-1.0585</v>
      </c>
      <c r="DX90">
        <v>0.54031917808219121</v>
      </c>
      <c r="DY90">
        <v>-1.0163986719178082</v>
      </c>
      <c r="DZ90">
        <v>3718</v>
      </c>
      <c r="EA90">
        <v>-1.004462442044979</v>
      </c>
      <c r="EB90">
        <v>1</v>
      </c>
      <c r="EC90">
        <v>0.26312058348659556</v>
      </c>
      <c r="ED90">
        <v>0.93864638618998286</v>
      </c>
      <c r="EE90" s="12">
        <v>3.0249100000000002</v>
      </c>
      <c r="EF90">
        <v>3.0061</v>
      </c>
      <c r="EG90">
        <v>26.280319178082191</v>
      </c>
      <c r="EH90" t="s">
        <v>1451</v>
      </c>
      <c r="EI90">
        <v>0</v>
      </c>
      <c r="EJ90">
        <v>0</v>
      </c>
      <c r="EK90" s="14">
        <v>45504</v>
      </c>
      <c r="EL90" s="15">
        <v>-5.4</v>
      </c>
      <c r="EM90" s="15">
        <v>-3.37</v>
      </c>
      <c r="EN90" s="15">
        <v>-2.13</v>
      </c>
      <c r="EO90" s="15">
        <v>2.37</v>
      </c>
      <c r="EP90" s="15">
        <v>3.1</v>
      </c>
    </row>
    <row r="91" spans="1:146" ht="96" hidden="1" x14ac:dyDescent="0.25">
      <c r="A91" s="7"/>
      <c r="B91" s="7"/>
      <c r="C91" s="7" t="str">
        <f>""&amp;CHAR(10)&amp;Basic_Fundamental_Information_Constructure(F91)&amp;CHAR(10)&amp;Basic_Fundamental_Information_Concatenate("")</f>
        <v xml:space="preserve">
市值66.643574亿, 利润2.33亿; PE29.32; 平均PE44.83; 平均PEG2.14, PB4.41; ROIC9.7067%; ROE10.88%; 股利率3.3909%; 毛利68.65%; 净利28.5333%; 上一年度营收增19.04%, 利润增40.36%; 当季营收增5.34%, 利润增-26.78%; 过往5年营收增20.96%, 利润增15.78%
Income profile:
</v>
      </c>
      <c r="D91" t="s">
        <v>110</v>
      </c>
      <c r="E91" t="s">
        <v>33</v>
      </c>
      <c r="F91">
        <v>32.44</v>
      </c>
      <c r="G91">
        <v>4.4800000000000004</v>
      </c>
      <c r="H91" t="s">
        <v>4171</v>
      </c>
      <c r="I91">
        <v>6664357400</v>
      </c>
      <c r="J91">
        <v>29.32</v>
      </c>
      <c r="K91">
        <v>4.41</v>
      </c>
      <c r="L91" t="s">
        <v>1277</v>
      </c>
      <c r="M91" t="s">
        <v>558</v>
      </c>
      <c r="N91" t="s">
        <v>1710</v>
      </c>
      <c r="O91" t="s">
        <v>488</v>
      </c>
      <c r="P91">
        <v>5.34</v>
      </c>
      <c r="Q91" t="s">
        <v>3160</v>
      </c>
      <c r="R91">
        <v>16208370</v>
      </c>
      <c r="S91" s="5">
        <v>-0.26779999999999998</v>
      </c>
      <c r="T91" t="s">
        <v>383</v>
      </c>
      <c r="U91">
        <v>203609060</v>
      </c>
      <c r="V91">
        <v>205436420</v>
      </c>
      <c r="W91">
        <v>1.18</v>
      </c>
      <c r="X91">
        <v>7.0000000000000007E-2</v>
      </c>
      <c r="Y91">
        <v>10.28</v>
      </c>
      <c r="Z91" t="s">
        <v>259</v>
      </c>
      <c r="AA91" t="s">
        <v>3151</v>
      </c>
      <c r="AB91" t="s">
        <v>3152</v>
      </c>
      <c r="AC91" t="s">
        <v>3153</v>
      </c>
      <c r="AD91" t="s">
        <v>63</v>
      </c>
      <c r="AE91">
        <v>-4958824</v>
      </c>
      <c r="AF91" t="s">
        <v>3154</v>
      </c>
      <c r="AG91" t="s">
        <v>63</v>
      </c>
      <c r="AH91" t="s">
        <v>3155</v>
      </c>
      <c r="AI91" t="s">
        <v>1357</v>
      </c>
      <c r="AJ91" t="s">
        <v>3156</v>
      </c>
      <c r="AK91" t="s">
        <v>63</v>
      </c>
      <c r="AL91" t="s">
        <v>3157</v>
      </c>
      <c r="AM91" t="s">
        <v>63</v>
      </c>
      <c r="AN91">
        <v>0</v>
      </c>
      <c r="AO91" t="s">
        <v>63</v>
      </c>
      <c r="AP91" t="s">
        <v>63</v>
      </c>
      <c r="AQ91" t="s">
        <v>3158</v>
      </c>
      <c r="AR91" t="s">
        <v>63</v>
      </c>
      <c r="AS91" t="s">
        <v>277</v>
      </c>
      <c r="AT91" t="s">
        <v>63</v>
      </c>
      <c r="AU91" t="s">
        <v>1728</v>
      </c>
      <c r="AV91" t="s">
        <v>3159</v>
      </c>
      <c r="AW91" t="s">
        <v>63</v>
      </c>
      <c r="AX91" t="s">
        <v>1457</v>
      </c>
      <c r="AY91" t="s">
        <v>418</v>
      </c>
      <c r="AZ91" t="s">
        <v>684</v>
      </c>
      <c r="BA91" t="s">
        <v>407</v>
      </c>
      <c r="BB91" t="s">
        <v>399</v>
      </c>
      <c r="BC91" t="s">
        <v>189</v>
      </c>
      <c r="BD91" t="s">
        <v>322</v>
      </c>
      <c r="BE91" t="s">
        <v>245</v>
      </c>
      <c r="BF91" t="s">
        <v>211</v>
      </c>
      <c r="BG91" t="s">
        <v>421</v>
      </c>
      <c r="BH91" t="s">
        <v>3160</v>
      </c>
      <c r="BI91" t="s">
        <v>365</v>
      </c>
      <c r="BJ91" t="s">
        <v>1457</v>
      </c>
      <c r="BK91" t="s">
        <v>383</v>
      </c>
      <c r="BL91" t="s">
        <v>4172</v>
      </c>
      <c r="BM91" t="s">
        <v>189</v>
      </c>
      <c r="BN91">
        <v>7.85</v>
      </c>
      <c r="BO91">
        <v>11</v>
      </c>
      <c r="BP91">
        <v>10.27</v>
      </c>
      <c r="BQ91">
        <v>8.48</v>
      </c>
      <c r="BR91">
        <v>12.82</v>
      </c>
      <c r="BS91">
        <v>11.34</v>
      </c>
      <c r="BT91" t="s">
        <v>3161</v>
      </c>
      <c r="BU91" t="s">
        <v>1848</v>
      </c>
      <c r="BV91">
        <v>69.16</v>
      </c>
      <c r="BW91">
        <v>67.459999999999994</v>
      </c>
      <c r="BX91">
        <v>69.33</v>
      </c>
      <c r="BY91">
        <v>31.58</v>
      </c>
      <c r="BZ91">
        <v>26.3</v>
      </c>
      <c r="CA91">
        <v>27.72</v>
      </c>
      <c r="CB91">
        <v>7.38</v>
      </c>
      <c r="CC91">
        <v>-12.37</v>
      </c>
      <c r="CD91" t="s">
        <v>4173</v>
      </c>
      <c r="CE91" t="s">
        <v>268</v>
      </c>
      <c r="CF91" s="9">
        <v>5.3435114503816793E-2</v>
      </c>
      <c r="CG91" s="10">
        <v>-0.26780880705431681</v>
      </c>
      <c r="CH91" s="9">
        <v>0.19040000438690186</v>
      </c>
      <c r="CI91" s="9">
        <v>0.24254472553730011</v>
      </c>
      <c r="CJ91" s="9">
        <v>0.43714284896850586</v>
      </c>
      <c r="CK91" s="9">
        <v>2.9411764815449715E-2</v>
      </c>
      <c r="CL91" s="9">
        <v>0.14864864945411682</v>
      </c>
      <c r="CM91" s="10">
        <v>0.40361446142196655</v>
      </c>
      <c r="CN91" s="10">
        <v>0.21167883276939392</v>
      </c>
      <c r="CO91" s="10">
        <v>0.25688073039054871</v>
      </c>
      <c r="CP91" s="10">
        <v>-0.14173229038715363</v>
      </c>
      <c r="CQ91" s="10">
        <v>5.833333358168602E-2</v>
      </c>
      <c r="CR91">
        <v>44.82751614349776</v>
      </c>
      <c r="CS91">
        <v>2.1384153972499931</v>
      </c>
      <c r="CT91">
        <v>3.3908754623921089</v>
      </c>
      <c r="CU91" s="9">
        <v>0.20962959863245487</v>
      </c>
      <c r="CV91" s="10">
        <v>0.15775501355528831</v>
      </c>
      <c r="CW91">
        <v>0.06</v>
      </c>
      <c r="CX91">
        <v>20.769309078328455</v>
      </c>
      <c r="CY91">
        <v>265890279.69939804</v>
      </c>
      <c r="CZ91">
        <v>0.20962959863245487</v>
      </c>
      <c r="DA91">
        <v>6.1420568097365997</v>
      </c>
      <c r="DB91">
        <v>899105555.52755046</v>
      </c>
      <c r="DC91">
        <v>0.19914811870083213</v>
      </c>
      <c r="DD91">
        <v>2.6306934816404586</v>
      </c>
      <c r="DE91">
        <v>2099202145.1911402</v>
      </c>
      <c r="DF91">
        <v>0.18447404679656029</v>
      </c>
      <c r="DG91">
        <v>1.3396009267185665</v>
      </c>
      <c r="DH91">
        <v>4122389952.0041008</v>
      </c>
      <c r="DI91">
        <v>0.16770367890596391</v>
      </c>
      <c r="DJ91">
        <v>0.46912215737331148</v>
      </c>
      <c r="DK91">
        <v>11771683160.140091</v>
      </c>
      <c r="DL91">
        <v>0.1467407190427184</v>
      </c>
      <c r="DM91">
        <v>233000000</v>
      </c>
      <c r="DN91">
        <v>0.20962959863245487</v>
      </c>
      <c r="DO91">
        <v>5522357400</v>
      </c>
      <c r="DP91">
        <v>1311845800</v>
      </c>
      <c r="DQ91">
        <v>4126</v>
      </c>
      <c r="DR91">
        <v>-0.15619448412863807</v>
      </c>
      <c r="DS91">
        <v>-0.42556382060960513</v>
      </c>
      <c r="DT91" s="11">
        <v>1.0000000000000011E-2</v>
      </c>
      <c r="DU91">
        <v>0.23</v>
      </c>
      <c r="DV91">
        <v>0.24000000000000002</v>
      </c>
      <c r="DW91">
        <v>7.3736708860759492</v>
      </c>
      <c r="DX91">
        <v>0.97824999999999929</v>
      </c>
      <c r="DY91">
        <v>7.05166</v>
      </c>
      <c r="DZ91">
        <v>1267</v>
      </c>
      <c r="EA91">
        <v>7.0388461354737668</v>
      </c>
      <c r="EB91">
        <v>7</v>
      </c>
      <c r="EC91">
        <v>8.4792657504448338E-2</v>
      </c>
      <c r="ED91">
        <v>0.61332844487846894</v>
      </c>
      <c r="EE91" s="12">
        <v>-2.0329999999999999</v>
      </c>
      <c r="EF91">
        <v>-2.0777999999999999</v>
      </c>
      <c r="EG91">
        <v>84.138249999999999</v>
      </c>
      <c r="EH91" t="s">
        <v>1431</v>
      </c>
      <c r="EI91">
        <v>1</v>
      </c>
      <c r="EJ91">
        <v>1</v>
      </c>
      <c r="EK91" s="14">
        <v>45504</v>
      </c>
      <c r="EL91" s="15">
        <v>0.1</v>
      </c>
      <c r="EM91" s="15">
        <v>0.46</v>
      </c>
      <c r="EN91" s="15">
        <v>0.86</v>
      </c>
      <c r="EO91" s="15">
        <v>0.52</v>
      </c>
      <c r="EP91" s="15">
        <v>4.4800000000000004</v>
      </c>
    </row>
    <row r="92" spans="1:146" ht="96" hidden="1" x14ac:dyDescent="0.25">
      <c r="A92" s="7"/>
      <c r="B92" s="7"/>
      <c r="C92" s="7" t="str">
        <f>""&amp;CHAR(10)&amp;Basic_Fundamental_Information_Constructure(F92)&amp;CHAR(10)&amp;Basic_Fundamental_Information_Concatenate("")</f>
        <v xml:space="preserve">
市值45.179528亿, 利润-2.32亿; PE; 平均PE1747.3; 平均PEG1532.39, PB2.3; ROIC3.39%; ROE-2.2333%; 股利率0%; 毛利39.1667%; 净利-23.2%; 上一年度营收增-28.24%, 利润增-555.17%; 当季营收增8.44%, 利润增66.23%; 过往5年营收增1.14%, 利润增-155%
Income profile:
</v>
      </c>
      <c r="D92" t="s">
        <v>159</v>
      </c>
      <c r="E92" t="s">
        <v>160</v>
      </c>
      <c r="F92">
        <v>6.4</v>
      </c>
      <c r="G92">
        <v>3.06</v>
      </c>
      <c r="H92" t="s">
        <v>4174</v>
      </c>
      <c r="I92">
        <v>4517952800</v>
      </c>
      <c r="K92">
        <v>2.2999999999999998</v>
      </c>
      <c r="L92" t="s">
        <v>1277</v>
      </c>
      <c r="M92" t="s">
        <v>689</v>
      </c>
      <c r="N92" t="s">
        <v>3162</v>
      </c>
      <c r="O92" t="s">
        <v>453</v>
      </c>
      <c r="P92">
        <v>8.85</v>
      </c>
      <c r="Q92" t="s">
        <v>1084</v>
      </c>
      <c r="R92">
        <v>5070630</v>
      </c>
      <c r="S92" s="5">
        <v>0.6623</v>
      </c>
      <c r="T92" t="s">
        <v>3175</v>
      </c>
      <c r="U92">
        <v>705930130</v>
      </c>
      <c r="V92">
        <v>705930130</v>
      </c>
      <c r="W92">
        <v>1.23</v>
      </c>
      <c r="X92">
        <v>7.0000000000000007E-2</v>
      </c>
      <c r="Y92">
        <v>0.41</v>
      </c>
      <c r="Z92" t="s">
        <v>256</v>
      </c>
      <c r="AA92" t="s">
        <v>381</v>
      </c>
      <c r="AB92" t="s">
        <v>3163</v>
      </c>
      <c r="AC92" t="s">
        <v>3164</v>
      </c>
      <c r="AD92" t="s">
        <v>63</v>
      </c>
      <c r="AE92">
        <v>244525</v>
      </c>
      <c r="AF92" t="s">
        <v>3165</v>
      </c>
      <c r="AG92" t="s">
        <v>3166</v>
      </c>
      <c r="AH92" t="s">
        <v>3167</v>
      </c>
      <c r="AI92" t="s">
        <v>1361</v>
      </c>
      <c r="AJ92" t="s">
        <v>3168</v>
      </c>
      <c r="AK92" t="s">
        <v>3169</v>
      </c>
      <c r="AL92" t="s">
        <v>3170</v>
      </c>
      <c r="AM92" t="s">
        <v>63</v>
      </c>
      <c r="AN92" t="s">
        <v>3171</v>
      </c>
      <c r="AO92" t="s">
        <v>63</v>
      </c>
      <c r="AP92" t="s">
        <v>3172</v>
      </c>
      <c r="AQ92" t="s">
        <v>229</v>
      </c>
      <c r="AR92" t="s">
        <v>63</v>
      </c>
      <c r="AS92" t="s">
        <v>1746</v>
      </c>
      <c r="AT92" t="s">
        <v>63</v>
      </c>
      <c r="AU92" t="s">
        <v>3173</v>
      </c>
      <c r="AV92" t="s">
        <v>1730</v>
      </c>
      <c r="AW92" t="s">
        <v>3174</v>
      </c>
      <c r="AX92" t="s">
        <v>323</v>
      </c>
      <c r="AY92" t="s">
        <v>890</v>
      </c>
      <c r="AZ92" t="s">
        <v>797</v>
      </c>
      <c r="BA92" t="s">
        <v>620</v>
      </c>
      <c r="BB92" t="s">
        <v>317</v>
      </c>
      <c r="BC92" t="s">
        <v>1542</v>
      </c>
      <c r="BD92" t="s">
        <v>1236</v>
      </c>
      <c r="BE92" t="s">
        <v>960</v>
      </c>
      <c r="BF92" t="s">
        <v>191</v>
      </c>
      <c r="BG92" t="s">
        <v>437</v>
      </c>
      <c r="BH92" t="s">
        <v>1084</v>
      </c>
      <c r="BI92" t="s">
        <v>284</v>
      </c>
      <c r="BJ92" t="s">
        <v>323</v>
      </c>
      <c r="BK92" t="s">
        <v>3175</v>
      </c>
      <c r="BL92" t="s">
        <v>4175</v>
      </c>
      <c r="BM92" t="s">
        <v>1542</v>
      </c>
      <c r="BN92" t="s">
        <v>63</v>
      </c>
      <c r="BO92">
        <v>3.39</v>
      </c>
      <c r="BP92" t="s">
        <v>63</v>
      </c>
      <c r="BQ92">
        <v>0.36</v>
      </c>
      <c r="BR92">
        <v>3.15</v>
      </c>
      <c r="BS92">
        <v>-10.210000000000001</v>
      </c>
      <c r="BT92" t="s">
        <v>1409</v>
      </c>
      <c r="BU92" t="s">
        <v>1848</v>
      </c>
      <c r="BV92">
        <v>32.840000000000003</v>
      </c>
      <c r="BW92">
        <v>45.13</v>
      </c>
      <c r="BX92">
        <v>39.53</v>
      </c>
      <c r="BY92">
        <v>-50.89</v>
      </c>
      <c r="BZ92">
        <v>5.79</v>
      </c>
      <c r="CA92">
        <v>-24.5</v>
      </c>
      <c r="CB92">
        <v>9.2200000000000006</v>
      </c>
      <c r="CC92">
        <v>-8.44</v>
      </c>
      <c r="CD92" t="s">
        <v>4176</v>
      </c>
      <c r="CE92" t="s">
        <v>4177</v>
      </c>
      <c r="CF92" s="9">
        <v>8.4415584415584416E-2</v>
      </c>
      <c r="CG92" s="10">
        <v>0.66228363493312348</v>
      </c>
      <c r="CH92" s="9">
        <v>-0.2824324369430542</v>
      </c>
      <c r="CI92" s="9">
        <v>3.4965034574270248E-2</v>
      </c>
      <c r="CJ92" s="9">
        <v>0.12421383708715439</v>
      </c>
      <c r="CK92" s="9">
        <v>-8.8825218379497528E-2</v>
      </c>
      <c r="CL92" s="9">
        <v>0.2690909206867218</v>
      </c>
      <c r="CM92" s="10">
        <v>-5.5517239570617676</v>
      </c>
      <c r="CN92" s="10">
        <v>1.2980684041976929</v>
      </c>
      <c r="CO92" s="10">
        <v>-3.1497428417205811</v>
      </c>
      <c r="CP92" s="10">
        <v>-0.48010197281837463</v>
      </c>
      <c r="CQ92" s="10">
        <v>0.13333334028720856</v>
      </c>
      <c r="CR92">
        <v>1747.2954795959772</v>
      </c>
      <c r="CS92">
        <v>1532.389040961187</v>
      </c>
      <c r="CT92">
        <v>0</v>
      </c>
      <c r="CU92" s="9">
        <v>1.1402427405118942E-2</v>
      </c>
      <c r="CV92" s="10">
        <v>-1.5500334054231644</v>
      </c>
      <c r="CW92">
        <v>0.06</v>
      </c>
      <c r="CX92" t="e">
        <v>#VALUE!</v>
      </c>
      <c r="CY92" t="s">
        <v>1283</v>
      </c>
      <c r="CZ92">
        <v>1.1402427405118942E-2</v>
      </c>
      <c r="DA92" t="e">
        <v>#VALUE!</v>
      </c>
      <c r="DB92" t="s">
        <v>1283</v>
      </c>
      <c r="DC92">
        <v>1.0832306034862994E-2</v>
      </c>
      <c r="DD92" t="e">
        <v>#VALUE!</v>
      </c>
      <c r="DE92" t="s">
        <v>1283</v>
      </c>
      <c r="DF92">
        <v>1.0034136116504668E-2</v>
      </c>
      <c r="DG92" t="e">
        <v>#VALUE!</v>
      </c>
      <c r="DH92" t="s">
        <v>1283</v>
      </c>
      <c r="DI92">
        <v>9.1219419240951543E-3</v>
      </c>
      <c r="DJ92" t="e">
        <v>#VALUE!</v>
      </c>
      <c r="DK92" t="s">
        <v>1283</v>
      </c>
      <c r="DL92">
        <v>7.9816991835832581E-3</v>
      </c>
      <c r="DM92">
        <v>-231999999.99999997</v>
      </c>
      <c r="DN92">
        <v>1.1402427405118942E-2</v>
      </c>
      <c r="DO92">
        <v>2979952800</v>
      </c>
      <c r="DP92">
        <v>1269706500</v>
      </c>
      <c r="DQ92">
        <v>4168</v>
      </c>
      <c r="DR92">
        <v>7.3013157010465471E-2</v>
      </c>
      <c r="DS92">
        <v>2.2123170403562877</v>
      </c>
      <c r="DT92" s="11">
        <v>-0.50666666666666671</v>
      </c>
      <c r="DU92">
        <v>-1.6900000000000002</v>
      </c>
      <c r="DV92">
        <v>-2.1966666666666668</v>
      </c>
      <c r="DW92">
        <v>5.9154013015184379</v>
      </c>
      <c r="DX92">
        <v>0.39828021978021994</v>
      </c>
      <c r="DY92">
        <v>5.0808118280851469</v>
      </c>
      <c r="DZ92">
        <v>4501</v>
      </c>
      <c r="EA92">
        <v>5.0096031283570248</v>
      </c>
      <c r="EB92">
        <v>5</v>
      </c>
      <c r="EC92">
        <v>0.13656025703280295</v>
      </c>
      <c r="ED92">
        <v>1.5468952996807206</v>
      </c>
      <c r="EE92" s="12">
        <v>-7.0338000000000003</v>
      </c>
      <c r="EF92">
        <v>-7.0644</v>
      </c>
      <c r="EG92">
        <v>31.08828021978022</v>
      </c>
      <c r="EH92" t="s">
        <v>2223</v>
      </c>
      <c r="EI92">
        <v>1</v>
      </c>
      <c r="EJ92">
        <v>0</v>
      </c>
      <c r="EK92" s="14">
        <v>45504</v>
      </c>
      <c r="EL92" s="15">
        <v>-3.93</v>
      </c>
      <c r="EM92" s="15">
        <v>-0.17</v>
      </c>
      <c r="EN92" s="15">
        <v>4.0999999999999996</v>
      </c>
      <c r="EO92" s="15">
        <v>2.63</v>
      </c>
      <c r="EP92" s="15">
        <v>3.06</v>
      </c>
    </row>
    <row r="93" spans="1:146" ht="96" hidden="1" x14ac:dyDescent="0.25">
      <c r="A93" s="7"/>
      <c r="B93" s="7"/>
      <c r="C93" s="7" t="str">
        <f>""&amp;CHAR(10)&amp;Basic_Fundamental_Information_Constructure(F93)&amp;CHAR(10)&amp;Basic_Fundamental_Information_Concatenate("")</f>
        <v xml:space="preserve">
市值142.77267亿, 利润6.55亿; PE21.71; 平均PE28.05; 平均PEG4.54, PB4.34; ROIC18.6567%; ROE20.0467%; 股利率3.2014%; 毛利30.1233%; 净利9.5933%; 上一年度营收增-3.01%, 利润增2.66%; 当季营收增.86%, 利润增12.35%; 过往5年营收增6.18%, 利润增15.61%
Income profile:
</v>
      </c>
      <c r="D93" t="s">
        <v>119</v>
      </c>
      <c r="E93" t="s">
        <v>120</v>
      </c>
      <c r="F93">
        <v>17.18</v>
      </c>
      <c r="G93">
        <v>4.5</v>
      </c>
      <c r="H93" t="s">
        <v>4178</v>
      </c>
      <c r="I93">
        <v>14277267000</v>
      </c>
      <c r="J93">
        <v>21.71</v>
      </c>
      <c r="K93">
        <v>4.34</v>
      </c>
      <c r="L93" t="s">
        <v>1277</v>
      </c>
      <c r="M93" t="s">
        <v>3176</v>
      </c>
      <c r="N93" t="s">
        <v>3177</v>
      </c>
      <c r="O93" t="s">
        <v>3178</v>
      </c>
      <c r="P93">
        <v>0.91</v>
      </c>
      <c r="Q93" t="s">
        <v>3193</v>
      </c>
      <c r="R93">
        <v>25878437</v>
      </c>
      <c r="S93" s="5">
        <v>0.1235</v>
      </c>
      <c r="T93" t="s">
        <v>194</v>
      </c>
      <c r="U93">
        <v>831040000</v>
      </c>
      <c r="V93">
        <v>831040000</v>
      </c>
      <c r="W93">
        <v>2.12</v>
      </c>
      <c r="X93">
        <v>0.18</v>
      </c>
      <c r="Y93">
        <v>2.0099999999999998</v>
      </c>
      <c r="Z93" t="s">
        <v>3179</v>
      </c>
      <c r="AA93" t="s">
        <v>3180</v>
      </c>
      <c r="AB93" t="s">
        <v>3181</v>
      </c>
      <c r="AC93" t="s">
        <v>3182</v>
      </c>
      <c r="AD93" t="s">
        <v>63</v>
      </c>
      <c r="AE93">
        <v>-6914221</v>
      </c>
      <c r="AF93" t="s">
        <v>175</v>
      </c>
      <c r="AG93" t="s">
        <v>3183</v>
      </c>
      <c r="AH93" t="s">
        <v>3184</v>
      </c>
      <c r="AI93" t="s">
        <v>2855</v>
      </c>
      <c r="AJ93" t="s">
        <v>3185</v>
      </c>
      <c r="AK93" t="s">
        <v>3186</v>
      </c>
      <c r="AL93" t="s">
        <v>3187</v>
      </c>
      <c r="AM93" t="s">
        <v>63</v>
      </c>
      <c r="AN93">
        <v>0</v>
      </c>
      <c r="AO93" t="s">
        <v>63</v>
      </c>
      <c r="AP93" t="s">
        <v>278</v>
      </c>
      <c r="AQ93" t="s">
        <v>3188</v>
      </c>
      <c r="AR93" t="s">
        <v>3189</v>
      </c>
      <c r="AS93" t="s">
        <v>3190</v>
      </c>
      <c r="AT93" t="s">
        <v>63</v>
      </c>
      <c r="AU93" t="s">
        <v>1227</v>
      </c>
      <c r="AV93" t="s">
        <v>3191</v>
      </c>
      <c r="AW93" t="s">
        <v>3192</v>
      </c>
      <c r="AX93" t="s">
        <v>1543</v>
      </c>
      <c r="AY93" t="s">
        <v>1237</v>
      </c>
      <c r="AZ93" t="s">
        <v>963</v>
      </c>
      <c r="BA93" t="s">
        <v>629</v>
      </c>
      <c r="BB93" t="s">
        <v>964</v>
      </c>
      <c r="BC93" t="s">
        <v>527</v>
      </c>
      <c r="BD93" t="s">
        <v>1174</v>
      </c>
      <c r="BE93" t="s">
        <v>315</v>
      </c>
      <c r="BF93" t="s">
        <v>358</v>
      </c>
      <c r="BG93" t="s">
        <v>553</v>
      </c>
      <c r="BH93" t="s">
        <v>3193</v>
      </c>
      <c r="BI93" t="s">
        <v>1688</v>
      </c>
      <c r="BJ93" t="s">
        <v>1543</v>
      </c>
      <c r="BK93" t="s">
        <v>194</v>
      </c>
      <c r="BL93" t="s">
        <v>4179</v>
      </c>
      <c r="BM93" t="s">
        <v>527</v>
      </c>
      <c r="BN93">
        <v>11.53</v>
      </c>
      <c r="BO93">
        <v>21.79</v>
      </c>
      <c r="BP93">
        <v>22.65</v>
      </c>
      <c r="BQ93">
        <v>12.78</v>
      </c>
      <c r="BR93">
        <v>23.93</v>
      </c>
      <c r="BS93">
        <v>23.43</v>
      </c>
      <c r="BT93" t="s">
        <v>3194</v>
      </c>
      <c r="BU93" t="s">
        <v>1848</v>
      </c>
      <c r="BV93">
        <v>31.56</v>
      </c>
      <c r="BW93">
        <v>29.29</v>
      </c>
      <c r="BX93">
        <v>29.52</v>
      </c>
      <c r="BY93">
        <v>10.07</v>
      </c>
      <c r="BZ93">
        <v>9.52</v>
      </c>
      <c r="CA93">
        <v>9.19</v>
      </c>
      <c r="CB93">
        <v>6.25</v>
      </c>
      <c r="CC93">
        <v>-9.86</v>
      </c>
      <c r="CD93" t="s">
        <v>4180</v>
      </c>
      <c r="CE93" t="s">
        <v>495</v>
      </c>
      <c r="CF93" s="9">
        <v>8.6206896551724137E-3</v>
      </c>
      <c r="CG93" s="10">
        <v>0.12353252493151161</v>
      </c>
      <c r="CH93" s="9">
        <v>-3.0126752331852913E-2</v>
      </c>
      <c r="CI93" s="9">
        <v>6.750517338514328E-2</v>
      </c>
      <c r="CJ93" s="9">
        <v>8.6302280426025391E-2</v>
      </c>
      <c r="CK93" s="9">
        <v>5.1463961601257324E-2</v>
      </c>
      <c r="CL93" s="9">
        <v>0.13381442427635193</v>
      </c>
      <c r="CM93" s="10">
        <v>2.664576843380928E-2</v>
      </c>
      <c r="CN93" s="10">
        <v>0.10571923851966858</v>
      </c>
      <c r="CO93" s="10">
        <v>0.20964360237121582</v>
      </c>
      <c r="CP93" s="10">
        <v>0.23575130105018616</v>
      </c>
      <c r="CQ93" s="10">
        <v>0.20249220728874207</v>
      </c>
      <c r="CR93">
        <v>28.04964047151277</v>
      </c>
      <c r="CS93">
        <v>4.5393778042703143</v>
      </c>
      <c r="CT93">
        <v>3.2013969732246799</v>
      </c>
      <c r="CU93" s="9">
        <v>6.1791817471384999E-2</v>
      </c>
      <c r="CV93" s="10">
        <v>0.15605042353272439</v>
      </c>
      <c r="CW93">
        <v>0.06</v>
      </c>
      <c r="CX93">
        <v>22.705537782746525</v>
      </c>
      <c r="CY93">
        <v>656107207.96580863</v>
      </c>
      <c r="CZ93">
        <v>6.1791817471384999E-2</v>
      </c>
      <c r="DA93">
        <v>7.5999005141083513</v>
      </c>
      <c r="DB93">
        <v>1960192369.9323323</v>
      </c>
      <c r="DC93">
        <v>5.8702226597815745E-2</v>
      </c>
      <c r="DD93">
        <v>3.86172387624485</v>
      </c>
      <c r="DE93">
        <v>3857672758.9560699</v>
      </c>
      <c r="DF93">
        <v>5.4376799374818797E-2</v>
      </c>
      <c r="DG93">
        <v>2.4022366699761024</v>
      </c>
      <c r="DH93">
        <v>6201415200.338357</v>
      </c>
      <c r="DI93">
        <v>4.9433453977108001E-2</v>
      </c>
      <c r="DJ93">
        <v>1.3385074790093774</v>
      </c>
      <c r="DK93">
        <v>11129760000.314224</v>
      </c>
      <c r="DL93">
        <v>4.3254272229969498E-2</v>
      </c>
      <c r="DM93">
        <v>655000000</v>
      </c>
      <c r="DN93">
        <v>6.1791817471384999E-2</v>
      </c>
      <c r="DO93">
        <v>14897267000</v>
      </c>
      <c r="DP93">
        <v>2967355599.9999995</v>
      </c>
      <c r="DQ93">
        <v>4380</v>
      </c>
      <c r="DR93">
        <v>-5.3171127816212582E-2</v>
      </c>
      <c r="DS93">
        <v>-3.2517898601212777E-2</v>
      </c>
      <c r="DT93" s="11">
        <v>-0.44</v>
      </c>
      <c r="DU93">
        <v>0.34999999999999992</v>
      </c>
      <c r="DV93">
        <v>-9.000000000000008E-2</v>
      </c>
      <c r="DW93">
        <v>7.3879577901924272</v>
      </c>
      <c r="DX93">
        <v>0.79415639810426686</v>
      </c>
      <c r="DY93">
        <v>7.0520470197487066</v>
      </c>
      <c r="DZ93">
        <v>2007</v>
      </c>
      <c r="EA93">
        <v>7.031597065043214</v>
      </c>
      <c r="EB93">
        <v>7</v>
      </c>
      <c r="EC93">
        <v>3.4062139006546012E-2</v>
      </c>
      <c r="ED93">
        <v>0.25389872930304197</v>
      </c>
      <c r="EE93" s="12">
        <v>6.2699999999999992E-2</v>
      </c>
      <c r="EF93">
        <v>0.1077</v>
      </c>
      <c r="EG93">
        <v>66.134156398104267</v>
      </c>
      <c r="EH93" t="s">
        <v>1099</v>
      </c>
      <c r="EI93">
        <v>1</v>
      </c>
      <c r="EJ93">
        <v>0</v>
      </c>
      <c r="EK93" s="14">
        <v>45504</v>
      </c>
      <c r="EL93" s="15">
        <v>-1.52</v>
      </c>
      <c r="EM93" s="15">
        <v>0.25</v>
      </c>
      <c r="EN93" s="15">
        <v>0.99</v>
      </c>
      <c r="EO93" s="15">
        <v>-0.49</v>
      </c>
      <c r="EP93" s="15">
        <v>4.5</v>
      </c>
    </row>
    <row r="94" spans="1:146" ht="96" hidden="1" x14ac:dyDescent="0.25">
      <c r="A94" s="7"/>
      <c r="B94" s="7"/>
      <c r="C94" s="7" t="str">
        <f>""&amp;CHAR(10)&amp;Basic_Fundamental_Information_Constructure(F94)&amp;CHAR(10)&amp;Basic_Fundamental_Information_Concatenate("")</f>
        <v xml:space="preserve">
市值24.962043亿, 利润-2.69亿; PE; 平均PE-269; 平均PEG-11.89, PB2.29; ROIC3.045%; ROE-.0567%; 股利率0%; 毛利53.56%; 净利-6.3333%; 上一年度营收增101.96%, 利润增-901.54%; 当季营收增56.84%, 利润增-480.09%; 过往5年营收增22.62%, 利润增-188.61%
Income profile:
</v>
      </c>
      <c r="D94" t="s">
        <v>102</v>
      </c>
      <c r="E94" t="s">
        <v>12</v>
      </c>
      <c r="F94">
        <v>8.15</v>
      </c>
      <c r="G94">
        <v>3.3</v>
      </c>
      <c r="H94" t="s">
        <v>4181</v>
      </c>
      <c r="I94">
        <v>2496204300</v>
      </c>
      <c r="K94">
        <v>2.29</v>
      </c>
      <c r="L94" t="s">
        <v>1277</v>
      </c>
      <c r="M94" t="s">
        <v>3195</v>
      </c>
      <c r="N94" t="s">
        <v>1765</v>
      </c>
      <c r="O94" t="s">
        <v>469</v>
      </c>
      <c r="P94">
        <v>57.38</v>
      </c>
      <c r="Q94" t="s">
        <v>3207</v>
      </c>
      <c r="R94">
        <v>-62500000</v>
      </c>
      <c r="S94" s="5">
        <v>1.9179999999999999</v>
      </c>
      <c r="T94" t="s">
        <v>3208</v>
      </c>
      <c r="U94">
        <v>306282730</v>
      </c>
      <c r="V94">
        <v>306282730</v>
      </c>
      <c r="W94">
        <v>3.64</v>
      </c>
      <c r="X94">
        <v>0.03</v>
      </c>
      <c r="Y94">
        <v>9.6</v>
      </c>
      <c r="Z94" t="s">
        <v>451</v>
      </c>
      <c r="AA94" t="s">
        <v>3196</v>
      </c>
      <c r="AB94" t="s">
        <v>3197</v>
      </c>
      <c r="AC94" t="s">
        <v>3198</v>
      </c>
      <c r="AD94" t="s">
        <v>63</v>
      </c>
      <c r="AE94">
        <v>17560767</v>
      </c>
      <c r="AF94" t="s">
        <v>3199</v>
      </c>
      <c r="AG94">
        <v>1200</v>
      </c>
      <c r="AH94" t="s">
        <v>3200</v>
      </c>
      <c r="AI94" t="s">
        <v>379</v>
      </c>
      <c r="AJ94" t="s">
        <v>3201</v>
      </c>
      <c r="AK94" t="s">
        <v>463</v>
      </c>
      <c r="AL94" t="s">
        <v>3202</v>
      </c>
      <c r="AM94" t="s">
        <v>63</v>
      </c>
      <c r="AN94" t="s">
        <v>1139</v>
      </c>
      <c r="AO94" t="s">
        <v>196</v>
      </c>
      <c r="AP94" t="s">
        <v>3203</v>
      </c>
      <c r="AQ94" t="s">
        <v>3204</v>
      </c>
      <c r="AR94" t="s">
        <v>63</v>
      </c>
      <c r="AS94" t="s">
        <v>1781</v>
      </c>
      <c r="AT94" t="s">
        <v>333</v>
      </c>
      <c r="AU94" t="s">
        <v>3205</v>
      </c>
      <c r="AV94" t="s">
        <v>3206</v>
      </c>
      <c r="AW94" t="s">
        <v>264</v>
      </c>
      <c r="AX94" t="s">
        <v>345</v>
      </c>
      <c r="AY94" t="s">
        <v>499</v>
      </c>
      <c r="AZ94" t="s">
        <v>606</v>
      </c>
      <c r="BA94" t="s">
        <v>478</v>
      </c>
      <c r="BB94" t="s">
        <v>823</v>
      </c>
      <c r="BC94" t="s">
        <v>1544</v>
      </c>
      <c r="BD94" t="s">
        <v>1238</v>
      </c>
      <c r="BE94" t="s">
        <v>965</v>
      </c>
      <c r="BF94" t="s">
        <v>632</v>
      </c>
      <c r="BG94" t="s">
        <v>966</v>
      </c>
      <c r="BH94" t="s">
        <v>3207</v>
      </c>
      <c r="BI94" t="s">
        <v>4182</v>
      </c>
      <c r="BJ94" t="s">
        <v>345</v>
      </c>
      <c r="BK94" t="s">
        <v>3208</v>
      </c>
      <c r="BL94" t="s">
        <v>4183</v>
      </c>
      <c r="BM94" t="s">
        <v>1544</v>
      </c>
      <c r="BN94" t="s">
        <v>63</v>
      </c>
      <c r="BO94">
        <v>2.56</v>
      </c>
      <c r="BP94">
        <v>3.53</v>
      </c>
      <c r="BQ94">
        <v>-7.02</v>
      </c>
      <c r="BR94">
        <v>3.02</v>
      </c>
      <c r="BS94">
        <v>3.83</v>
      </c>
      <c r="BT94" t="s">
        <v>1409</v>
      </c>
      <c r="BU94" t="s">
        <v>1848</v>
      </c>
      <c r="BV94">
        <v>20.36</v>
      </c>
      <c r="BW94">
        <v>70.52</v>
      </c>
      <c r="BX94">
        <v>69.8</v>
      </c>
      <c r="BY94">
        <v>-42.91</v>
      </c>
      <c r="BZ94">
        <v>11.62</v>
      </c>
      <c r="CA94">
        <v>12.29</v>
      </c>
      <c r="CB94">
        <v>4.8899999999999997</v>
      </c>
      <c r="CC94">
        <v>-16.84</v>
      </c>
      <c r="CD94" t="s">
        <v>4184</v>
      </c>
      <c r="CE94" t="s">
        <v>301</v>
      </c>
      <c r="CF94" s="9">
        <v>0.56835262218667937</v>
      </c>
      <c r="CG94" s="10">
        <v>-4.8008947300031553</v>
      </c>
      <c r="CH94" s="9">
        <v>1.0196079015731812</v>
      </c>
      <c r="CI94" s="9">
        <v>-0.1355932205915451</v>
      </c>
      <c r="CJ94" s="9">
        <v>0.14935064315795898</v>
      </c>
      <c r="CK94" s="9">
        <v>-7.5075075030326843E-2</v>
      </c>
      <c r="CL94" s="9">
        <v>0.17253521084785461</v>
      </c>
      <c r="CM94" s="10">
        <v>-9.0153751373291016</v>
      </c>
      <c r="CN94" s="10">
        <v>-0.20005291700363159</v>
      </c>
      <c r="CO94" s="10">
        <v>0.18369650840759277</v>
      </c>
      <c r="CP94" s="10">
        <v>-0.2440841943025589</v>
      </c>
      <c r="CQ94" s="10">
        <v>-0.15487675368785858</v>
      </c>
      <c r="CR94">
        <v>-269.00347542149586</v>
      </c>
      <c r="CS94">
        <v>-11.894120045355876</v>
      </c>
      <c r="CT94">
        <v>0</v>
      </c>
      <c r="CU94" s="9">
        <v>0.22616509199142457</v>
      </c>
      <c r="CV94" s="10">
        <v>-1.8861384987831116</v>
      </c>
      <c r="CW94">
        <v>0.06</v>
      </c>
      <c r="CX94" t="e">
        <v>#VALUE!</v>
      </c>
      <c r="CY94" t="s">
        <v>1282</v>
      </c>
      <c r="CZ94">
        <v>0.22616509199142457</v>
      </c>
      <c r="DA94" t="e">
        <v>#VALUE!</v>
      </c>
      <c r="DB94" t="s">
        <v>1283</v>
      </c>
      <c r="DC94">
        <v>0.21485683739185332</v>
      </c>
      <c r="DD94" t="e">
        <v>#VALUE!</v>
      </c>
      <c r="DE94" t="s">
        <v>1283</v>
      </c>
      <c r="DF94">
        <v>0.19902528095245361</v>
      </c>
      <c r="DG94" t="e">
        <v>#VALUE!</v>
      </c>
      <c r="DH94" t="s">
        <v>1283</v>
      </c>
      <c r="DI94">
        <v>0.18093207359313968</v>
      </c>
      <c r="DJ94" t="e">
        <v>#VALUE!</v>
      </c>
      <c r="DK94" t="s">
        <v>1283</v>
      </c>
      <c r="DL94">
        <v>0.15831556439399719</v>
      </c>
      <c r="DM94">
        <v>-269000000</v>
      </c>
      <c r="DN94">
        <v>0.22616509199142457</v>
      </c>
      <c r="DO94">
        <v>4217204300</v>
      </c>
      <c r="DP94">
        <v>-594822790.00000024</v>
      </c>
      <c r="DQ94">
        <v>4415</v>
      </c>
      <c r="DR94">
        <v>0.34218753019525483</v>
      </c>
      <c r="DS94">
        <v>-2.9147562312200437</v>
      </c>
      <c r="DT94" s="11">
        <v>-6.6666666666666714E-3</v>
      </c>
      <c r="DU94">
        <v>-1.8816666666666668</v>
      </c>
      <c r="DV94">
        <v>-1.8883333333333334</v>
      </c>
      <c r="DW94">
        <v>6.2250345144960884</v>
      </c>
      <c r="DX94">
        <v>0.53537739726027289</v>
      </c>
      <c r="DY94">
        <v>6.0282142417212485</v>
      </c>
      <c r="DZ94">
        <v>4316</v>
      </c>
      <c r="EA94">
        <v>6.0043746435871634</v>
      </c>
      <c r="EB94">
        <v>6</v>
      </c>
      <c r="EC94">
        <v>5.976536776983802E-2</v>
      </c>
      <c r="ED94">
        <v>0.47668374903149124</v>
      </c>
      <c r="EE94" s="12">
        <v>-3.0244</v>
      </c>
      <c r="EF94">
        <v>-3.0573999999999999</v>
      </c>
      <c r="EG94">
        <v>41.125377397260273</v>
      </c>
      <c r="EH94" t="s">
        <v>1470</v>
      </c>
      <c r="EI94">
        <v>0</v>
      </c>
      <c r="EJ94">
        <v>0</v>
      </c>
      <c r="EK94" s="14">
        <v>45504</v>
      </c>
      <c r="EL94" s="15">
        <v>-2.63</v>
      </c>
      <c r="EM94" s="15">
        <v>0.64</v>
      </c>
      <c r="EN94" s="15">
        <v>1.41</v>
      </c>
      <c r="EO94" s="15">
        <v>-1.01</v>
      </c>
      <c r="EP94" s="15">
        <v>3.3</v>
      </c>
    </row>
    <row r="95" spans="1:146" ht="96" x14ac:dyDescent="0.25">
      <c r="A95" s="7"/>
      <c r="B95" s="7"/>
      <c r="C95" s="7" t="str">
        <f>""&amp;CHAR(10)&amp;Basic_Fundamental_Information_Constructure(F95)&amp;CHAR(10)&amp;Basic_Fundamental_Information_Concatenate("")</f>
        <v xml:space="preserve">
市值30.22688亿, 利润-3.60亿; PE; 平均PE-61.04; 平均PEG-2.08, PB1.25; ROIC0%; ROE-8.8467%; 股利率0%; 毛利63.3133%; 净利-9.6767%; 上一年度营收增9.6%, 利润增-41.73%; 当季营收增-16.37%, 利润增-6.02%; 过往5年营收增29.33%, 利润增-401.18%
Income profile:
</v>
      </c>
      <c r="D95" t="s">
        <v>81</v>
      </c>
      <c r="E95" t="s">
        <v>4185</v>
      </c>
      <c r="F95">
        <v>29.49</v>
      </c>
      <c r="G95">
        <v>5.7</v>
      </c>
      <c r="H95" t="s">
        <v>4186</v>
      </c>
      <c r="I95">
        <v>3022688000</v>
      </c>
      <c r="K95">
        <v>1.25</v>
      </c>
      <c r="L95" t="s">
        <v>1277</v>
      </c>
      <c r="M95" t="s">
        <v>3209</v>
      </c>
      <c r="N95" t="s">
        <v>3210</v>
      </c>
      <c r="O95" t="s">
        <v>454</v>
      </c>
      <c r="P95">
        <v>-16.47</v>
      </c>
      <c r="Q95" t="s">
        <v>3223</v>
      </c>
      <c r="R95">
        <v>-200369140</v>
      </c>
      <c r="S95" s="5">
        <v>-5.7500000000000002E-2</v>
      </c>
      <c r="T95" t="s">
        <v>3224</v>
      </c>
      <c r="U95">
        <v>102065545</v>
      </c>
      <c r="V95">
        <v>102498747</v>
      </c>
      <c r="W95">
        <v>1.86</v>
      </c>
      <c r="X95">
        <v>0.06</v>
      </c>
      <c r="Y95">
        <v>-72.52</v>
      </c>
      <c r="Z95" t="s">
        <v>587</v>
      </c>
      <c r="AA95" t="s">
        <v>408</v>
      </c>
      <c r="AB95" t="s">
        <v>189</v>
      </c>
      <c r="AC95" t="s">
        <v>3211</v>
      </c>
      <c r="AD95" t="s">
        <v>63</v>
      </c>
      <c r="AE95">
        <v>6002987</v>
      </c>
      <c r="AF95" t="s">
        <v>3212</v>
      </c>
      <c r="AG95" t="s">
        <v>3213</v>
      </c>
      <c r="AH95" t="s">
        <v>3214</v>
      </c>
      <c r="AI95" t="s">
        <v>1752</v>
      </c>
      <c r="AJ95" t="s">
        <v>3215</v>
      </c>
      <c r="AK95" t="s">
        <v>3216</v>
      </c>
      <c r="AL95" t="s">
        <v>3217</v>
      </c>
      <c r="AM95" t="s">
        <v>63</v>
      </c>
      <c r="AN95" t="s">
        <v>1138</v>
      </c>
      <c r="AO95" t="s">
        <v>541</v>
      </c>
      <c r="AP95" t="s">
        <v>3218</v>
      </c>
      <c r="AQ95" t="s">
        <v>395</v>
      </c>
      <c r="AR95" t="s">
        <v>63</v>
      </c>
      <c r="AS95" t="s">
        <v>3219</v>
      </c>
      <c r="AT95" t="s">
        <v>606</v>
      </c>
      <c r="AU95" t="s">
        <v>3220</v>
      </c>
      <c r="AV95" t="s">
        <v>3221</v>
      </c>
      <c r="AW95" t="s">
        <v>3222</v>
      </c>
      <c r="AX95" t="s">
        <v>1545</v>
      </c>
      <c r="AY95" t="s">
        <v>829</v>
      </c>
      <c r="AZ95" t="s">
        <v>961</v>
      </c>
      <c r="BA95" t="s">
        <v>633</v>
      </c>
      <c r="BB95" t="s">
        <v>599</v>
      </c>
      <c r="BC95" t="s">
        <v>1744</v>
      </c>
      <c r="BD95" t="s">
        <v>1239</v>
      </c>
      <c r="BE95" t="s">
        <v>230</v>
      </c>
      <c r="BF95" t="s">
        <v>634</v>
      </c>
      <c r="BG95" t="s">
        <v>967</v>
      </c>
      <c r="BH95" t="s">
        <v>3223</v>
      </c>
      <c r="BI95" t="s">
        <v>738</v>
      </c>
      <c r="BJ95" t="s">
        <v>1545</v>
      </c>
      <c r="BK95" t="s">
        <v>3224</v>
      </c>
      <c r="BL95" t="s">
        <v>4187</v>
      </c>
      <c r="BM95" t="s">
        <v>1744</v>
      </c>
      <c r="BN95" t="s">
        <v>63</v>
      </c>
      <c r="BO95" t="s">
        <v>63</v>
      </c>
      <c r="BP95" t="s">
        <v>63</v>
      </c>
      <c r="BQ95">
        <v>-18.739999999999998</v>
      </c>
      <c r="BR95">
        <v>-8.48</v>
      </c>
      <c r="BS95">
        <v>0.68</v>
      </c>
      <c r="BT95" t="s">
        <v>1425</v>
      </c>
      <c r="BU95" t="s">
        <v>1830</v>
      </c>
      <c r="BV95">
        <v>61.78</v>
      </c>
      <c r="BW95">
        <v>64.2</v>
      </c>
      <c r="BX95">
        <v>63.96</v>
      </c>
      <c r="BY95">
        <v>-16.850000000000001</v>
      </c>
      <c r="BZ95">
        <v>-12.79</v>
      </c>
      <c r="CA95">
        <v>0.61</v>
      </c>
      <c r="CB95">
        <v>5.36</v>
      </c>
      <c r="CC95">
        <v>-12.73</v>
      </c>
      <c r="CD95" t="s">
        <v>4188</v>
      </c>
      <c r="CE95" t="s">
        <v>4189</v>
      </c>
      <c r="CF95" s="9">
        <v>-0.16369047619047619</v>
      </c>
      <c r="CG95" s="10">
        <v>-6.0154179894179892E-2</v>
      </c>
      <c r="CH95" s="9">
        <v>9.5959529280662537E-2</v>
      </c>
      <c r="CI95" s="9">
        <v>8.7912090122699738E-2</v>
      </c>
      <c r="CJ95" s="9">
        <v>0.37566131353378296</v>
      </c>
      <c r="CK95" s="9">
        <v>0.40148311853408813</v>
      </c>
      <c r="CL95" s="9">
        <v>0.50558215379714966</v>
      </c>
      <c r="CM95" s="10">
        <v>-0.41732284426689148</v>
      </c>
      <c r="CN95" s="10">
        <v>-19.397130966186523</v>
      </c>
      <c r="CO95" s="10">
        <v>-0.89696645736694336</v>
      </c>
      <c r="CP95" s="10">
        <v>0.45304074883460999</v>
      </c>
      <c r="CQ95" s="10">
        <v>0.19961957633495331</v>
      </c>
      <c r="CR95">
        <v>-61.044179302210985</v>
      </c>
      <c r="CS95">
        <v>-2.0811487114509353</v>
      </c>
      <c r="CT95">
        <v>0</v>
      </c>
      <c r="CU95" s="9">
        <v>0.29331964105367658</v>
      </c>
      <c r="CV95" s="10">
        <v>-4.0117519885301594</v>
      </c>
      <c r="CW95">
        <v>0.06</v>
      </c>
      <c r="CX95" t="e">
        <v>#VALUE!</v>
      </c>
      <c r="CY95" t="s">
        <v>1282</v>
      </c>
      <c r="CZ95">
        <v>0.29331964105367658</v>
      </c>
      <c r="DA95" t="e">
        <v>#VALUE!</v>
      </c>
      <c r="DB95" t="s">
        <v>1283</v>
      </c>
      <c r="DC95">
        <v>0.27865365900099276</v>
      </c>
      <c r="DD95" t="e">
        <v>#VALUE!</v>
      </c>
      <c r="DE95" t="s">
        <v>1283</v>
      </c>
      <c r="DF95">
        <v>0.2581212841272354</v>
      </c>
      <c r="DG95" t="e">
        <v>#VALUE!</v>
      </c>
      <c r="DH95" t="s">
        <v>1283</v>
      </c>
      <c r="DI95">
        <v>0.23465571284294129</v>
      </c>
      <c r="DJ95" t="e">
        <v>#VALUE!</v>
      </c>
      <c r="DK95" t="s">
        <v>1283</v>
      </c>
      <c r="DL95">
        <v>0.20532374873757359</v>
      </c>
      <c r="DM95">
        <v>-360000000</v>
      </c>
      <c r="DN95">
        <v>0.29331964105367658</v>
      </c>
      <c r="DO95">
        <v>2994688000</v>
      </c>
      <c r="DP95">
        <v>649783000</v>
      </c>
      <c r="DQ95">
        <v>4557</v>
      </c>
      <c r="DR95">
        <v>-0.45701011724415275</v>
      </c>
      <c r="DS95">
        <v>3.9515978086359795</v>
      </c>
      <c r="DT95" s="11">
        <v>-9.000000000000008E-2</v>
      </c>
      <c r="DU95">
        <v>-2.2483333333333335</v>
      </c>
      <c r="DV95">
        <v>-2.3383333333333338</v>
      </c>
      <c r="DW95">
        <v>6.2962962962962958</v>
      </c>
      <c r="DX95">
        <v>0.57033060589590256</v>
      </c>
      <c r="DY95">
        <v>6.0445424017469334</v>
      </c>
      <c r="DZ95">
        <v>4580</v>
      </c>
      <c r="EA95">
        <v>6.0046042263356263</v>
      </c>
      <c r="EB95">
        <v>6</v>
      </c>
      <c r="EC95">
        <v>8.9856708199564622E-2</v>
      </c>
      <c r="ED95">
        <v>0.59772730685185838</v>
      </c>
      <c r="EE95" s="12">
        <v>-5.0430999999999999</v>
      </c>
      <c r="EF95">
        <v>-5.1001000000000003</v>
      </c>
      <c r="EG95">
        <v>42.150330605895903</v>
      </c>
      <c r="EH95" t="s">
        <v>1802</v>
      </c>
      <c r="EI95">
        <v>0</v>
      </c>
      <c r="EJ95">
        <v>0</v>
      </c>
      <c r="EK95" s="14">
        <v>45504</v>
      </c>
      <c r="EL95" s="15">
        <v>-2.4700000000000002</v>
      </c>
      <c r="EM95" s="15">
        <v>0.11</v>
      </c>
      <c r="EN95" s="15">
        <v>0.5</v>
      </c>
      <c r="EO95" s="15">
        <v>-1.56</v>
      </c>
      <c r="EP95" s="15">
        <v>5.7</v>
      </c>
    </row>
    <row r="96" spans="1:146" ht="96" x14ac:dyDescent="0.25">
      <c r="A96" s="7"/>
      <c r="B96" s="7"/>
      <c r="C96" s="7" t="str">
        <f>""&amp;CHAR(10)&amp;Basic_Fundamental_Information_Constructure(F96)&amp;CHAR(10)&amp;Basic_Fundamental_Information_Concatenate("")</f>
        <v xml:space="preserve">
市值19.050338亿, 利润-2.40亿; PE; 平均PE-90.51; 平均PEG-7.65, PB1.94; ROIC4.84%; ROE-7.2667%; 股利率0%; 毛利69.65%; 净利-14.0367%; 上一年度营收增10.96%, 利润增-31.87%; 当季营收增4.14%, 利润增13.78%; 过往5年营收增11.84%, 利润增-69.84%
Income profile:
</v>
      </c>
      <c r="D96" t="s">
        <v>131</v>
      </c>
      <c r="E96" t="s">
        <v>635</v>
      </c>
      <c r="F96">
        <v>10.57</v>
      </c>
      <c r="G96">
        <v>2.92</v>
      </c>
      <c r="H96" t="s">
        <v>4190</v>
      </c>
      <c r="I96">
        <v>1905033800</v>
      </c>
      <c r="K96">
        <v>1.94</v>
      </c>
      <c r="L96" t="s">
        <v>1277</v>
      </c>
      <c r="M96" t="s">
        <v>3225</v>
      </c>
      <c r="N96" t="s">
        <v>3226</v>
      </c>
      <c r="O96" t="s">
        <v>183</v>
      </c>
      <c r="P96">
        <v>4.49</v>
      </c>
      <c r="Q96" t="s">
        <v>1727</v>
      </c>
      <c r="R96">
        <v>-75404829</v>
      </c>
      <c r="S96" s="5">
        <v>0.13780000000000001</v>
      </c>
      <c r="T96" t="s">
        <v>1772</v>
      </c>
      <c r="U96">
        <v>180230260</v>
      </c>
      <c r="V96">
        <v>180230260</v>
      </c>
      <c r="W96">
        <v>1.76</v>
      </c>
      <c r="X96">
        <v>0.08</v>
      </c>
      <c r="Y96">
        <v>-50.21</v>
      </c>
      <c r="Z96" t="s">
        <v>435</v>
      </c>
      <c r="AA96" t="s">
        <v>3227</v>
      </c>
      <c r="AB96" t="s">
        <v>3228</v>
      </c>
      <c r="AC96" t="s">
        <v>3229</v>
      </c>
      <c r="AD96" t="s">
        <v>63</v>
      </c>
      <c r="AE96">
        <v>5169299</v>
      </c>
      <c r="AF96" t="s">
        <v>3230</v>
      </c>
      <c r="AG96" t="s">
        <v>3231</v>
      </c>
      <c r="AH96" t="s">
        <v>3232</v>
      </c>
      <c r="AI96" t="s">
        <v>534</v>
      </c>
      <c r="AJ96" t="s">
        <v>3233</v>
      </c>
      <c r="AK96" t="s">
        <v>3234</v>
      </c>
      <c r="AL96" t="s">
        <v>3235</v>
      </c>
      <c r="AM96" t="s">
        <v>63</v>
      </c>
      <c r="AN96">
        <v>0</v>
      </c>
      <c r="AO96" t="s">
        <v>244</v>
      </c>
      <c r="AP96" t="s">
        <v>3236</v>
      </c>
      <c r="AQ96" t="s">
        <v>3237</v>
      </c>
      <c r="AR96" t="s">
        <v>63</v>
      </c>
      <c r="AS96" t="s">
        <v>825</v>
      </c>
      <c r="AT96" t="s">
        <v>63</v>
      </c>
      <c r="AU96" t="s">
        <v>3238</v>
      </c>
      <c r="AV96" t="s">
        <v>3239</v>
      </c>
      <c r="AW96" t="s">
        <v>3240</v>
      </c>
      <c r="AX96" t="s">
        <v>754</v>
      </c>
      <c r="AY96" t="s">
        <v>1107</v>
      </c>
      <c r="AZ96" t="s">
        <v>736</v>
      </c>
      <c r="BA96" t="s">
        <v>636</v>
      </c>
      <c r="BB96" t="s">
        <v>888</v>
      </c>
      <c r="BC96" t="s">
        <v>3241</v>
      </c>
      <c r="BD96" t="s">
        <v>1240</v>
      </c>
      <c r="BE96" t="s">
        <v>968</v>
      </c>
      <c r="BF96" t="s">
        <v>637</v>
      </c>
      <c r="BG96" t="s">
        <v>969</v>
      </c>
      <c r="BH96" t="s">
        <v>1727</v>
      </c>
      <c r="BI96" t="s">
        <v>424</v>
      </c>
      <c r="BJ96" t="s">
        <v>754</v>
      </c>
      <c r="BK96" t="s">
        <v>1772</v>
      </c>
      <c r="BL96" t="s">
        <v>4191</v>
      </c>
      <c r="BM96" t="s">
        <v>3241</v>
      </c>
      <c r="BN96" t="s">
        <v>63</v>
      </c>
      <c r="BO96" t="s">
        <v>63</v>
      </c>
      <c r="BP96">
        <v>4.84</v>
      </c>
      <c r="BQ96">
        <v>-14.04</v>
      </c>
      <c r="BR96">
        <v>-12.92</v>
      </c>
      <c r="BS96">
        <v>5.16</v>
      </c>
      <c r="BT96" t="s">
        <v>1409</v>
      </c>
      <c r="BU96" t="s">
        <v>1830</v>
      </c>
      <c r="BV96">
        <v>67.38</v>
      </c>
      <c r="BW96">
        <v>68.319999999999993</v>
      </c>
      <c r="BX96">
        <v>73.25</v>
      </c>
      <c r="BY96">
        <v>-26.72</v>
      </c>
      <c r="BZ96">
        <v>-22.67</v>
      </c>
      <c r="CA96">
        <v>7.28</v>
      </c>
      <c r="CB96">
        <v>7.42</v>
      </c>
      <c r="CC96">
        <v>-8.8800000000000008</v>
      </c>
      <c r="CD96" t="s">
        <v>4192</v>
      </c>
      <c r="CE96" t="s">
        <v>4193</v>
      </c>
      <c r="CF96" s="9">
        <v>4.1379310344827586E-2</v>
      </c>
      <c r="CG96" s="10">
        <v>0.13780090422198948</v>
      </c>
      <c r="CH96" s="9">
        <v>0.10960590839385986</v>
      </c>
      <c r="CI96" s="9">
        <v>-0.20934762060642242</v>
      </c>
      <c r="CJ96" s="9">
        <v>0.41655173897743225</v>
      </c>
      <c r="CK96" s="9">
        <v>7.4074074625968933E-2</v>
      </c>
      <c r="CL96" s="9">
        <v>0.20106761157512665</v>
      </c>
      <c r="CM96" s="10">
        <v>-0.31868132948875427</v>
      </c>
      <c r="CN96" s="10">
        <v>-3.4097630977630615</v>
      </c>
      <c r="CO96" s="10">
        <v>0.25385317206382751</v>
      </c>
      <c r="CP96" s="10">
        <v>-0.33840984106063843</v>
      </c>
      <c r="CQ96" s="10">
        <v>0.32119947671890259</v>
      </c>
      <c r="CR96">
        <v>-90.514106250430586</v>
      </c>
      <c r="CS96">
        <v>-7.6453960912547245</v>
      </c>
      <c r="CT96">
        <v>0</v>
      </c>
      <c r="CU96" s="9">
        <v>0.11839034259319306</v>
      </c>
      <c r="CV96" s="10">
        <v>-0.69836032390594482</v>
      </c>
      <c r="CW96">
        <v>0.06</v>
      </c>
      <c r="CX96" t="e">
        <v>#VALUE!</v>
      </c>
      <c r="CY96" t="s">
        <v>1282</v>
      </c>
      <c r="CZ96">
        <v>0.11839034259319306</v>
      </c>
      <c r="DA96" t="e">
        <v>#VALUE!</v>
      </c>
      <c r="DB96" t="s">
        <v>1283</v>
      </c>
      <c r="DC96">
        <v>0.1124708254635334</v>
      </c>
      <c r="DD96" t="e">
        <v>#VALUE!</v>
      </c>
      <c r="DE96" t="s">
        <v>1283</v>
      </c>
      <c r="DF96">
        <v>0.10418350148200989</v>
      </c>
      <c r="DG96" t="e">
        <v>#VALUE!</v>
      </c>
      <c r="DH96" t="s">
        <v>1283</v>
      </c>
      <c r="DI96">
        <v>9.4712274074554459E-2</v>
      </c>
      <c r="DJ96" t="e">
        <v>#VALUE!</v>
      </c>
      <c r="DK96" t="s">
        <v>1283</v>
      </c>
      <c r="DL96">
        <v>8.2873239815235131E-2</v>
      </c>
      <c r="DM96">
        <v>-240000000</v>
      </c>
      <c r="DN96">
        <v>0.11839034259319306</v>
      </c>
      <c r="DO96">
        <v>1675033800</v>
      </c>
      <c r="DP96">
        <v>804473410</v>
      </c>
      <c r="DQ96">
        <v>4563</v>
      </c>
      <c r="DR96">
        <v>-7.7011032248365474E-2</v>
      </c>
      <c r="DS96">
        <v>0.83616122812793425</v>
      </c>
      <c r="DT96" s="11">
        <v>-0.35666666666666669</v>
      </c>
      <c r="DU96">
        <v>-2.0816666666666666</v>
      </c>
      <c r="DV96">
        <v>-2.4383333333333335</v>
      </c>
      <c r="DW96">
        <v>7.45521472392638</v>
      </c>
      <c r="DX96">
        <v>0.54895754261062102</v>
      </c>
      <c r="DY96">
        <v>7.0587033721577193</v>
      </c>
      <c r="DZ96">
        <v>4633</v>
      </c>
      <c r="EA96">
        <v>7.0054589079434058</v>
      </c>
      <c r="EB96">
        <v>7</v>
      </c>
      <c r="EC96">
        <v>2.4281161221206694E-2</v>
      </c>
      <c r="ED96">
        <v>0.18828802666100575</v>
      </c>
      <c r="EE96" s="12">
        <v>3.0085999999999999</v>
      </c>
      <c r="EF96">
        <v>3.0377999999999998</v>
      </c>
      <c r="EG96">
        <v>42.128957542610621</v>
      </c>
      <c r="EH96" t="s">
        <v>1451</v>
      </c>
      <c r="EI96">
        <v>1</v>
      </c>
      <c r="EJ96">
        <v>0</v>
      </c>
      <c r="EK96" s="14">
        <v>45504</v>
      </c>
      <c r="EL96" s="15">
        <v>-2.67</v>
      </c>
      <c r="EM96" s="15">
        <v>1.22</v>
      </c>
      <c r="EN96" s="15">
        <v>0.5</v>
      </c>
      <c r="EO96" s="15">
        <v>-0.2</v>
      </c>
      <c r="EP96" s="15">
        <v>2.92</v>
      </c>
    </row>
    <row r="97" spans="1:146" ht="96" x14ac:dyDescent="0.25">
      <c r="C97" s="7" t="str">
        <f>""&amp;CHAR(10)&amp;Basic_Fundamental_Information_Constructure(F97)&amp;CHAR(10)&amp;Basic_Fundamental_Information_Concatenate("")</f>
        <v xml:space="preserve">
市值40.204156亿, 利润-2.88亿; PE; 平均PE-18.03; 平均PEG-.51, PB2.95; ROIC0%; ROE-29.6733%; 股利率0%; 毛利58.3633%; 净利-68.81%; 上一年度营收增31.64%, 利润增-6.27%; 当季营收增46%, 利润增-3.77%; 过往5年营收增35.01%, 利润增-17.81%
Income profile:
</v>
      </c>
      <c r="D97" t="s">
        <v>1346</v>
      </c>
      <c r="E97" t="s">
        <v>1380</v>
      </c>
      <c r="F97">
        <v>33.270000000000003</v>
      </c>
      <c r="G97">
        <v>6.16</v>
      </c>
      <c r="H97" t="s">
        <v>4194</v>
      </c>
      <c r="I97">
        <v>4020415600</v>
      </c>
      <c r="K97">
        <v>2.95</v>
      </c>
      <c r="L97" t="s">
        <v>1277</v>
      </c>
      <c r="M97" t="s">
        <v>1111</v>
      </c>
      <c r="N97" t="s">
        <v>3242</v>
      </c>
      <c r="O97" t="s">
        <v>3243</v>
      </c>
      <c r="P97">
        <v>46</v>
      </c>
      <c r="Q97" t="s">
        <v>364</v>
      </c>
      <c r="R97">
        <v>-88669719</v>
      </c>
      <c r="S97">
        <v>-3.7699999999999997E-2</v>
      </c>
      <c r="T97" t="s">
        <v>1375</v>
      </c>
      <c r="U97">
        <v>92470272</v>
      </c>
      <c r="V97">
        <v>120842068</v>
      </c>
      <c r="W97">
        <v>1.2</v>
      </c>
      <c r="X97">
        <v>0.04</v>
      </c>
      <c r="Y97">
        <v>-141.66999999999999</v>
      </c>
      <c r="Z97" t="s">
        <v>195</v>
      </c>
      <c r="AA97" t="s">
        <v>3244</v>
      </c>
      <c r="AB97" t="s">
        <v>3245</v>
      </c>
      <c r="AC97" t="s">
        <v>3246</v>
      </c>
      <c r="AD97" t="s">
        <v>63</v>
      </c>
      <c r="AE97">
        <v>972095</v>
      </c>
      <c r="AF97" t="s">
        <v>3247</v>
      </c>
      <c r="AG97" t="s">
        <v>3248</v>
      </c>
      <c r="AH97" t="s">
        <v>3249</v>
      </c>
      <c r="AI97" t="s">
        <v>324</v>
      </c>
      <c r="AJ97" t="s">
        <v>3250</v>
      </c>
      <c r="AK97" t="s">
        <v>3251</v>
      </c>
      <c r="AL97" t="s">
        <v>3252</v>
      </c>
      <c r="AM97" t="s">
        <v>63</v>
      </c>
      <c r="AN97">
        <v>0</v>
      </c>
      <c r="AO97" t="s">
        <v>3253</v>
      </c>
      <c r="AP97" t="s">
        <v>63</v>
      </c>
      <c r="AQ97" t="s">
        <v>3254</v>
      </c>
      <c r="AR97" t="s">
        <v>63</v>
      </c>
      <c r="AS97" t="s">
        <v>314</v>
      </c>
      <c r="AT97" t="s">
        <v>63</v>
      </c>
      <c r="AU97" t="s">
        <v>1156</v>
      </c>
      <c r="AV97" t="s">
        <v>266</v>
      </c>
      <c r="AW97" t="s">
        <v>3255</v>
      </c>
      <c r="AX97" t="s">
        <v>719</v>
      </c>
      <c r="AY97" t="s">
        <v>336</v>
      </c>
      <c r="AZ97" t="s">
        <v>417</v>
      </c>
      <c r="BA97" t="s">
        <v>644</v>
      </c>
      <c r="BB97" t="s">
        <v>305</v>
      </c>
      <c r="BC97" t="s">
        <v>1299</v>
      </c>
      <c r="BD97" t="s">
        <v>1347</v>
      </c>
      <c r="BE97" t="s">
        <v>1348</v>
      </c>
      <c r="BF97" t="s">
        <v>1349</v>
      </c>
      <c r="BG97" t="s">
        <v>1312</v>
      </c>
      <c r="BH97" t="s">
        <v>364</v>
      </c>
      <c r="BI97" t="s">
        <v>4195</v>
      </c>
      <c r="BJ97" t="s">
        <v>719</v>
      </c>
      <c r="BK97" t="s">
        <v>1375</v>
      </c>
      <c r="BL97" t="s">
        <v>4196</v>
      </c>
      <c r="BM97" t="s">
        <v>1299</v>
      </c>
      <c r="BN97" t="s">
        <v>63</v>
      </c>
      <c r="BO97" t="s">
        <v>63</v>
      </c>
      <c r="BP97" t="s">
        <v>63</v>
      </c>
      <c r="BQ97">
        <v>-16.91</v>
      </c>
      <c r="BR97">
        <v>-37.93</v>
      </c>
      <c r="BS97">
        <v>-34.18</v>
      </c>
      <c r="BT97" t="s">
        <v>1409</v>
      </c>
      <c r="BU97" t="s">
        <v>1830</v>
      </c>
      <c r="BV97">
        <v>59.61</v>
      </c>
      <c r="BW97">
        <v>56.54</v>
      </c>
      <c r="BX97">
        <v>58.94</v>
      </c>
      <c r="BY97">
        <v>-58.92</v>
      </c>
      <c r="BZ97">
        <v>-73.06</v>
      </c>
      <c r="CA97">
        <v>-74.45</v>
      </c>
      <c r="CB97">
        <v>7.6</v>
      </c>
      <c r="CC97" s="9">
        <v>-20.69</v>
      </c>
      <c r="CD97" s="10" t="s">
        <v>4197</v>
      </c>
      <c r="CE97" s="9" t="s">
        <v>4198</v>
      </c>
      <c r="CF97" s="9">
        <v>0.46003160513595071</v>
      </c>
      <c r="CG97" s="9">
        <v>-3.7686853272228947E-2</v>
      </c>
      <c r="CH97" s="9">
        <v>0.31635388731956482</v>
      </c>
      <c r="CI97" s="9">
        <v>0.1268882155418396</v>
      </c>
      <c r="CJ97" s="10">
        <v>0.27307692170143127</v>
      </c>
      <c r="CK97" s="10">
        <v>0.49425286054611206</v>
      </c>
      <c r="CL97" s="10">
        <v>0.53982299566268921</v>
      </c>
      <c r="CM97" s="10">
        <v>-6.273062527179718E-2</v>
      </c>
      <c r="CN97" s="10">
        <v>-0.1061224490404129</v>
      </c>
      <c r="CO97">
        <v>-0.33152174949645996</v>
      </c>
      <c r="CP97">
        <v>0.12796208262443542</v>
      </c>
      <c r="CQ97">
        <v>-0.51798558235168457</v>
      </c>
      <c r="CR97" s="9">
        <v>-18.028769506726459</v>
      </c>
      <c r="CS97" s="10">
        <v>-0.51499149434151481</v>
      </c>
      <c r="CT97">
        <v>0</v>
      </c>
      <c r="CU97">
        <v>0.35007897615432737</v>
      </c>
      <c r="CV97">
        <v>-0.17807966470718384</v>
      </c>
      <c r="CW97">
        <v>0.06</v>
      </c>
      <c r="CX97" t="e">
        <v>#VALUE!</v>
      </c>
      <c r="CY97" t="s">
        <v>1282</v>
      </c>
      <c r="CZ97">
        <v>0.35007897615432737</v>
      </c>
      <c r="DA97" t="e">
        <v>#VALUE!</v>
      </c>
      <c r="DB97" t="s">
        <v>1283</v>
      </c>
      <c r="DC97">
        <v>0.33257502734661099</v>
      </c>
      <c r="DD97" t="e">
        <v>#VALUE!</v>
      </c>
      <c r="DE97" t="s">
        <v>1283</v>
      </c>
      <c r="DF97">
        <v>0.3080694990158081</v>
      </c>
      <c r="DG97" t="e">
        <v>#VALUE!</v>
      </c>
      <c r="DH97" t="s">
        <v>1283</v>
      </c>
      <c r="DI97">
        <v>0.28006318092346189</v>
      </c>
      <c r="DJ97" t="e">
        <v>#VALUE!</v>
      </c>
      <c r="DK97" t="s">
        <v>1283</v>
      </c>
      <c r="DL97">
        <v>0.24505528330802914</v>
      </c>
      <c r="DM97">
        <v>-288000000</v>
      </c>
      <c r="DN97">
        <v>0.35007897615432737</v>
      </c>
      <c r="DO97">
        <v>3015415600</v>
      </c>
      <c r="DP97">
        <v>1170846900</v>
      </c>
      <c r="DQ97" s="11">
        <v>4564</v>
      </c>
      <c r="DR97">
        <v>0.10995262898162333</v>
      </c>
      <c r="DS97">
        <v>0.14039281143495488</v>
      </c>
      <c r="DT97">
        <v>7.6666666666666591E-2</v>
      </c>
      <c r="DU97">
        <v>-2.9950000000000006</v>
      </c>
      <c r="DV97">
        <v>-2.9183333333333339</v>
      </c>
      <c r="DW97">
        <v>7.2686461647225169</v>
      </c>
      <c r="DX97">
        <v>0.45956146161911676</v>
      </c>
      <c r="DY97">
        <v>7.0374926514070451</v>
      </c>
      <c r="DZ97">
        <v>4855</v>
      </c>
      <c r="EA97">
        <v>7.0018570166025809</v>
      </c>
      <c r="EB97" s="12">
        <v>7</v>
      </c>
      <c r="EC97">
        <v>5.2649711357140958E-2</v>
      </c>
      <c r="ED97">
        <v>0.37725107451818846</v>
      </c>
      <c r="EE97">
        <v>1.61E-2</v>
      </c>
      <c r="EF97">
        <v>7.7700000000000005E-2</v>
      </c>
      <c r="EG97">
        <v>32.139561461619117</v>
      </c>
      <c r="EH97" s="14" t="s">
        <v>1099</v>
      </c>
      <c r="EI97" s="15">
        <v>1</v>
      </c>
      <c r="EJ97" s="15">
        <v>0</v>
      </c>
      <c r="EK97" s="15">
        <v>45504</v>
      </c>
      <c r="EL97" s="15">
        <v>-1.84</v>
      </c>
      <c r="EM97" s="15">
        <v>-0.06</v>
      </c>
      <c r="EN97" s="15">
        <v>0.23</v>
      </c>
      <c r="EO97" s="15">
        <v>-0.23</v>
      </c>
      <c r="EP97" s="15">
        <v>6.16</v>
      </c>
    </row>
    <row r="98" spans="1:146" ht="96" hidden="1" x14ac:dyDescent="0.25">
      <c r="A98" s="7"/>
      <c r="B98" s="7"/>
      <c r="C98" s="7" t="str">
        <f>""&amp;CHAR(10)&amp;Basic_Fundamental_Information_Constructure(F98)&amp;CHAR(10)&amp;Basic_Fundamental_Information_Concatenate("")</f>
        <v xml:space="preserve">
市值10.8460009亿, 利润-1.03亿; PE; 平均PE96.35; 平均PEG41.76, PB1.74; ROIC5.61%; ROE.73%; 股利率0%; 毛利18.8867%; 净利-13.5833%; 上一年度营收增-43.99%, 利润增-1119.82%; 当季营收增-2.25%, 利润增342.61%; 过往5年营收增2.31%, 利润增-245.89%
Income profile:
</v>
      </c>
      <c r="D98" t="s">
        <v>1006</v>
      </c>
      <c r="E98" t="s">
        <v>1007</v>
      </c>
      <c r="F98">
        <v>9.32</v>
      </c>
      <c r="G98">
        <v>3.56</v>
      </c>
      <c r="H98" t="s">
        <v>4199</v>
      </c>
      <c r="I98">
        <v>1084600090</v>
      </c>
      <c r="K98">
        <v>1.74</v>
      </c>
      <c r="L98" t="s">
        <v>1277</v>
      </c>
      <c r="M98" t="s">
        <v>511</v>
      </c>
      <c r="N98" t="s">
        <v>516</v>
      </c>
      <c r="O98" t="s">
        <v>3256</v>
      </c>
      <c r="P98">
        <v>-2.25</v>
      </c>
      <c r="Q98" t="s">
        <v>391</v>
      </c>
      <c r="R98">
        <v>4252461</v>
      </c>
      <c r="S98" s="5">
        <v>3.4260000000000002</v>
      </c>
      <c r="T98" t="s">
        <v>1446</v>
      </c>
      <c r="U98">
        <v>81412150</v>
      </c>
      <c r="V98">
        <v>116373400</v>
      </c>
      <c r="W98">
        <v>1.98</v>
      </c>
      <c r="X98">
        <v>0.04</v>
      </c>
      <c r="Y98">
        <v>6.92</v>
      </c>
      <c r="Z98" t="s">
        <v>3257</v>
      </c>
      <c r="AA98" t="s">
        <v>3258</v>
      </c>
      <c r="AB98" t="s">
        <v>2203</v>
      </c>
      <c r="AC98" t="s">
        <v>3259</v>
      </c>
      <c r="AD98" t="s">
        <v>63</v>
      </c>
      <c r="AE98">
        <v>1740841</v>
      </c>
      <c r="AF98" t="s">
        <v>3260</v>
      </c>
      <c r="AG98">
        <v>1500</v>
      </c>
      <c r="AH98" t="s">
        <v>3261</v>
      </c>
      <c r="AI98" t="s">
        <v>3262</v>
      </c>
      <c r="AJ98" t="s">
        <v>3263</v>
      </c>
      <c r="AK98" t="s">
        <v>3264</v>
      </c>
      <c r="AL98" t="s">
        <v>3265</v>
      </c>
      <c r="AM98" t="s">
        <v>63</v>
      </c>
      <c r="AN98">
        <v>0</v>
      </c>
      <c r="AO98" t="s">
        <v>469</v>
      </c>
      <c r="AP98" t="s">
        <v>3266</v>
      </c>
      <c r="AQ98" t="s">
        <v>444</v>
      </c>
      <c r="AR98" t="s">
        <v>63</v>
      </c>
      <c r="AS98" t="s">
        <v>1306</v>
      </c>
      <c r="AT98" t="s">
        <v>245</v>
      </c>
      <c r="AU98" t="s">
        <v>3267</v>
      </c>
      <c r="AV98" t="s">
        <v>3268</v>
      </c>
      <c r="AW98" t="s">
        <v>3269</v>
      </c>
      <c r="AX98" t="s">
        <v>339</v>
      </c>
      <c r="AY98" t="s">
        <v>581</v>
      </c>
      <c r="AZ98" t="s">
        <v>466</v>
      </c>
      <c r="BA98" t="s">
        <v>879</v>
      </c>
      <c r="BB98" t="s">
        <v>412</v>
      </c>
      <c r="BC98" t="s">
        <v>1546</v>
      </c>
      <c r="BD98" t="s">
        <v>1241</v>
      </c>
      <c r="BE98" t="s">
        <v>1008</v>
      </c>
      <c r="BF98" t="s">
        <v>1009</v>
      </c>
      <c r="BG98" t="s">
        <v>1010</v>
      </c>
      <c r="BH98" t="s">
        <v>391</v>
      </c>
      <c r="BI98" t="s">
        <v>4200</v>
      </c>
      <c r="BJ98" t="s">
        <v>339</v>
      </c>
      <c r="BK98" t="s">
        <v>1446</v>
      </c>
      <c r="BL98" t="s">
        <v>4201</v>
      </c>
      <c r="BM98" t="s">
        <v>1546</v>
      </c>
      <c r="BN98" t="s">
        <v>63</v>
      </c>
      <c r="BO98" t="s">
        <v>63</v>
      </c>
      <c r="BP98">
        <v>5.61</v>
      </c>
      <c r="BQ98">
        <v>-2.71</v>
      </c>
      <c r="BR98">
        <v>-1.1499999999999999</v>
      </c>
      <c r="BS98">
        <v>6.05</v>
      </c>
      <c r="BT98" t="s">
        <v>1409</v>
      </c>
      <c r="BU98" t="s">
        <v>1848</v>
      </c>
      <c r="BV98">
        <v>5.96</v>
      </c>
      <c r="BW98">
        <v>22.5</v>
      </c>
      <c r="BX98">
        <v>28.2</v>
      </c>
      <c r="BY98">
        <v>-47.15</v>
      </c>
      <c r="BZ98">
        <v>-2.16</v>
      </c>
      <c r="CA98">
        <v>8.56</v>
      </c>
      <c r="CB98">
        <v>8.6199999999999992</v>
      </c>
      <c r="CC98">
        <v>-7.08</v>
      </c>
      <c r="CD98" t="s">
        <v>4202</v>
      </c>
      <c r="CE98" t="s">
        <v>4203</v>
      </c>
      <c r="CF98" s="9">
        <v>-2.252472752926284E-2</v>
      </c>
      <c r="CG98" s="10">
        <v>3.4260959607485169</v>
      </c>
      <c r="CH98" s="9">
        <v>-0.43989768624305725</v>
      </c>
      <c r="CI98" s="9">
        <v>-8.6448594927787781E-2</v>
      </c>
      <c r="CJ98" s="9">
        <v>-0.13709677755832672</v>
      </c>
      <c r="CK98" s="9">
        <v>0.11963882297277451</v>
      </c>
      <c r="CL98" s="9">
        <v>0.6591760516166687</v>
      </c>
      <c r="CM98" s="10">
        <v>-11.198154449462891</v>
      </c>
      <c r="CN98" s="10">
        <v>-1.2305413484573364</v>
      </c>
      <c r="CO98" s="10">
        <v>-0.33881875872612</v>
      </c>
      <c r="CP98" s="10">
        <v>0.10134398937225342</v>
      </c>
      <c r="CQ98" s="10">
        <v>0.37191954255104065</v>
      </c>
      <c r="CR98">
        <v>96.354082122170496</v>
      </c>
      <c r="CS98">
        <v>41.758067775784326</v>
      </c>
      <c r="CT98">
        <v>0</v>
      </c>
      <c r="CU98" s="9">
        <v>2.3074363172054291E-2</v>
      </c>
      <c r="CV98" s="10">
        <v>-2.4588502049446106</v>
      </c>
      <c r="CW98">
        <v>0.06</v>
      </c>
      <c r="CX98" t="e">
        <v>#VALUE!</v>
      </c>
      <c r="CY98" t="s">
        <v>1283</v>
      </c>
      <c r="CZ98">
        <v>2.3074363172054291E-2</v>
      </c>
      <c r="DA98" t="e">
        <v>#VALUE!</v>
      </c>
      <c r="DB98" t="s">
        <v>1283</v>
      </c>
      <c r="DC98">
        <v>2.1920645013451576E-2</v>
      </c>
      <c r="DD98" t="e">
        <v>#VALUE!</v>
      </c>
      <c r="DE98" t="s">
        <v>1283</v>
      </c>
      <c r="DF98">
        <v>2.0305439591407775E-2</v>
      </c>
      <c r="DG98" t="e">
        <v>#VALUE!</v>
      </c>
      <c r="DH98" t="s">
        <v>1283</v>
      </c>
      <c r="DI98">
        <v>1.8459490537643435E-2</v>
      </c>
      <c r="DJ98" t="e">
        <v>#VALUE!</v>
      </c>
      <c r="DK98" t="s">
        <v>1283</v>
      </c>
      <c r="DL98">
        <v>1.6152054220438004E-2</v>
      </c>
      <c r="DM98">
        <v>-103000000</v>
      </c>
      <c r="DN98">
        <v>2.3074363172054291E-2</v>
      </c>
      <c r="DO98">
        <v>1110600090</v>
      </c>
      <c r="DP98">
        <v>354751910</v>
      </c>
      <c r="DQ98">
        <v>4570</v>
      </c>
      <c r="DR98">
        <v>-4.5599090701317131E-2</v>
      </c>
      <c r="DS98">
        <v>5.8849461656931279</v>
      </c>
      <c r="DT98" s="11">
        <v>-0.40666666666666668</v>
      </c>
      <c r="DU98">
        <v>-0.9</v>
      </c>
      <c r="DV98">
        <v>-1.3066666666666666</v>
      </c>
      <c r="DW98">
        <v>5.8213457076566124</v>
      </c>
      <c r="DX98">
        <v>0.40140234638265254</v>
      </c>
      <c r="DY98">
        <v>5.0832863819477003</v>
      </c>
      <c r="DZ98">
        <v>3883</v>
      </c>
      <c r="EA98">
        <v>5.0199737309878492</v>
      </c>
      <c r="EB98">
        <v>5</v>
      </c>
      <c r="EC98">
        <v>6.2141348452481406E-2</v>
      </c>
      <c r="ED98">
        <v>0.61281959623075377</v>
      </c>
      <c r="EE98" s="12">
        <v>4.0655999999999999</v>
      </c>
      <c r="EF98">
        <v>4.1012000000000004</v>
      </c>
      <c r="EG98">
        <v>30.101402346382653</v>
      </c>
      <c r="EH98" t="s">
        <v>1465</v>
      </c>
      <c r="EI98">
        <v>1</v>
      </c>
      <c r="EJ98">
        <v>0</v>
      </c>
      <c r="EK98" s="14">
        <v>45504</v>
      </c>
      <c r="EL98" s="15">
        <v>-1.1499999999999999</v>
      </c>
      <c r="EM98" s="15">
        <v>0</v>
      </c>
      <c r="EN98" s="15">
        <v>1.75</v>
      </c>
      <c r="EO98" s="15">
        <v>2.1800000000000002</v>
      </c>
      <c r="EP98" s="15">
        <v>3.56</v>
      </c>
    </row>
    <row r="99" spans="1:146" ht="96" x14ac:dyDescent="0.25">
      <c r="A99" s="7"/>
      <c r="B99" s="7"/>
      <c r="C99" s="7" t="str">
        <f>""&amp;CHAR(10)&amp;Basic_Fundamental_Information_Constructure(F99)&amp;CHAR(10)&amp;Basic_Fundamental_Information_Concatenate("")</f>
        <v xml:space="preserve">
市值15.730782亿, 利润1451.96万; PE100.9; 平均PE52.31; 平均PEG2.58, PB1.98; ROIC.925%; ROE-.3%; 股利率1.284%; 毛利90.5233%; 净利.6233%; 上一年度营收增22.98%, 利润增141.9%; 当季营收增28.51%, 利润增24.05%; 过往5年营收增20.27%, 利润增-24.93%
Income profile:
</v>
      </c>
      <c r="D99" t="s">
        <v>104</v>
      </c>
      <c r="E99" t="s">
        <v>105</v>
      </c>
      <c r="F99">
        <v>20.25</v>
      </c>
      <c r="G99">
        <v>4.2699999999999996</v>
      </c>
      <c r="H99" t="s">
        <v>4204</v>
      </c>
      <c r="I99">
        <v>1573078200</v>
      </c>
      <c r="J99">
        <v>100.9</v>
      </c>
      <c r="K99">
        <v>1.98</v>
      </c>
      <c r="L99" t="s">
        <v>1277</v>
      </c>
      <c r="M99" t="s">
        <v>181</v>
      </c>
      <c r="N99" t="s">
        <v>3270</v>
      </c>
      <c r="O99" t="s">
        <v>3271</v>
      </c>
      <c r="P99">
        <v>28.51</v>
      </c>
      <c r="Q99" t="s">
        <v>178</v>
      </c>
      <c r="R99">
        <v>-3380814</v>
      </c>
      <c r="S99" s="5">
        <v>0.24049999999999999</v>
      </c>
      <c r="T99" t="s">
        <v>3284</v>
      </c>
      <c r="U99">
        <v>77682874</v>
      </c>
      <c r="V99">
        <v>77682874</v>
      </c>
      <c r="W99">
        <v>1.1000000000000001</v>
      </c>
      <c r="X99">
        <v>7.0000000000000007E-2</v>
      </c>
      <c r="Y99">
        <v>-5.6</v>
      </c>
      <c r="Z99" t="s">
        <v>3272</v>
      </c>
      <c r="AA99" t="s">
        <v>3273</v>
      </c>
      <c r="AB99" t="s">
        <v>3274</v>
      </c>
      <c r="AC99" t="s">
        <v>3275</v>
      </c>
      <c r="AD99" t="s">
        <v>63</v>
      </c>
      <c r="AE99">
        <v>-333044</v>
      </c>
      <c r="AF99" t="s">
        <v>3276</v>
      </c>
      <c r="AG99">
        <v>1071.78</v>
      </c>
      <c r="AH99" t="s">
        <v>3277</v>
      </c>
      <c r="AI99" t="s">
        <v>541</v>
      </c>
      <c r="AJ99" t="s">
        <v>3278</v>
      </c>
      <c r="AK99" t="s">
        <v>63</v>
      </c>
      <c r="AL99" t="s">
        <v>3279</v>
      </c>
      <c r="AM99" t="s">
        <v>63</v>
      </c>
      <c r="AN99">
        <v>0</v>
      </c>
      <c r="AO99" t="s">
        <v>63</v>
      </c>
      <c r="AP99" t="s">
        <v>63</v>
      </c>
      <c r="AQ99" t="s">
        <v>3280</v>
      </c>
      <c r="AR99" t="s">
        <v>63</v>
      </c>
      <c r="AS99" t="s">
        <v>3281</v>
      </c>
      <c r="AT99" t="s">
        <v>63</v>
      </c>
      <c r="AU99" t="s">
        <v>3282</v>
      </c>
      <c r="AV99" t="s">
        <v>381</v>
      </c>
      <c r="AW99" t="s">
        <v>3283</v>
      </c>
      <c r="AX99" t="s">
        <v>216</v>
      </c>
      <c r="AY99" t="s">
        <v>222</v>
      </c>
      <c r="AZ99" t="s">
        <v>304</v>
      </c>
      <c r="BA99" t="s">
        <v>349</v>
      </c>
      <c r="BB99" t="s">
        <v>182</v>
      </c>
      <c r="BC99" t="s">
        <v>1547</v>
      </c>
      <c r="BD99" t="s">
        <v>1243</v>
      </c>
      <c r="BE99" t="s">
        <v>970</v>
      </c>
      <c r="BF99" t="s">
        <v>639</v>
      </c>
      <c r="BG99" t="s">
        <v>971</v>
      </c>
      <c r="BH99" t="s">
        <v>178</v>
      </c>
      <c r="BI99" t="s">
        <v>4205</v>
      </c>
      <c r="BJ99" t="s">
        <v>216</v>
      </c>
      <c r="BK99" t="s">
        <v>3284</v>
      </c>
      <c r="BL99" t="s">
        <v>4206</v>
      </c>
      <c r="BM99" t="s">
        <v>1547</v>
      </c>
      <c r="BN99">
        <v>0.04</v>
      </c>
      <c r="BO99" t="s">
        <v>63</v>
      </c>
      <c r="BP99">
        <v>1.81</v>
      </c>
      <c r="BQ99">
        <v>0.15</v>
      </c>
      <c r="BR99">
        <v>-3.84</v>
      </c>
      <c r="BS99">
        <v>2.79</v>
      </c>
      <c r="BT99" t="s">
        <v>3285</v>
      </c>
      <c r="BU99" t="s">
        <v>1830</v>
      </c>
      <c r="BV99">
        <v>89.31</v>
      </c>
      <c r="BW99">
        <v>89.15</v>
      </c>
      <c r="BX99">
        <v>93.11</v>
      </c>
      <c r="BY99">
        <v>3.85</v>
      </c>
      <c r="BZ99">
        <v>-14.78</v>
      </c>
      <c r="CA99">
        <v>12.8</v>
      </c>
      <c r="CB99">
        <v>7.37</v>
      </c>
      <c r="CC99">
        <v>-7.95</v>
      </c>
      <c r="CD99" t="s">
        <v>4207</v>
      </c>
      <c r="CE99" t="s">
        <v>4208</v>
      </c>
      <c r="CF99" s="9">
        <v>0.28512906708775132</v>
      </c>
      <c r="CG99" s="10">
        <v>0.24045426973107772</v>
      </c>
      <c r="CH99" s="9">
        <v>0.22983871400356293</v>
      </c>
      <c r="CI99" s="9">
        <v>0.23999999463558197</v>
      </c>
      <c r="CJ99" s="9">
        <v>9.890110045671463E-2</v>
      </c>
      <c r="CK99" s="9">
        <v>0.27272728085517883</v>
      </c>
      <c r="CL99" s="9">
        <v>0.17213115096092224</v>
      </c>
      <c r="CM99" s="10">
        <v>1.4189635515213013</v>
      </c>
      <c r="CN99" s="10">
        <v>-2.2921411991119385</v>
      </c>
      <c r="CO99" s="10">
        <v>-0.56071484088897705</v>
      </c>
      <c r="CP99" s="10">
        <v>-3.069733502343297E-3</v>
      </c>
      <c r="CQ99" s="10">
        <v>0.19039991497993469</v>
      </c>
      <c r="CR99">
        <v>52.311003885719607</v>
      </c>
      <c r="CS99">
        <v>2.580460471135686</v>
      </c>
      <c r="CT99">
        <v>1.2839506172839508</v>
      </c>
      <c r="CU99" s="9">
        <v>0.20271964818239213</v>
      </c>
      <c r="CV99" s="10">
        <v>-0.24931246140040458</v>
      </c>
      <c r="CW99">
        <v>0.06</v>
      </c>
      <c r="CX99">
        <v>53.359815280848977</v>
      </c>
      <c r="CY99">
        <v>16474536.041272696</v>
      </c>
      <c r="CZ99">
        <v>0.20271964818239213</v>
      </c>
      <c r="DA99">
        <v>15.870011813697019</v>
      </c>
      <c r="DB99">
        <v>55392409.931370631</v>
      </c>
      <c r="DC99">
        <v>0.19258366577327252</v>
      </c>
      <c r="DD99">
        <v>6.8533046427421791</v>
      </c>
      <c r="DE99">
        <v>128270702.35830911</v>
      </c>
      <c r="DF99">
        <v>0.17839329040050508</v>
      </c>
      <c r="DG99">
        <v>3.5252973144845221</v>
      </c>
      <c r="DH99">
        <v>249362854.13094047</v>
      </c>
      <c r="DI99">
        <v>0.16217571854591373</v>
      </c>
      <c r="DJ99">
        <v>1.2657966868527579</v>
      </c>
      <c r="DK99">
        <v>694486096.48814607</v>
      </c>
      <c r="DL99">
        <v>0.14190375372767447</v>
      </c>
      <c r="DM99">
        <v>14519600</v>
      </c>
      <c r="DN99">
        <v>0.20271964818239213</v>
      </c>
      <c r="DO99">
        <v>879078200</v>
      </c>
      <c r="DP99">
        <v>686497880</v>
      </c>
      <c r="DQ99">
        <v>4585</v>
      </c>
      <c r="DR99">
        <v>8.2409418905359189E-2</v>
      </c>
      <c r="DS99">
        <v>0.48976673113148228</v>
      </c>
      <c r="DT99" s="11">
        <v>9.3333333333333268E-2</v>
      </c>
      <c r="DU99">
        <v>-1.095</v>
      </c>
      <c r="DV99">
        <v>-1.0016666666666667</v>
      </c>
      <c r="DW99">
        <v>7.481070496083551</v>
      </c>
      <c r="DX99">
        <v>0.44170442606610777</v>
      </c>
      <c r="DY99">
        <v>7.0633591135840224</v>
      </c>
      <c r="DZ99">
        <v>3613</v>
      </c>
      <c r="EA99">
        <v>7.0185438282709693</v>
      </c>
      <c r="EB99">
        <v>7</v>
      </c>
      <c r="EC99">
        <v>3.1467682310518018E-2</v>
      </c>
      <c r="ED99">
        <v>0.23892653611142142</v>
      </c>
      <c r="EE99" s="12">
        <v>1.0239</v>
      </c>
      <c r="EF99">
        <v>1.0666</v>
      </c>
      <c r="EG99">
        <v>31.131704426066108</v>
      </c>
      <c r="EH99" t="s">
        <v>1286</v>
      </c>
      <c r="EI99">
        <v>1</v>
      </c>
      <c r="EJ99">
        <v>0</v>
      </c>
      <c r="EK99" s="14">
        <v>45504</v>
      </c>
      <c r="EL99" s="15">
        <v>-3.23</v>
      </c>
      <c r="EM99" s="15">
        <v>0.9</v>
      </c>
      <c r="EN99" s="15">
        <v>1.1000000000000001</v>
      </c>
      <c r="EO99" s="15">
        <v>0.1</v>
      </c>
      <c r="EP99" s="15">
        <v>4.2699999999999996</v>
      </c>
    </row>
    <row r="100" spans="1:146" ht="108" hidden="1" x14ac:dyDescent="0.25">
      <c r="A100" s="7"/>
      <c r="B100" s="7"/>
      <c r="C100" s="7" t="str">
        <f>""&amp;CHAR(10)&amp;Basic_Fundamental_Information_Constructure(F100)&amp;CHAR(10)&amp;Basic_Fundamental_Information_Concatenate("")</f>
        <v xml:space="preserve">
市值15.941699亿, 利润8431.98万; PE19.07; 平均PE26.84; 平均PEG1.01, PB2.15; ROIC10.94%; ROE11.5333%; 股利率1.6461%; 毛利52.5467%; 净利21.82%; 上一年度营收增8.49%, 利润增5.39%; 当季营收增-13.08%, 利润增-5.71%; 过往5年营收增26.53%, 利润增23.09%
Income profile:
</v>
      </c>
      <c r="D100" t="s">
        <v>117</v>
      </c>
      <c r="E100" t="s">
        <v>1011</v>
      </c>
      <c r="F100">
        <v>21.87</v>
      </c>
      <c r="G100">
        <v>4.04</v>
      </c>
      <c r="H100" t="s">
        <v>4209</v>
      </c>
      <c r="I100">
        <v>1594169900</v>
      </c>
      <c r="J100">
        <v>19.07</v>
      </c>
      <c r="K100">
        <v>2.15</v>
      </c>
      <c r="L100" t="s">
        <v>1277</v>
      </c>
      <c r="M100" t="s">
        <v>262</v>
      </c>
      <c r="N100" t="s">
        <v>1460</v>
      </c>
      <c r="O100" t="s">
        <v>3286</v>
      </c>
      <c r="P100">
        <v>-13.08</v>
      </c>
      <c r="Q100" t="s">
        <v>64</v>
      </c>
      <c r="R100">
        <v>12177743</v>
      </c>
      <c r="S100" s="5">
        <v>-5.7099999999999998E-2</v>
      </c>
      <c r="T100" t="s">
        <v>3305</v>
      </c>
      <c r="U100">
        <v>72893000</v>
      </c>
      <c r="V100">
        <v>72893000</v>
      </c>
      <c r="W100">
        <v>1.17</v>
      </c>
      <c r="X100">
        <v>0.05</v>
      </c>
      <c r="Y100">
        <v>25.86</v>
      </c>
      <c r="Z100" t="s">
        <v>3287</v>
      </c>
      <c r="AA100" t="s">
        <v>3288</v>
      </c>
      <c r="AB100" t="s">
        <v>3289</v>
      </c>
      <c r="AC100" t="s">
        <v>3290</v>
      </c>
      <c r="AD100" t="s">
        <v>63</v>
      </c>
      <c r="AE100">
        <v>-168435</v>
      </c>
      <c r="AF100" t="s">
        <v>3291</v>
      </c>
      <c r="AG100" t="s">
        <v>3292</v>
      </c>
      <c r="AH100" t="s">
        <v>3293</v>
      </c>
      <c r="AI100" t="s">
        <v>3294</v>
      </c>
      <c r="AJ100" t="s">
        <v>3295</v>
      </c>
      <c r="AK100" t="s">
        <v>3296</v>
      </c>
      <c r="AL100" t="s">
        <v>3297</v>
      </c>
      <c r="AM100" t="s">
        <v>63</v>
      </c>
      <c r="AN100">
        <v>0</v>
      </c>
      <c r="AO100" t="s">
        <v>3298</v>
      </c>
      <c r="AP100" t="s">
        <v>3299</v>
      </c>
      <c r="AQ100" t="s">
        <v>3300</v>
      </c>
      <c r="AR100" t="s">
        <v>1784</v>
      </c>
      <c r="AS100" t="s">
        <v>421</v>
      </c>
      <c r="AT100" t="s">
        <v>63</v>
      </c>
      <c r="AU100" t="s">
        <v>3301</v>
      </c>
      <c r="AV100" t="s">
        <v>3302</v>
      </c>
      <c r="AW100" t="s">
        <v>3303</v>
      </c>
      <c r="AX100" t="s">
        <v>686</v>
      </c>
      <c r="AY100" t="s">
        <v>332</v>
      </c>
      <c r="AZ100" t="s">
        <v>513</v>
      </c>
      <c r="BA100" t="s">
        <v>284</v>
      </c>
      <c r="BB100" t="s">
        <v>318</v>
      </c>
      <c r="BC100" t="s">
        <v>3304</v>
      </c>
      <c r="BD100" t="s">
        <v>1244</v>
      </c>
      <c r="BE100" t="s">
        <v>972</v>
      </c>
      <c r="BF100" t="s">
        <v>640</v>
      </c>
      <c r="BG100" t="s">
        <v>688</v>
      </c>
      <c r="BH100" t="s">
        <v>64</v>
      </c>
      <c r="BI100" t="s">
        <v>4210</v>
      </c>
      <c r="BJ100" t="s">
        <v>686</v>
      </c>
      <c r="BK100" t="s">
        <v>3305</v>
      </c>
      <c r="BL100" t="s">
        <v>4211</v>
      </c>
      <c r="BM100" t="s">
        <v>3304</v>
      </c>
      <c r="BN100">
        <v>9.23</v>
      </c>
      <c r="BO100">
        <v>12.73</v>
      </c>
      <c r="BP100">
        <v>10.86</v>
      </c>
      <c r="BQ100">
        <v>9.56</v>
      </c>
      <c r="BR100">
        <v>13.26</v>
      </c>
      <c r="BS100">
        <v>11.78</v>
      </c>
      <c r="BT100" t="s">
        <v>3306</v>
      </c>
      <c r="BU100" t="s">
        <v>1848</v>
      </c>
      <c r="BV100">
        <v>54.55</v>
      </c>
      <c r="BW100">
        <v>51.51</v>
      </c>
      <c r="BX100">
        <v>51.58</v>
      </c>
      <c r="BY100">
        <v>21.83</v>
      </c>
      <c r="BZ100">
        <v>21.94</v>
      </c>
      <c r="CA100">
        <v>21.69</v>
      </c>
      <c r="CB100">
        <v>8.0500000000000007</v>
      </c>
      <c r="CC100">
        <v>-9.6300000000000008</v>
      </c>
      <c r="CD100" t="s">
        <v>4212</v>
      </c>
      <c r="CE100" t="s">
        <v>4213</v>
      </c>
      <c r="CF100" s="9">
        <v>-0.13077378787481123</v>
      </c>
      <c r="CG100" s="10">
        <v>-5.709262800907465E-2</v>
      </c>
      <c r="CH100" s="9">
        <v>8.4931507706642151E-2</v>
      </c>
      <c r="CI100" s="9">
        <v>0.25429552793502808</v>
      </c>
      <c r="CJ100" s="9">
        <v>0.46969696879386902</v>
      </c>
      <c r="CK100" s="9">
        <v>0.28571429848670959</v>
      </c>
      <c r="CL100" s="9">
        <v>0.23199999332427979</v>
      </c>
      <c r="CM100" s="10">
        <v>5.3852595388889313E-2</v>
      </c>
      <c r="CN100" s="10">
        <v>0.26844340562820435</v>
      </c>
      <c r="CO100" s="10">
        <v>0.24303334951400757</v>
      </c>
      <c r="CP100" s="10">
        <v>7.7813670039176941E-2</v>
      </c>
      <c r="CQ100" s="10">
        <v>0.51158207654953003</v>
      </c>
      <c r="CR100">
        <v>26.839142249129587</v>
      </c>
      <c r="CS100">
        <v>1.0115470933209847</v>
      </c>
      <c r="CT100">
        <v>1.6460905349794239</v>
      </c>
      <c r="CU100" s="9">
        <v>0.26532765924930574</v>
      </c>
      <c r="CV100" s="10">
        <v>0.23094501942396164</v>
      </c>
      <c r="CW100">
        <v>0.06</v>
      </c>
      <c r="CX100">
        <v>10.314346786212425</v>
      </c>
      <c r="CY100">
        <v>100652995.43619773</v>
      </c>
      <c r="CZ100">
        <v>0.26532765924930574</v>
      </c>
      <c r="DA100">
        <v>2.9145608737540232</v>
      </c>
      <c r="DB100">
        <v>356201137.99949998</v>
      </c>
      <c r="DC100">
        <v>0.25206127628684044</v>
      </c>
      <c r="DD100">
        <v>1.167711801910686</v>
      </c>
      <c r="DE100">
        <v>889063464.37646592</v>
      </c>
      <c r="DF100">
        <v>0.23348834013938904</v>
      </c>
      <c r="DG100">
        <v>0.54694427809794388</v>
      </c>
      <c r="DH100">
        <v>1898127362.4624884</v>
      </c>
      <c r="DI100">
        <v>0.21226212739944461</v>
      </c>
      <c r="DJ100">
        <v>0.15523473665300772</v>
      </c>
      <c r="DK100">
        <v>6687742205.0233183</v>
      </c>
      <c r="DL100">
        <v>0.18572936147451399</v>
      </c>
      <c r="DM100">
        <v>84319800</v>
      </c>
      <c r="DN100">
        <v>0.26532765924930574</v>
      </c>
      <c r="DO100">
        <v>1038169900</v>
      </c>
      <c r="DP100">
        <v>666517650</v>
      </c>
      <c r="DQ100">
        <v>4603</v>
      </c>
      <c r="DR100">
        <v>-0.39610144712411699</v>
      </c>
      <c r="DS100">
        <v>-0.28803764743303628</v>
      </c>
      <c r="DT100" s="11">
        <v>5.9999999999999908E-2</v>
      </c>
      <c r="DU100">
        <v>0.3833333333333333</v>
      </c>
      <c r="DV100">
        <v>0.44333333333333319</v>
      </c>
      <c r="DW100">
        <v>7.4553167420814477</v>
      </c>
      <c r="DX100">
        <v>0.44504385436685084</v>
      </c>
      <c r="DY100">
        <v>7.0569345603876199</v>
      </c>
      <c r="DZ100">
        <v>873</v>
      </c>
      <c r="EA100">
        <v>7.047203966961936</v>
      </c>
      <c r="EB100">
        <v>7</v>
      </c>
      <c r="EC100">
        <v>3.2760347358456919E-2</v>
      </c>
      <c r="ED100">
        <v>0.2619908633202091</v>
      </c>
      <c r="EE100" s="12">
        <v>3.0334099999999999</v>
      </c>
      <c r="EF100">
        <v>3.0070000000000001</v>
      </c>
      <c r="EG100">
        <v>32.125043854366851</v>
      </c>
      <c r="EH100" t="s">
        <v>1451</v>
      </c>
      <c r="EI100">
        <v>1</v>
      </c>
      <c r="EJ100">
        <v>1</v>
      </c>
      <c r="EK100" s="14">
        <v>45504</v>
      </c>
      <c r="EL100" s="15">
        <v>-2.79</v>
      </c>
      <c r="EM100" s="15">
        <v>0.49</v>
      </c>
      <c r="EN100" s="15">
        <v>2.11</v>
      </c>
      <c r="EO100" s="15">
        <v>0.63</v>
      </c>
      <c r="EP100" s="15">
        <v>4.04</v>
      </c>
    </row>
    <row r="101" spans="1:146" ht="108" hidden="1" x14ac:dyDescent="0.25">
      <c r="A101" s="7"/>
      <c r="B101" s="7"/>
      <c r="C101" s="7" t="str">
        <f>""&amp;CHAR(10)&amp;Basic_Fundamental_Information_Constructure(F101)&amp;CHAR(10)&amp;Basic_Fundamental_Information_Concatenate("")</f>
        <v xml:space="preserve">
市值80.78833亿, 利润6140.64万; PE151.1; 平均PE96.37; 平均PEG3.48, PB3.04; ROIC10.75%; ROE2.8933%; 股利率.6757%; 毛利96.64%; 净利12.41%; 上一年度营收增37.77%, 利润增922.84%; 当季营收增3.45%, 利润增-44.94%; 过往5年营收增27.7%, 利润增202.55%
Income profile:
</v>
      </c>
      <c r="D101" t="s">
        <v>973</v>
      </c>
      <c r="E101" t="s">
        <v>974</v>
      </c>
      <c r="F101">
        <v>66.599999999999994</v>
      </c>
      <c r="G101">
        <v>7.82</v>
      </c>
      <c r="H101" t="s">
        <v>4214</v>
      </c>
      <c r="I101">
        <v>8078833000</v>
      </c>
      <c r="J101">
        <v>151.1</v>
      </c>
      <c r="K101">
        <v>3.04</v>
      </c>
      <c r="L101" t="s">
        <v>1277</v>
      </c>
      <c r="M101" t="s">
        <v>1302</v>
      </c>
      <c r="N101" t="s">
        <v>3307</v>
      </c>
      <c r="O101" t="s">
        <v>421</v>
      </c>
      <c r="P101">
        <v>3.84</v>
      </c>
      <c r="Q101" t="s">
        <v>1144</v>
      </c>
      <c r="R101">
        <v>-25611101</v>
      </c>
      <c r="S101" s="5">
        <v>-0.44940000000000002</v>
      </c>
      <c r="T101" t="s">
        <v>3321</v>
      </c>
      <c r="U101">
        <v>121303799</v>
      </c>
      <c r="V101">
        <v>121303799</v>
      </c>
      <c r="W101">
        <v>1.1599999999999999</v>
      </c>
      <c r="X101">
        <v>0.04</v>
      </c>
      <c r="Y101">
        <v>-27.48</v>
      </c>
      <c r="Z101" t="s">
        <v>457</v>
      </c>
      <c r="AA101" t="s">
        <v>3308</v>
      </c>
      <c r="AB101" t="s">
        <v>3309</v>
      </c>
      <c r="AC101" t="s">
        <v>3310</v>
      </c>
      <c r="AD101" t="s">
        <v>63</v>
      </c>
      <c r="AE101">
        <v>-1311213</v>
      </c>
      <c r="AF101" t="s">
        <v>3311</v>
      </c>
      <c r="AG101" t="s">
        <v>3312</v>
      </c>
      <c r="AH101" t="s">
        <v>3313</v>
      </c>
      <c r="AI101" t="s">
        <v>630</v>
      </c>
      <c r="AJ101" t="s">
        <v>3314</v>
      </c>
      <c r="AK101" t="s">
        <v>3315</v>
      </c>
      <c r="AL101" t="s">
        <v>3316</v>
      </c>
      <c r="AM101" t="s">
        <v>63</v>
      </c>
      <c r="AN101" t="s">
        <v>230</v>
      </c>
      <c r="AO101" t="s">
        <v>1777</v>
      </c>
      <c r="AP101" t="s">
        <v>63</v>
      </c>
      <c r="AQ101" t="s">
        <v>3317</v>
      </c>
      <c r="AR101" t="s">
        <v>63</v>
      </c>
      <c r="AS101" t="s">
        <v>434</v>
      </c>
      <c r="AT101" t="s">
        <v>63</v>
      </c>
      <c r="AU101" t="s">
        <v>1156</v>
      </c>
      <c r="AV101" t="s">
        <v>3318</v>
      </c>
      <c r="AW101" t="s">
        <v>3319</v>
      </c>
      <c r="AX101" t="s">
        <v>449</v>
      </c>
      <c r="AY101" t="s">
        <v>1222</v>
      </c>
      <c r="AZ101" t="s">
        <v>309</v>
      </c>
      <c r="BA101" t="s">
        <v>552</v>
      </c>
      <c r="BB101" t="s">
        <v>234</v>
      </c>
      <c r="BC101" t="s">
        <v>3320</v>
      </c>
      <c r="BD101" t="s">
        <v>304</v>
      </c>
      <c r="BE101" t="s">
        <v>421</v>
      </c>
      <c r="BF101" t="s">
        <v>975</v>
      </c>
      <c r="BG101" t="s">
        <v>976</v>
      </c>
      <c r="BH101" t="s">
        <v>1144</v>
      </c>
      <c r="BI101" t="s">
        <v>505</v>
      </c>
      <c r="BJ101" t="s">
        <v>449</v>
      </c>
      <c r="BK101" t="s">
        <v>3321</v>
      </c>
      <c r="BL101" t="s">
        <v>4215</v>
      </c>
      <c r="BM101" t="s">
        <v>3320</v>
      </c>
      <c r="BN101" t="s">
        <v>63</v>
      </c>
      <c r="BO101" t="s">
        <v>63</v>
      </c>
      <c r="BP101">
        <v>10.75</v>
      </c>
      <c r="BQ101">
        <v>0.15</v>
      </c>
      <c r="BR101">
        <v>0.23</v>
      </c>
      <c r="BS101">
        <v>8.3000000000000007</v>
      </c>
      <c r="BT101" t="s">
        <v>2911</v>
      </c>
      <c r="BU101" t="s">
        <v>1848</v>
      </c>
      <c r="BV101">
        <v>93.67</v>
      </c>
      <c r="BW101">
        <v>98.38</v>
      </c>
      <c r="BX101">
        <v>97.87</v>
      </c>
      <c r="BY101">
        <v>7.22</v>
      </c>
      <c r="BZ101">
        <v>0.65</v>
      </c>
      <c r="CA101">
        <v>29.36</v>
      </c>
      <c r="CB101">
        <v>8.4700000000000006</v>
      </c>
      <c r="CC101">
        <v>-12.94</v>
      </c>
      <c r="CD101" t="s">
        <v>4216</v>
      </c>
      <c r="CE101" t="s">
        <v>4217</v>
      </c>
      <c r="CF101" s="9">
        <v>3.4482758620689787E-2</v>
      </c>
      <c r="CG101" s="10">
        <v>-0.44943609682111185</v>
      </c>
      <c r="CH101" s="9">
        <v>0.37770381569862366</v>
      </c>
      <c r="CI101" s="9">
        <v>-2.907915972173214E-2</v>
      </c>
      <c r="CJ101" s="9">
        <v>0.35745614767074585</v>
      </c>
      <c r="CK101" s="9">
        <v>0.26315790414810181</v>
      </c>
      <c r="CL101" s="9">
        <v>0.41568627953529358</v>
      </c>
      <c r="CM101" s="10">
        <v>9.2284336090087891</v>
      </c>
      <c r="CN101" s="10">
        <v>-0.96701371669769287</v>
      </c>
      <c r="CO101" s="10">
        <v>0.51666665077209473</v>
      </c>
      <c r="CP101" s="10">
        <v>0.34720355272293091</v>
      </c>
      <c r="CQ101" s="10">
        <v>1.0022433996200562</v>
      </c>
      <c r="CR101">
        <v>96.373518028208835</v>
      </c>
      <c r="CS101">
        <v>3.479376822203768</v>
      </c>
      <c r="CT101">
        <v>0.67567567567567577</v>
      </c>
      <c r="CU101" s="9">
        <v>0.27698499746620653</v>
      </c>
      <c r="CV101" s="10">
        <v>2.0255066990852355</v>
      </c>
      <c r="CW101">
        <v>0.06</v>
      </c>
      <c r="CX101">
        <v>80.374658379318333</v>
      </c>
      <c r="CY101">
        <v>73976463.724914029</v>
      </c>
      <c r="CZ101">
        <v>0.27698499746620653</v>
      </c>
      <c r="DA101">
        <v>22.498354958256726</v>
      </c>
      <c r="DB101">
        <v>264278566.63439849</v>
      </c>
      <c r="DC101">
        <v>0.26313574759289621</v>
      </c>
      <c r="DD101">
        <v>8.8878543454508385</v>
      </c>
      <c r="DE101">
        <v>668984072.97182095</v>
      </c>
      <c r="DF101">
        <v>0.24374679777026176</v>
      </c>
      <c r="DG101">
        <v>4.0890641165840487</v>
      </c>
      <c r="DH101">
        <v>1454081626.1318672</v>
      </c>
      <c r="DI101">
        <v>0.22158799797296524</v>
      </c>
      <c r="DJ101">
        <v>1.108766699569665</v>
      </c>
      <c r="DK101">
        <v>5362564552.4055681</v>
      </c>
      <c r="DL101">
        <v>0.19388949822634455</v>
      </c>
      <c r="DM101">
        <v>61406400</v>
      </c>
      <c r="DN101">
        <v>0.27698499746620653</v>
      </c>
      <c r="DO101">
        <v>5945833000</v>
      </c>
      <c r="DP101">
        <v>1900568000</v>
      </c>
      <c r="DQ101">
        <v>4608</v>
      </c>
      <c r="DR101">
        <v>-0.24250223884551675</v>
      </c>
      <c r="DS101">
        <v>-2.4749427959063475</v>
      </c>
      <c r="DT101" s="11">
        <v>7.6666666666666591E-2</v>
      </c>
      <c r="DU101">
        <v>-0.22833333333333336</v>
      </c>
      <c r="DV101">
        <v>-0.15166666666666678</v>
      </c>
      <c r="DW101">
        <v>7.3956095282578236</v>
      </c>
      <c r="DX101">
        <v>0.63312693842573853</v>
      </c>
      <c r="DY101">
        <v>7.0407979994612804</v>
      </c>
      <c r="DZ101">
        <v>2155</v>
      </c>
      <c r="EA101">
        <v>7.0235858442461163</v>
      </c>
      <c r="EB101">
        <v>7</v>
      </c>
      <c r="EC101">
        <v>2.3710716595116695E-2</v>
      </c>
      <c r="ED101">
        <v>0.22991777858498888</v>
      </c>
      <c r="EE101" s="12">
        <v>-1.0241100000000001</v>
      </c>
      <c r="EF101">
        <v>-1.0541</v>
      </c>
      <c r="EG101">
        <v>53.103126938425739</v>
      </c>
      <c r="EH101" t="s">
        <v>1284</v>
      </c>
      <c r="EI101">
        <v>1</v>
      </c>
      <c r="EJ101">
        <v>0</v>
      </c>
      <c r="EK101" s="14">
        <v>45504</v>
      </c>
      <c r="EL101" s="15">
        <v>-4.1100000000000003</v>
      </c>
      <c r="EM101" s="15">
        <v>1.55</v>
      </c>
      <c r="EN101" s="15">
        <v>1.92</v>
      </c>
      <c r="EO101" s="15">
        <v>-2.0299999999999998</v>
      </c>
      <c r="EP101" s="15">
        <v>7.82</v>
      </c>
    </row>
    <row r="102" spans="1:146" ht="216" x14ac:dyDescent="0.25">
      <c r="A102" s="7"/>
      <c r="B102" s="7"/>
      <c r="C102" s="7" t="str">
        <f>"公司主营业务为向各行各业的机构及个人提供PDF电子文档软件产品及服务，公司的产品及服务主要包括PDF编辑器与阅读器产品、开发平台与工具以及基于企业内部服务器及云端的PDF相关独立产品，产品适用于桌面电脑、平板电脑、企业级服务器、智能手机及嵌入式设备等应用终端。"&amp;CHAR(10)&amp;Basic_Fundamental_Information_Constructure(F102)&amp;CHAR(10)&amp;Basic_Fundamental_Information_Concatenate("（海外占比90%）
PDF编辑器与阅读器 4.80亿 82.74% 84.61% 97.48%
PDF工具及在线服务 3709.25万 6.40% 4.70% 70.05%
开发平台与工具 3294.94万 5.68% 5.90% 98.90%
企业文档自动化解决方案 3004.07万 5.18% 4.79% 88.17%")</f>
        <v>公司主营业务为向各行各业的机构及个人提供PDF电子文档软件产品及服务，公司的产品及服务主要包括PDF编辑器与阅读器产品、开发平台与工具以及基于企业内部服务器及云端的PDF相关独立产品，产品适用于桌面电脑、平板电脑、企业级服务器、智能手机及嵌入式设备等应用终端。
市值38.51709亿, 利润-9094.10万; PE; 平均PE127.56; 平均PEG7.39, PB1.51; ROIC1.37%; ROE-.28%; 股利率.9501%; 毛利95.5633%; 净利-2.27%; 上一年度营收增5.34%, 利润增-5114.81%; 当季营收增17.36%, 利润增6.47%; 过往5年营收增17.26%, 利润增-1026.13%
Income profile:
（海外占比90%）
PDF编辑器与阅读器 4.80亿 82.74% 84.61% 97.48%
PDF工具及在线服务 3709.25万 6.40% 4.70% 70.05%
开发平台与工具 3294.94万 5.68% 5.90% 98.90%
企业文档自动化解决方案 3004.07万 5.18% 4.79% 88.17%</v>
      </c>
      <c r="D102" t="s">
        <v>641</v>
      </c>
      <c r="E102" t="s">
        <v>642</v>
      </c>
      <c r="F102">
        <v>42.1</v>
      </c>
      <c r="G102">
        <v>6.85</v>
      </c>
      <c r="H102" t="s">
        <v>4218</v>
      </c>
      <c r="I102">
        <v>3851709000</v>
      </c>
      <c r="K102">
        <v>1.51</v>
      </c>
      <c r="L102" t="s">
        <v>1277</v>
      </c>
      <c r="M102" t="s">
        <v>1729</v>
      </c>
      <c r="N102" t="s">
        <v>3322</v>
      </c>
      <c r="O102" t="s">
        <v>278</v>
      </c>
      <c r="P102">
        <v>16.87</v>
      </c>
      <c r="Q102" t="s">
        <v>807</v>
      </c>
      <c r="R102">
        <v>-10608961</v>
      </c>
      <c r="S102" s="5">
        <v>6.4699999999999994E-2</v>
      </c>
      <c r="T102" t="s">
        <v>3335</v>
      </c>
      <c r="U102">
        <v>91489524</v>
      </c>
      <c r="V102">
        <v>91489524</v>
      </c>
      <c r="W102">
        <v>1.1599999999999999</v>
      </c>
      <c r="X102">
        <v>0.06</v>
      </c>
      <c r="Y102">
        <v>-6.35</v>
      </c>
      <c r="Z102" t="s">
        <v>794</v>
      </c>
      <c r="AA102" t="s">
        <v>3323</v>
      </c>
      <c r="AB102" t="s">
        <v>3324</v>
      </c>
      <c r="AC102" t="s">
        <v>3325</v>
      </c>
      <c r="AD102" t="s">
        <v>63</v>
      </c>
      <c r="AE102">
        <v>-1979157</v>
      </c>
      <c r="AF102" t="s">
        <v>3326</v>
      </c>
      <c r="AG102" t="s">
        <v>3327</v>
      </c>
      <c r="AH102" t="s">
        <v>3328</v>
      </c>
      <c r="AI102" t="s">
        <v>847</v>
      </c>
      <c r="AJ102" t="s">
        <v>3329</v>
      </c>
      <c r="AK102" t="s">
        <v>63</v>
      </c>
      <c r="AL102" t="s">
        <v>3330</v>
      </c>
      <c r="AM102" t="s">
        <v>63</v>
      </c>
      <c r="AN102">
        <v>0</v>
      </c>
      <c r="AO102" t="s">
        <v>63</v>
      </c>
      <c r="AP102" t="s">
        <v>63</v>
      </c>
      <c r="AQ102" t="s">
        <v>3331</v>
      </c>
      <c r="AR102">
        <v>8920</v>
      </c>
      <c r="AS102" t="s">
        <v>558</v>
      </c>
      <c r="AT102" t="s">
        <v>63</v>
      </c>
      <c r="AU102" t="s">
        <v>3332</v>
      </c>
      <c r="AV102" t="s">
        <v>3333</v>
      </c>
      <c r="AW102" t="s">
        <v>3334</v>
      </c>
      <c r="AX102" t="s">
        <v>279</v>
      </c>
      <c r="AY102" t="s">
        <v>1165</v>
      </c>
      <c r="AZ102" t="s">
        <v>840</v>
      </c>
      <c r="BA102" t="s">
        <v>498</v>
      </c>
      <c r="BB102" t="s">
        <v>454</v>
      </c>
      <c r="BC102" t="s">
        <v>1549</v>
      </c>
      <c r="BD102" t="s">
        <v>1245</v>
      </c>
      <c r="BE102" t="s">
        <v>199</v>
      </c>
      <c r="BF102" t="s">
        <v>643</v>
      </c>
      <c r="BG102" t="s">
        <v>977</v>
      </c>
      <c r="BH102" t="s">
        <v>807</v>
      </c>
      <c r="BI102" t="s">
        <v>319</v>
      </c>
      <c r="BJ102" t="s">
        <v>279</v>
      </c>
      <c r="BK102" t="s">
        <v>3335</v>
      </c>
      <c r="BL102" t="s">
        <v>4219</v>
      </c>
      <c r="BM102" t="s">
        <v>1549</v>
      </c>
      <c r="BN102" t="s">
        <v>63</v>
      </c>
      <c r="BO102" t="s">
        <v>63</v>
      </c>
      <c r="BP102">
        <v>1.37</v>
      </c>
      <c r="BQ102">
        <v>-2.3199999999999998</v>
      </c>
      <c r="BR102">
        <v>-0.06</v>
      </c>
      <c r="BS102">
        <v>1.54</v>
      </c>
      <c r="BT102" t="s">
        <v>1514</v>
      </c>
      <c r="BU102" t="s">
        <v>1830</v>
      </c>
      <c r="BV102">
        <v>94.79</v>
      </c>
      <c r="BW102">
        <v>95.33</v>
      </c>
      <c r="BX102">
        <v>96.57</v>
      </c>
      <c r="BY102">
        <v>-14.93</v>
      </c>
      <c r="BZ102">
        <v>-0.37</v>
      </c>
      <c r="CA102">
        <v>8.49</v>
      </c>
      <c r="CB102">
        <v>8.09</v>
      </c>
      <c r="CC102">
        <v>-12.78</v>
      </c>
      <c r="CD102" t="s">
        <v>4220</v>
      </c>
      <c r="CE102" t="s">
        <v>4221</v>
      </c>
      <c r="CF102" s="9">
        <v>0.1736111111111111</v>
      </c>
      <c r="CG102" s="10">
        <v>6.4679967555939549E-2</v>
      </c>
      <c r="CH102" s="9">
        <v>5.3448274731636047E-2</v>
      </c>
      <c r="CI102" s="9">
        <v>7.2088725864887238E-2</v>
      </c>
      <c r="CJ102" s="9">
        <v>0.15351812541484833</v>
      </c>
      <c r="CK102" s="9">
        <v>0.27100270986557007</v>
      </c>
      <c r="CL102" s="9">
        <v>0.3131672739982605</v>
      </c>
      <c r="CM102" s="10">
        <v>-51.148059844970703</v>
      </c>
      <c r="CN102" s="10">
        <v>-1.0377178192138672</v>
      </c>
      <c r="CO102" s="10">
        <v>-0.59795302152633667</v>
      </c>
      <c r="CP102" s="10">
        <v>0.55120956897735596</v>
      </c>
      <c r="CQ102" s="10">
        <v>0.92621290683746338</v>
      </c>
      <c r="CR102">
        <v>127.55833618510381</v>
      </c>
      <c r="CS102">
        <v>7.3884746125807856</v>
      </c>
      <c r="CT102">
        <v>0.95011876484560565</v>
      </c>
      <c r="CU102" s="9">
        <v>0.17264502197504045</v>
      </c>
      <c r="CV102" s="10">
        <v>-10.261261641979218</v>
      </c>
      <c r="CW102">
        <v>0.06</v>
      </c>
      <c r="CX102" t="e">
        <v>#VALUE!</v>
      </c>
      <c r="CY102" t="s">
        <v>1282</v>
      </c>
      <c r="CZ102">
        <v>0.17264502197504045</v>
      </c>
      <c r="DA102" t="e">
        <v>#VALUE!</v>
      </c>
      <c r="DB102" t="s">
        <v>1283</v>
      </c>
      <c r="DC102">
        <v>0.16401277087628841</v>
      </c>
      <c r="DD102" t="e">
        <v>#VALUE!</v>
      </c>
      <c r="DE102" t="s">
        <v>1283</v>
      </c>
      <c r="DF102">
        <v>0.15192761933803559</v>
      </c>
      <c r="DG102" t="e">
        <v>#VALUE!</v>
      </c>
      <c r="DH102" t="s">
        <v>1283</v>
      </c>
      <c r="DI102">
        <v>0.13811601758003236</v>
      </c>
      <c r="DJ102" t="e">
        <v>#VALUE!</v>
      </c>
      <c r="DK102" t="s">
        <v>1283</v>
      </c>
      <c r="DL102">
        <v>0.12085151538252831</v>
      </c>
      <c r="DM102">
        <v>-90941000</v>
      </c>
      <c r="DN102">
        <v>0.17264502197504045</v>
      </c>
      <c r="DO102">
        <v>1744709000</v>
      </c>
      <c r="DP102">
        <v>2009587100</v>
      </c>
      <c r="DQ102">
        <v>4618</v>
      </c>
      <c r="DR102">
        <v>9.6608913607065805E-4</v>
      </c>
      <c r="DS102">
        <v>10.325941609535157</v>
      </c>
      <c r="DT102" s="11">
        <v>-9.000000000000008E-2</v>
      </c>
      <c r="DU102">
        <v>-2.1816666666666671</v>
      </c>
      <c r="DV102">
        <v>-2.2716666666666674</v>
      </c>
      <c r="DW102">
        <v>7.3876377575467176</v>
      </c>
      <c r="DX102">
        <v>0.54765039816054006</v>
      </c>
      <c r="DY102">
        <v>7.0494821140928963</v>
      </c>
      <c r="DZ102">
        <v>4542</v>
      </c>
      <c r="EA102">
        <v>7.0054829437307324</v>
      </c>
      <c r="EB102">
        <v>7</v>
      </c>
      <c r="EC102">
        <v>5.3702323339227344E-2</v>
      </c>
      <c r="ED102">
        <v>0.4206984397470469</v>
      </c>
      <c r="EE102" s="12">
        <v>3.02481</v>
      </c>
      <c r="EF102">
        <v>3.0436999999999999</v>
      </c>
      <c r="EG102">
        <v>42.12765039816054</v>
      </c>
      <c r="EH102" t="s">
        <v>1451</v>
      </c>
      <c r="EI102">
        <v>1</v>
      </c>
      <c r="EJ102">
        <v>0</v>
      </c>
      <c r="EK102" s="14">
        <v>45504</v>
      </c>
      <c r="EL102" s="15">
        <v>-2.31</v>
      </c>
      <c r="EM102" s="15">
        <v>0.08</v>
      </c>
      <c r="EN102" s="15">
        <v>1.36</v>
      </c>
      <c r="EO102" s="15">
        <v>-1.65</v>
      </c>
      <c r="EP102" s="15">
        <v>6.85</v>
      </c>
    </row>
    <row r="103" spans="1:146" ht="96" hidden="1" x14ac:dyDescent="0.25">
      <c r="A103" s="7"/>
      <c r="B103" s="7"/>
      <c r="C103" s="7" t="str">
        <f>""&amp;CHAR(10)&amp;Basic_Fundamental_Information_Constructure(F103)&amp;CHAR(10)&amp;Basic_Fundamental_Information_Concatenate("")</f>
        <v xml:space="preserve">
市值23.337321亿, 利润1242.93万; PE142.2; 平均PE56.72; 平均PEG3.61, PB3.04; ROIC9.78%; ROE.05%; 股利率1.0135%; 毛利75.7067%; 净利1.0533%; 上一年度营收增.23%, 利润增122.19%; 当季营收增-1.02%, 利润增29.04%; 过往5年营收增15.71%, 利润增-7.69%
Income profile:
</v>
      </c>
      <c r="D103" t="s">
        <v>978</v>
      </c>
      <c r="E103" t="s">
        <v>1342</v>
      </c>
      <c r="F103">
        <v>29.6</v>
      </c>
      <c r="G103">
        <v>-7.0000000000000007E-2</v>
      </c>
      <c r="H103" t="s">
        <v>4222</v>
      </c>
      <c r="I103">
        <v>2333732100</v>
      </c>
      <c r="J103">
        <v>142.19999999999999</v>
      </c>
      <c r="K103">
        <v>3.04</v>
      </c>
      <c r="L103" t="s">
        <v>1277</v>
      </c>
      <c r="M103" t="s">
        <v>483</v>
      </c>
      <c r="N103" t="s">
        <v>3336</v>
      </c>
      <c r="O103" t="s">
        <v>3337</v>
      </c>
      <c r="P103">
        <v>-1.02</v>
      </c>
      <c r="Q103" t="s">
        <v>467</v>
      </c>
      <c r="R103">
        <v>-9740343</v>
      </c>
      <c r="S103" s="5">
        <v>0.29039999999999999</v>
      </c>
      <c r="T103" t="s">
        <v>3353</v>
      </c>
      <c r="U103">
        <v>78842300</v>
      </c>
      <c r="V103">
        <v>78842300</v>
      </c>
      <c r="W103">
        <v>1.0900000000000001</v>
      </c>
      <c r="X103">
        <v>7.0000000000000007E-2</v>
      </c>
      <c r="Y103">
        <v>-16.57</v>
      </c>
      <c r="Z103" t="s">
        <v>3338</v>
      </c>
      <c r="AA103" t="s">
        <v>3339</v>
      </c>
      <c r="AB103" t="s">
        <v>3340</v>
      </c>
      <c r="AC103" t="s">
        <v>3341</v>
      </c>
      <c r="AD103" t="s">
        <v>63</v>
      </c>
      <c r="AE103">
        <v>-1606311</v>
      </c>
      <c r="AF103" t="s">
        <v>3342</v>
      </c>
      <c r="AG103">
        <v>4383.6000000000004</v>
      </c>
      <c r="AH103" t="s">
        <v>3343</v>
      </c>
      <c r="AI103" t="s">
        <v>368</v>
      </c>
      <c r="AJ103" t="s">
        <v>3344</v>
      </c>
      <c r="AK103" t="s">
        <v>3345</v>
      </c>
      <c r="AL103" t="s">
        <v>3346</v>
      </c>
      <c r="AM103" t="s">
        <v>63</v>
      </c>
      <c r="AN103">
        <v>0</v>
      </c>
      <c r="AO103" t="s">
        <v>63</v>
      </c>
      <c r="AP103" t="s">
        <v>3347</v>
      </c>
      <c r="AQ103" t="s">
        <v>3348</v>
      </c>
      <c r="AR103" t="s">
        <v>63</v>
      </c>
      <c r="AS103" t="s">
        <v>3349</v>
      </c>
      <c r="AT103" t="s">
        <v>63</v>
      </c>
      <c r="AU103" t="s">
        <v>3350</v>
      </c>
      <c r="AV103" t="s">
        <v>3351</v>
      </c>
      <c r="AW103" t="s">
        <v>3352</v>
      </c>
      <c r="AX103" t="s">
        <v>393</v>
      </c>
      <c r="AY103" t="s">
        <v>514</v>
      </c>
      <c r="AZ103" t="s">
        <v>558</v>
      </c>
      <c r="BA103" t="s">
        <v>618</v>
      </c>
      <c r="BB103" t="s">
        <v>372</v>
      </c>
      <c r="BC103" t="s">
        <v>1550</v>
      </c>
      <c r="BD103" t="s">
        <v>1246</v>
      </c>
      <c r="BE103" t="s">
        <v>979</v>
      </c>
      <c r="BF103" t="s">
        <v>980</v>
      </c>
      <c r="BG103" t="s">
        <v>981</v>
      </c>
      <c r="BH103" t="s">
        <v>467</v>
      </c>
      <c r="BI103" t="s">
        <v>4223</v>
      </c>
      <c r="BJ103" t="s">
        <v>393</v>
      </c>
      <c r="BK103" t="s">
        <v>3353</v>
      </c>
      <c r="BL103" t="s">
        <v>4224</v>
      </c>
      <c r="BM103" t="s">
        <v>1550</v>
      </c>
      <c r="BN103" t="s">
        <v>63</v>
      </c>
      <c r="BO103" t="s">
        <v>63</v>
      </c>
      <c r="BP103">
        <v>9.7799999999999994</v>
      </c>
      <c r="BQ103">
        <v>-1.8</v>
      </c>
      <c r="BR103">
        <v>-6.49</v>
      </c>
      <c r="BS103">
        <v>8.44</v>
      </c>
      <c r="BT103" t="s">
        <v>3354</v>
      </c>
      <c r="BU103" t="s">
        <v>1848</v>
      </c>
      <c r="BV103">
        <v>76.400000000000006</v>
      </c>
      <c r="BW103">
        <v>73.03</v>
      </c>
      <c r="BX103">
        <v>77.69</v>
      </c>
      <c r="BY103">
        <v>2.85</v>
      </c>
      <c r="BZ103">
        <v>-12.87</v>
      </c>
      <c r="CA103">
        <v>13.18</v>
      </c>
      <c r="CB103">
        <v>4.41</v>
      </c>
      <c r="CC103">
        <v>12.68</v>
      </c>
      <c r="CD103" t="s">
        <v>4225</v>
      </c>
      <c r="CE103" t="s">
        <v>4226</v>
      </c>
      <c r="CF103" s="9">
        <v>-1.019410038537235E-2</v>
      </c>
      <c r="CG103" s="10">
        <v>0.29038313590068621</v>
      </c>
      <c r="CH103" s="9">
        <v>2.2988505661487579E-3</v>
      </c>
      <c r="CI103" s="9">
        <v>-8.4210529923439026E-2</v>
      </c>
      <c r="CJ103" s="9">
        <v>0.25</v>
      </c>
      <c r="CK103" s="9">
        <v>0.34275618195533752</v>
      </c>
      <c r="CL103" s="9">
        <v>0.27477476000785828</v>
      </c>
      <c r="CM103" s="10">
        <v>1.2219089269638062</v>
      </c>
      <c r="CN103" s="10">
        <v>-1.893606424331665</v>
      </c>
      <c r="CO103" s="10">
        <v>-0.35807088017463684</v>
      </c>
      <c r="CP103" s="10">
        <v>0.31426861882209778</v>
      </c>
      <c r="CQ103" s="10">
        <v>0.33085107803344727</v>
      </c>
      <c r="CR103">
        <v>56.722228478605196</v>
      </c>
      <c r="CS103">
        <v>3.6100329497049946</v>
      </c>
      <c r="CT103">
        <v>1.0135135135135134</v>
      </c>
      <c r="CU103" s="9">
        <v>0.15712385252118111</v>
      </c>
      <c r="CV103" s="10">
        <v>-7.6929736137390139E-2</v>
      </c>
      <c r="CW103">
        <v>0.06</v>
      </c>
      <c r="CX103">
        <v>125.12627299679531</v>
      </c>
      <c r="CY103">
        <v>13568150.471831618</v>
      </c>
      <c r="CZ103">
        <v>0.15712385252118111</v>
      </c>
      <c r="DA103">
        <v>38.647791406994372</v>
      </c>
      <c r="DB103">
        <v>43928308.402449854</v>
      </c>
      <c r="DC103">
        <v>0.14926765989512206</v>
      </c>
      <c r="DD103">
        <v>17.61064729065593</v>
      </c>
      <c r="DE103">
        <v>96403730.764672309</v>
      </c>
      <c r="DF103">
        <v>0.13826899021863936</v>
      </c>
      <c r="DG103">
        <v>9.6677016174515416</v>
      </c>
      <c r="DH103">
        <v>175608657.27748135</v>
      </c>
      <c r="DI103">
        <v>0.12569908201694488</v>
      </c>
      <c r="DJ103">
        <v>4.0648484134703571</v>
      </c>
      <c r="DK103">
        <v>417661847.94836283</v>
      </c>
      <c r="DL103">
        <v>0.10998669676482677</v>
      </c>
      <c r="DM103">
        <v>12429300</v>
      </c>
      <c r="DN103">
        <v>0.15712385252118111</v>
      </c>
      <c r="DO103">
        <v>1697732100</v>
      </c>
      <c r="DP103">
        <v>744987070</v>
      </c>
      <c r="DQ103">
        <v>4631</v>
      </c>
      <c r="DR103">
        <v>-0.16731795290655346</v>
      </c>
      <c r="DS103">
        <v>0.36731287203807633</v>
      </c>
      <c r="DT103" s="11">
        <v>-9.000000000000008E-2</v>
      </c>
      <c r="DU103">
        <v>-0.7583333333333333</v>
      </c>
      <c r="DV103">
        <v>-0.84833333333333338</v>
      </c>
      <c r="DW103">
        <v>8.3477917981072558</v>
      </c>
      <c r="DX103">
        <v>0.67959330533608031</v>
      </c>
      <c r="DY103">
        <v>8.093762340420513</v>
      </c>
      <c r="DZ103">
        <v>3465</v>
      </c>
      <c r="EA103">
        <v>8.0301588733968092</v>
      </c>
      <c r="EB103">
        <v>8</v>
      </c>
      <c r="EC103">
        <v>7.7595402467964536E-2</v>
      </c>
      <c r="ED103">
        <v>0.28782392193023287</v>
      </c>
      <c r="EE103" s="12">
        <v>2.0074000000000001</v>
      </c>
      <c r="EF103">
        <v>2.0066999999999999</v>
      </c>
      <c r="EG103">
        <v>41.26959330533608</v>
      </c>
      <c r="EH103" t="s">
        <v>1439</v>
      </c>
      <c r="EI103">
        <v>0</v>
      </c>
      <c r="EJ103">
        <v>0</v>
      </c>
      <c r="EK103" s="14">
        <v>45504</v>
      </c>
      <c r="EL103" s="15">
        <v>-0.53</v>
      </c>
      <c r="EM103" s="15">
        <v>0.46</v>
      </c>
      <c r="EN103" s="15">
        <v>1.69</v>
      </c>
      <c r="EO103" s="15">
        <v>0.73</v>
      </c>
      <c r="EP103" s="15">
        <v>-7.0000000000000007E-2</v>
      </c>
    </row>
    <row r="104" spans="1:146" ht="204" x14ac:dyDescent="0.25">
      <c r="A104" s="7"/>
      <c r="B104" s="7"/>
      <c r="C104" s="7" t="str">
        <f>"公司是国内领先的办公软件和服务提供商，主要从事WPSOffice办公软件产品及服务的设计研发及销售推广。公司主要产品包括WPS Office办公软件、金山文档等办公能力产品矩阵以及金山数字办公平台解决方案。"&amp;CHAR(10)&amp;Basic_Fundamental_Information_Constructure(F104)&amp;CHAR(10)&amp;Basic_Fundamental_Information_Concatenate("国内个人办公服务订阅业务 20.50亿 52.77% 50.13% 80.75%
国内机构授权业务 8.36亿 21.51% 23.64% 93.43%
国内机构订阅及服务业务 6.92亿 17.81% 19.57% 93.39%
互联网广告推广服务及其他业务 3.06亿 7.89% 6.65% 71.62%")</f>
        <v>公司是国内领先的办公软件和服务提供商，主要从事WPSOffice办公软件产品及服务的设计研发及销售推广。公司主要产品包括WPS Office办公软件、金山文档等办公能力产品矩阵以及金山数字办公平台解决方案。
市值974.26401亿, 利润13.18亿; PE68.73; 平均PE115.37; 平均PEG3.52, PB9.41; ROIC12.11%; ROE12.6%; 股利率.4176%; 毛利85.7367%; 净利30.1833%; 上一年度营收增17.27%, 利润增17.89%; 当季营收增16.56%, 利润增37.46%; 过往5年营收增32.74%, 利润增38.35%
Income profile:
国内个人办公服务订阅业务 20.50亿 52.77% 50.13% 80.75%
国内机构授权业务 8.36亿 21.51% 23.64% 93.43%
国内机构订阅及服务业务 6.92亿 17.81% 19.57% 93.39%
互联网广告推广服务及其他业务 3.06亿 7.89% 6.65% 71.62%</v>
      </c>
      <c r="D104" t="s">
        <v>75</v>
      </c>
      <c r="E104" t="s">
        <v>76</v>
      </c>
      <c r="F104">
        <v>210.64</v>
      </c>
      <c r="G104">
        <v>8.73</v>
      </c>
      <c r="H104" t="s">
        <v>4227</v>
      </c>
      <c r="I104">
        <v>97426401000</v>
      </c>
      <c r="J104">
        <v>68.73</v>
      </c>
      <c r="K104">
        <v>9.41</v>
      </c>
      <c r="L104" t="s">
        <v>1277</v>
      </c>
      <c r="M104" t="s">
        <v>3355</v>
      </c>
      <c r="N104" t="s">
        <v>3356</v>
      </c>
      <c r="O104" t="s">
        <v>3357</v>
      </c>
      <c r="P104">
        <v>16.54</v>
      </c>
      <c r="Q104" t="s">
        <v>3368</v>
      </c>
      <c r="R104">
        <v>367017200</v>
      </c>
      <c r="S104" s="5">
        <v>0.37309999999999999</v>
      </c>
      <c r="T104" t="s">
        <v>2098</v>
      </c>
      <c r="U104">
        <v>462057980</v>
      </c>
      <c r="V104">
        <v>462525640</v>
      </c>
      <c r="W104">
        <v>1.35</v>
      </c>
      <c r="X104">
        <v>0.09</v>
      </c>
      <c r="Y104">
        <v>29.82</v>
      </c>
      <c r="Z104" t="s">
        <v>1509</v>
      </c>
      <c r="AA104" t="s">
        <v>270</v>
      </c>
      <c r="AB104" t="s">
        <v>352</v>
      </c>
      <c r="AC104" t="s">
        <v>305</v>
      </c>
      <c r="AD104" t="s">
        <v>63</v>
      </c>
      <c r="AE104">
        <v>-13583416</v>
      </c>
      <c r="AF104" t="s">
        <v>3358</v>
      </c>
      <c r="AG104" t="s">
        <v>3359</v>
      </c>
      <c r="AH104" t="s">
        <v>3360</v>
      </c>
      <c r="AI104" t="s">
        <v>3361</v>
      </c>
      <c r="AJ104" t="s">
        <v>3362</v>
      </c>
      <c r="AK104" t="s">
        <v>3363</v>
      </c>
      <c r="AL104" t="s">
        <v>3364</v>
      </c>
      <c r="AM104" t="s">
        <v>63</v>
      </c>
      <c r="AN104" t="s">
        <v>337</v>
      </c>
      <c r="AO104" t="s">
        <v>63</v>
      </c>
      <c r="AP104" t="s">
        <v>63</v>
      </c>
      <c r="AQ104" t="s">
        <v>580</v>
      </c>
      <c r="AR104" t="s">
        <v>63</v>
      </c>
      <c r="AS104" t="s">
        <v>3365</v>
      </c>
      <c r="AT104" t="s">
        <v>63</v>
      </c>
      <c r="AU104" t="s">
        <v>191</v>
      </c>
      <c r="AV104" t="s">
        <v>3366</v>
      </c>
      <c r="AW104" t="s">
        <v>3367</v>
      </c>
      <c r="AX104" t="s">
        <v>1551</v>
      </c>
      <c r="AY104" t="s">
        <v>1247</v>
      </c>
      <c r="AZ104" t="s">
        <v>982</v>
      </c>
      <c r="BA104" t="s">
        <v>283</v>
      </c>
      <c r="BB104" t="s">
        <v>983</v>
      </c>
      <c r="BC104" t="s">
        <v>193</v>
      </c>
      <c r="BD104" t="s">
        <v>1248</v>
      </c>
      <c r="BE104" t="s">
        <v>772</v>
      </c>
      <c r="BF104" t="s">
        <v>233</v>
      </c>
      <c r="BG104" t="s">
        <v>800</v>
      </c>
      <c r="BH104" t="s">
        <v>3368</v>
      </c>
      <c r="BI104" t="s">
        <v>4228</v>
      </c>
      <c r="BJ104" t="s">
        <v>1551</v>
      </c>
      <c r="BK104" t="s">
        <v>2098</v>
      </c>
      <c r="BL104" t="s">
        <v>412</v>
      </c>
      <c r="BM104" t="s">
        <v>193</v>
      </c>
      <c r="BN104">
        <v>8.75</v>
      </c>
      <c r="BO104">
        <v>13.33</v>
      </c>
      <c r="BP104">
        <v>14.25</v>
      </c>
      <c r="BQ104">
        <v>9.82</v>
      </c>
      <c r="BR104">
        <v>13.64</v>
      </c>
      <c r="BS104">
        <v>14.34</v>
      </c>
      <c r="BT104" t="s">
        <v>3369</v>
      </c>
      <c r="BU104" t="s">
        <v>1830</v>
      </c>
      <c r="BV104">
        <v>85.3</v>
      </c>
      <c r="BW104">
        <v>85</v>
      </c>
      <c r="BX104">
        <v>86.91</v>
      </c>
      <c r="BY104">
        <v>28.85</v>
      </c>
      <c r="BZ104">
        <v>29.11</v>
      </c>
      <c r="CA104">
        <v>32.590000000000003</v>
      </c>
      <c r="CB104">
        <v>8.19</v>
      </c>
      <c r="CC104">
        <v>-14.26</v>
      </c>
      <c r="CD104" t="s">
        <v>4229</v>
      </c>
      <c r="CE104" t="s">
        <v>386</v>
      </c>
      <c r="CF104" s="9">
        <v>0.16555661274976213</v>
      </c>
      <c r="CG104" s="10">
        <v>0.37459625468164792</v>
      </c>
      <c r="CH104" s="9">
        <v>0.17271566390991211</v>
      </c>
      <c r="CI104" s="9">
        <v>0.18445119261741638</v>
      </c>
      <c r="CJ104" s="9">
        <v>0.45068559050559998</v>
      </c>
      <c r="CK104" s="9">
        <v>0.43101263046264648</v>
      </c>
      <c r="CL104" s="9">
        <v>0.39823007583618164</v>
      </c>
      <c r="CM104" s="10">
        <v>0.1788908839225769</v>
      </c>
      <c r="CN104" s="10">
        <v>7.3967337608337402E-2</v>
      </c>
      <c r="CO104" s="10">
        <v>0.18564920127391815</v>
      </c>
      <c r="CP104" s="10">
        <v>1.1895262002944946</v>
      </c>
      <c r="CQ104" s="10">
        <v>0.28938907384872437</v>
      </c>
      <c r="CR104">
        <v>115.36577975133216</v>
      </c>
      <c r="CS104">
        <v>3.5234903578006418</v>
      </c>
      <c r="CT104">
        <v>0.41757026205848846</v>
      </c>
      <c r="CU104" s="9">
        <v>0.32741903066635131</v>
      </c>
      <c r="CV104" s="10">
        <v>0.3834845393896103</v>
      </c>
      <c r="CW104">
        <v>0.06</v>
      </c>
      <c r="CX104">
        <v>55.119036850515975</v>
      </c>
      <c r="CY104">
        <v>1650507813.6021235</v>
      </c>
      <c r="CZ104">
        <v>0.32741903066635131</v>
      </c>
      <c r="DA104">
        <v>14.816338644739625</v>
      </c>
      <c r="DB104">
        <v>6140140501.7358618</v>
      </c>
      <c r="DC104">
        <v>0.31104807913303373</v>
      </c>
      <c r="DD104">
        <v>5.5052609373906254</v>
      </c>
      <c r="DE104">
        <v>16524993462.547825</v>
      </c>
      <c r="DF104">
        <v>0.28812874698638913</v>
      </c>
      <c r="DG104">
        <v>2.3406618415000167</v>
      </c>
      <c r="DH104">
        <v>38866956083.540421</v>
      </c>
      <c r="DI104">
        <v>0.26193522453308105</v>
      </c>
      <c r="DJ104">
        <v>0.51825880723418605</v>
      </c>
      <c r="DK104">
        <v>175538552804.35458</v>
      </c>
      <c r="DL104">
        <v>0.22919332146644589</v>
      </c>
      <c r="DM104">
        <v>1318000000</v>
      </c>
      <c r="DN104">
        <v>0.32741903066635131</v>
      </c>
      <c r="DO104">
        <v>90974401000</v>
      </c>
      <c r="DP104">
        <v>7172424400</v>
      </c>
      <c r="DQ104">
        <v>4633</v>
      </c>
      <c r="DR104">
        <v>-0.16186241791658917</v>
      </c>
      <c r="DS104">
        <v>-8.8882847079623795E-3</v>
      </c>
      <c r="DT104" s="11">
        <v>0.22666666666666657</v>
      </c>
      <c r="DU104">
        <v>0.85333333333333339</v>
      </c>
      <c r="DV104">
        <v>1.08</v>
      </c>
      <c r="DW104">
        <v>7.3648106904231625</v>
      </c>
      <c r="DX104">
        <v>0.7637296875000027</v>
      </c>
      <c r="DY104">
        <v>7.0451379127227174</v>
      </c>
      <c r="DZ104">
        <v>195</v>
      </c>
      <c r="EA104">
        <v>7.0434147543474372</v>
      </c>
      <c r="EB104">
        <v>7</v>
      </c>
      <c r="EC104">
        <v>3.4241128772882733E-2</v>
      </c>
      <c r="ED104">
        <v>0.27674141481107944</v>
      </c>
      <c r="EE104" s="12">
        <v>1.0000000000000026E-4</v>
      </c>
      <c r="EF104">
        <v>8.7400000000000005E-2</v>
      </c>
      <c r="EG104">
        <v>64.123729687500003</v>
      </c>
      <c r="EH104" t="s">
        <v>1099</v>
      </c>
      <c r="EI104">
        <v>1</v>
      </c>
      <c r="EJ104">
        <v>1</v>
      </c>
      <c r="EK104" s="14">
        <v>45504</v>
      </c>
      <c r="EL104" s="15">
        <v>-3.24</v>
      </c>
      <c r="EM104" s="15">
        <v>0.56000000000000005</v>
      </c>
      <c r="EN104" s="15">
        <v>-0.19</v>
      </c>
      <c r="EO104" s="15">
        <v>-0.63</v>
      </c>
      <c r="EP104" s="15">
        <v>8.73</v>
      </c>
    </row>
    <row r="105" spans="1:146" ht="96" hidden="1" x14ac:dyDescent="0.25">
      <c r="A105" s="7"/>
      <c r="B105" s="7"/>
      <c r="C105" s="7" t="str">
        <f>""&amp;CHAR(10)&amp;Basic_Fundamental_Information_Constructure(F105)&amp;CHAR(10)&amp;Basic_Fundamental_Information_Concatenate("")</f>
        <v xml:space="preserve">
市值12.9866594亿, 利润-1566.44万; PE; 平均PE50.48; 平均PEG6.46, PB1.61; ROIC3.91%; ROE-.1367%; 股利率.7236%; 毛利50.0033%; 净利2%; 上一年度营收增13.18%, 利润增-1386.18%; 当季营收增-9.23%, 利润增-79.39%; 过往5年营收增7.81%, 利润增-298.25%
Income profile:
</v>
      </c>
      <c r="D105" t="s">
        <v>112</v>
      </c>
      <c r="E105" t="s">
        <v>113</v>
      </c>
      <c r="F105">
        <v>13.82</v>
      </c>
      <c r="G105">
        <v>5.9</v>
      </c>
      <c r="H105" t="s">
        <v>4230</v>
      </c>
      <c r="I105">
        <v>1298665940</v>
      </c>
      <c r="K105">
        <v>1.61</v>
      </c>
      <c r="L105" t="s">
        <v>1277</v>
      </c>
      <c r="M105" t="s">
        <v>259</v>
      </c>
      <c r="N105" t="s">
        <v>1329</v>
      </c>
      <c r="O105" t="s">
        <v>3370</v>
      </c>
      <c r="P105">
        <v>-9.23</v>
      </c>
      <c r="Q105" t="s">
        <v>1292</v>
      </c>
      <c r="R105">
        <v>-39284601</v>
      </c>
      <c r="S105" s="5">
        <v>-0.79390000000000005</v>
      </c>
      <c r="T105" t="s">
        <v>3383</v>
      </c>
      <c r="U105">
        <v>93970039</v>
      </c>
      <c r="V105">
        <v>93970039</v>
      </c>
      <c r="W105">
        <v>1.1499999999999999</v>
      </c>
      <c r="X105">
        <v>0.06</v>
      </c>
      <c r="Y105">
        <v>-64.790000000000006</v>
      </c>
      <c r="Z105" t="s">
        <v>228</v>
      </c>
      <c r="AA105" t="s">
        <v>3371</v>
      </c>
      <c r="AB105" t="s">
        <v>3372</v>
      </c>
      <c r="AC105" t="s">
        <v>3373</v>
      </c>
      <c r="AD105" t="s">
        <v>63</v>
      </c>
      <c r="AE105">
        <v>-977982</v>
      </c>
      <c r="AF105" t="s">
        <v>3374</v>
      </c>
      <c r="AG105">
        <v>2.79</v>
      </c>
      <c r="AH105" t="s">
        <v>3375</v>
      </c>
      <c r="AI105" t="s">
        <v>842</v>
      </c>
      <c r="AJ105" t="s">
        <v>3376</v>
      </c>
      <c r="AK105" t="s">
        <v>3377</v>
      </c>
      <c r="AL105" t="s">
        <v>3378</v>
      </c>
      <c r="AM105" t="s">
        <v>63</v>
      </c>
      <c r="AN105">
        <v>0</v>
      </c>
      <c r="AO105" t="s">
        <v>63</v>
      </c>
      <c r="AP105" t="s">
        <v>63</v>
      </c>
      <c r="AQ105" t="s">
        <v>3379</v>
      </c>
      <c r="AR105" t="s">
        <v>63</v>
      </c>
      <c r="AS105" t="s">
        <v>285</v>
      </c>
      <c r="AT105" t="s">
        <v>63</v>
      </c>
      <c r="AU105" t="s">
        <v>3380</v>
      </c>
      <c r="AV105" t="s">
        <v>3381</v>
      </c>
      <c r="AW105" t="s">
        <v>3382</v>
      </c>
      <c r="AX105" t="s">
        <v>369</v>
      </c>
      <c r="AY105" t="s">
        <v>467</v>
      </c>
      <c r="AZ105" t="s">
        <v>552</v>
      </c>
      <c r="BA105" t="s">
        <v>64</v>
      </c>
      <c r="BB105" t="s">
        <v>407</v>
      </c>
      <c r="BC105" t="s">
        <v>1552</v>
      </c>
      <c r="BD105" t="s">
        <v>1249</v>
      </c>
      <c r="BE105" t="s">
        <v>984</v>
      </c>
      <c r="BF105" t="s">
        <v>646</v>
      </c>
      <c r="BG105" t="s">
        <v>985</v>
      </c>
      <c r="BH105" t="s">
        <v>1292</v>
      </c>
      <c r="BI105" t="s">
        <v>4231</v>
      </c>
      <c r="BJ105" t="s">
        <v>369</v>
      </c>
      <c r="BK105" t="s">
        <v>3383</v>
      </c>
      <c r="BL105" t="s">
        <v>4232</v>
      </c>
      <c r="BM105" t="s">
        <v>1552</v>
      </c>
      <c r="BN105" t="s">
        <v>63</v>
      </c>
      <c r="BO105" t="s">
        <v>63</v>
      </c>
      <c r="BP105">
        <v>3.91</v>
      </c>
      <c r="BQ105">
        <v>-4.6399999999999997</v>
      </c>
      <c r="BR105">
        <v>0.14000000000000001</v>
      </c>
      <c r="BS105">
        <v>4.09</v>
      </c>
      <c r="BT105" t="s">
        <v>1410</v>
      </c>
      <c r="BU105" t="s">
        <v>1848</v>
      </c>
      <c r="BV105">
        <v>47.95</v>
      </c>
      <c r="BW105">
        <v>47.32</v>
      </c>
      <c r="BX105">
        <v>54.74</v>
      </c>
      <c r="BY105">
        <v>-3.26</v>
      </c>
      <c r="BZ105">
        <v>0.28999999999999998</v>
      </c>
      <c r="CA105">
        <v>8.9700000000000006</v>
      </c>
      <c r="CB105">
        <v>10.119999999999999</v>
      </c>
      <c r="CC105">
        <v>-14.37</v>
      </c>
      <c r="CD105" t="s">
        <v>4233</v>
      </c>
      <c r="CE105" t="s">
        <v>4234</v>
      </c>
      <c r="CF105" s="9">
        <v>-9.2260893387245746E-2</v>
      </c>
      <c r="CG105" s="10">
        <v>-0.79391569401063067</v>
      </c>
      <c r="CH105" s="9">
        <v>0.13176470994949341</v>
      </c>
      <c r="CI105" s="9">
        <v>-2.5229357182979584E-2</v>
      </c>
      <c r="CJ105" s="9">
        <v>0.20775623619556427</v>
      </c>
      <c r="CK105" s="9">
        <v>-8.8383838534355164E-2</v>
      </c>
      <c r="CL105" s="9">
        <v>0.16470588743686676</v>
      </c>
      <c r="CM105" s="10">
        <v>-13.861811637878418</v>
      </c>
      <c r="CN105" s="10">
        <v>-0.96887260675430298</v>
      </c>
      <c r="CO105" s="10">
        <v>0.24744302034378052</v>
      </c>
      <c r="CP105" s="10">
        <v>-0.37612232565879822</v>
      </c>
      <c r="CQ105" s="10">
        <v>4.6702783554792404E-2</v>
      </c>
      <c r="CR105">
        <v>50.482313946783627</v>
      </c>
      <c r="CS105">
        <v>6.4619241436065593</v>
      </c>
      <c r="CT105">
        <v>0.72358900144717797</v>
      </c>
      <c r="CU105" s="9">
        <v>7.8122727572917938E-2</v>
      </c>
      <c r="CV105" s="10">
        <v>-2.9825321532785893</v>
      </c>
      <c r="CW105">
        <v>0.06</v>
      </c>
      <c r="CX105" t="e">
        <v>#VALUE!</v>
      </c>
      <c r="CY105" t="s">
        <v>1282</v>
      </c>
      <c r="CZ105">
        <v>7.8122727572917938E-2</v>
      </c>
      <c r="DA105" t="e">
        <v>#VALUE!</v>
      </c>
      <c r="DB105" t="s">
        <v>1283</v>
      </c>
      <c r="DC105">
        <v>7.4216591194272041E-2</v>
      </c>
      <c r="DD105" t="e">
        <v>#VALUE!</v>
      </c>
      <c r="DE105" t="s">
        <v>1283</v>
      </c>
      <c r="DF105">
        <v>6.8748000264167788E-2</v>
      </c>
      <c r="DG105" t="e">
        <v>#VALUE!</v>
      </c>
      <c r="DH105" t="s">
        <v>1283</v>
      </c>
      <c r="DI105">
        <v>6.2498182058334351E-2</v>
      </c>
      <c r="DJ105" t="e">
        <v>#VALUE!</v>
      </c>
      <c r="DK105" t="s">
        <v>1283</v>
      </c>
      <c r="DL105">
        <v>5.4685909301042557E-2</v>
      </c>
      <c r="DM105">
        <v>-15664400</v>
      </c>
      <c r="DN105">
        <v>7.8122727572917938E-2</v>
      </c>
      <c r="DO105">
        <v>608665940.00000012</v>
      </c>
      <c r="DP105">
        <v>654026780</v>
      </c>
      <c r="DQ105">
        <v>4640</v>
      </c>
      <c r="DR105">
        <v>-0.17038362096016368</v>
      </c>
      <c r="DS105">
        <v>2.1886164592679584</v>
      </c>
      <c r="DT105" s="11">
        <v>-0.20666666666666669</v>
      </c>
      <c r="DU105">
        <v>-1.9316666666666669</v>
      </c>
      <c r="DV105">
        <v>-2.1383333333333336</v>
      </c>
      <c r="DW105">
        <v>7.4132298897509186</v>
      </c>
      <c r="DX105">
        <v>0.72827587689920648</v>
      </c>
      <c r="DY105">
        <v>7.0447428286737441</v>
      </c>
      <c r="DZ105">
        <v>4471</v>
      </c>
      <c r="EA105">
        <v>7.0055797145389924</v>
      </c>
      <c r="EB105">
        <v>7</v>
      </c>
      <c r="EC105">
        <v>9.2591214099634458E-2</v>
      </c>
      <c r="ED105">
        <v>0.8551417117108997</v>
      </c>
      <c r="EE105" s="12">
        <v>-3.0097999999999998</v>
      </c>
      <c r="EF105">
        <v>-3.0688</v>
      </c>
      <c r="EG105">
        <v>62.108275876899206</v>
      </c>
      <c r="EH105" t="s">
        <v>1470</v>
      </c>
      <c r="EI105">
        <v>1</v>
      </c>
      <c r="EJ105">
        <v>0</v>
      </c>
      <c r="EK105" s="14">
        <v>45504</v>
      </c>
      <c r="EL105" s="15">
        <v>-3.46</v>
      </c>
      <c r="EM105" s="15">
        <v>0.08</v>
      </c>
      <c r="EN105" s="15">
        <v>2.31</v>
      </c>
      <c r="EO105" s="15">
        <v>-1.48</v>
      </c>
      <c r="EP105" s="15">
        <v>5.9</v>
      </c>
    </row>
    <row r="106" spans="1:146" ht="96" x14ac:dyDescent="0.25">
      <c r="C106" s="7" t="str">
        <f>""&amp;CHAR(10)&amp;Basic_Fundamental_Information_Constructure(F106)&amp;CHAR(10)&amp;Basic_Fundamental_Information_Concatenate("")</f>
        <v xml:space="preserve">
市值28.078199亿, 利润-3011.83万; PE; 平均PE49.39; 平均PEG1.69, PB2.26; ROIC28.095%; ROE21.96%; 股利率0%; 毛利67.9033%; 净利15.5667%; 上一年度营收增-59.25%, 利润增-123.35%; 当季营收增29.81%, 利润增-449.67%; 过往5年营收增29.24%, 利润增75.29%
Income profile:
</v>
      </c>
      <c r="D106" t="s">
        <v>1381</v>
      </c>
      <c r="E106" t="s">
        <v>1395</v>
      </c>
      <c r="F106">
        <v>35.659999999999997</v>
      </c>
      <c r="G106">
        <v>4.1500000000000004</v>
      </c>
      <c r="H106" t="s">
        <v>4235</v>
      </c>
      <c r="I106">
        <v>2807819900</v>
      </c>
      <c r="K106">
        <v>2.2599999999999998</v>
      </c>
      <c r="L106" t="s">
        <v>1277</v>
      </c>
      <c r="M106" t="s">
        <v>189</v>
      </c>
      <c r="N106" t="s">
        <v>3384</v>
      </c>
      <c r="O106" t="s">
        <v>3385</v>
      </c>
      <c r="P106" s="5">
        <v>29.81</v>
      </c>
      <c r="Q106" t="s">
        <v>561</v>
      </c>
      <c r="R106">
        <v>-7273734</v>
      </c>
      <c r="S106">
        <v>-4.4969999999999999</v>
      </c>
      <c r="T106" t="s">
        <v>3400</v>
      </c>
      <c r="U106">
        <v>30193493</v>
      </c>
      <c r="V106">
        <v>78738639</v>
      </c>
      <c r="W106">
        <v>1.1200000000000001</v>
      </c>
      <c r="X106">
        <v>0.03</v>
      </c>
      <c r="Y106">
        <v>-16.48</v>
      </c>
      <c r="Z106" t="s">
        <v>3386</v>
      </c>
      <c r="AA106" t="s">
        <v>3387</v>
      </c>
      <c r="AB106" t="s">
        <v>3388</v>
      </c>
      <c r="AC106" t="s">
        <v>3389</v>
      </c>
      <c r="AD106" t="s">
        <v>63</v>
      </c>
      <c r="AE106">
        <v>253846</v>
      </c>
      <c r="AF106" t="s">
        <v>3390</v>
      </c>
      <c r="AG106">
        <v>6420.31</v>
      </c>
      <c r="AH106" t="s">
        <v>3391</v>
      </c>
      <c r="AI106" t="s">
        <v>329</v>
      </c>
      <c r="AJ106" t="s">
        <v>3392</v>
      </c>
      <c r="AK106" t="s">
        <v>3393</v>
      </c>
      <c r="AL106" t="s">
        <v>3394</v>
      </c>
      <c r="AM106" t="s">
        <v>63</v>
      </c>
      <c r="AN106">
        <v>0</v>
      </c>
      <c r="AO106" t="s">
        <v>63</v>
      </c>
      <c r="AP106" t="s">
        <v>63</v>
      </c>
      <c r="AQ106" t="s">
        <v>3395</v>
      </c>
      <c r="AR106" t="s">
        <v>63</v>
      </c>
      <c r="AS106" t="s">
        <v>3396</v>
      </c>
      <c r="AT106" t="s">
        <v>63</v>
      </c>
      <c r="AU106" t="s">
        <v>3397</v>
      </c>
      <c r="AV106" t="s">
        <v>3398</v>
      </c>
      <c r="AW106" t="s">
        <v>3399</v>
      </c>
      <c r="AX106" t="s">
        <v>497</v>
      </c>
      <c r="AY106" t="s">
        <v>549</v>
      </c>
      <c r="AZ106" t="s">
        <v>510</v>
      </c>
      <c r="BA106" t="s">
        <v>408</v>
      </c>
      <c r="BB106" t="s">
        <v>1382</v>
      </c>
      <c r="BC106" t="s">
        <v>184</v>
      </c>
      <c r="BD106" t="s">
        <v>290</v>
      </c>
      <c r="BE106" t="s">
        <v>1383</v>
      </c>
      <c r="BF106" t="s">
        <v>1384</v>
      </c>
      <c r="BG106" t="s">
        <v>1385</v>
      </c>
      <c r="BH106" t="s">
        <v>561</v>
      </c>
      <c r="BI106" t="s">
        <v>4236</v>
      </c>
      <c r="BJ106" t="s">
        <v>497</v>
      </c>
      <c r="BK106" t="s">
        <v>3400</v>
      </c>
      <c r="BL106" t="s">
        <v>4237</v>
      </c>
      <c r="BM106" t="s">
        <v>184</v>
      </c>
      <c r="BN106" t="s">
        <v>63</v>
      </c>
      <c r="BO106">
        <v>15.26</v>
      </c>
      <c r="BP106">
        <v>40.93</v>
      </c>
      <c r="BQ106">
        <v>-2.61</v>
      </c>
      <c r="BR106">
        <v>22.84</v>
      </c>
      <c r="BS106">
        <v>45.65</v>
      </c>
      <c r="BT106" t="s">
        <v>1409</v>
      </c>
      <c r="BU106" t="s">
        <v>1830</v>
      </c>
      <c r="BV106">
        <v>67.05</v>
      </c>
      <c r="BW106">
        <v>70.36</v>
      </c>
      <c r="BX106">
        <v>66.3</v>
      </c>
      <c r="BY106">
        <v>-18.43</v>
      </c>
      <c r="BZ106">
        <v>32.130000000000003</v>
      </c>
      <c r="CA106">
        <v>33</v>
      </c>
      <c r="CB106">
        <v>4.67</v>
      </c>
      <c r="CC106" s="9">
        <v>-16.03</v>
      </c>
      <c r="CD106" s="10" t="s">
        <v>4238</v>
      </c>
      <c r="CE106" s="9" t="s">
        <v>4239</v>
      </c>
      <c r="CF106" s="9">
        <v>0.29812601463426092</v>
      </c>
      <c r="CG106" s="9">
        <v>-4.4966628882339599</v>
      </c>
      <c r="CH106" s="9">
        <v>-0.59249997138977051</v>
      </c>
      <c r="CI106" s="9">
        <v>0.1834319531917572</v>
      </c>
      <c r="CJ106" s="10">
        <v>0.46320345997810364</v>
      </c>
      <c r="CK106" s="10">
        <v>0.63829785585403442</v>
      </c>
      <c r="CL106" s="10">
        <v>0.76958721876144409</v>
      </c>
      <c r="CM106" s="10">
        <v>-1.2334752082824707</v>
      </c>
      <c r="CN106" s="10">
        <v>0.1517857164144516</v>
      </c>
      <c r="CO106">
        <v>0.13238494098186493</v>
      </c>
      <c r="CP106">
        <v>3.8636541366577148</v>
      </c>
      <c r="CQ106">
        <v>0.85039126873016357</v>
      </c>
      <c r="CR106" s="9">
        <v>49.387973749522885</v>
      </c>
      <c r="CS106" s="10">
        <v>1.6890314874405059</v>
      </c>
      <c r="CT106">
        <v>0</v>
      </c>
      <c r="CU106">
        <v>0.29240410327911376</v>
      </c>
      <c r="CV106">
        <v>0.75294817090034483</v>
      </c>
      <c r="CW106">
        <v>0.06</v>
      </c>
      <c r="CX106" t="e">
        <v>#VALUE!</v>
      </c>
      <c r="CY106" t="s">
        <v>1282</v>
      </c>
      <c r="CZ106">
        <v>0.29240410327911376</v>
      </c>
      <c r="DA106" t="e">
        <v>#VALUE!</v>
      </c>
      <c r="DB106" t="s">
        <v>1283</v>
      </c>
      <c r="DC106">
        <v>0.27778389811515808</v>
      </c>
      <c r="DD106" t="e">
        <v>#VALUE!</v>
      </c>
      <c r="DE106" t="s">
        <v>1283</v>
      </c>
      <c r="DF106">
        <v>0.25731561088562011</v>
      </c>
      <c r="DG106" t="e">
        <v>#VALUE!</v>
      </c>
      <c r="DH106" t="s">
        <v>1283</v>
      </c>
      <c r="DI106">
        <v>0.23392328262329101</v>
      </c>
      <c r="DJ106" t="e">
        <v>#VALUE!</v>
      </c>
      <c r="DK106" t="s">
        <v>1283</v>
      </c>
      <c r="DL106">
        <v>0.20468287229537963</v>
      </c>
      <c r="DM106">
        <v>-30118300</v>
      </c>
      <c r="DN106">
        <v>0.29240410327911376</v>
      </c>
      <c r="DO106">
        <v>1730819900</v>
      </c>
      <c r="DP106">
        <v>1138626420</v>
      </c>
      <c r="DQ106" s="11">
        <v>4667</v>
      </c>
      <c r="DR106">
        <v>5.7219113551471579E-3</v>
      </c>
      <c r="DS106">
        <v>-5.2496110591343044</v>
      </c>
      <c r="DT106">
        <v>0.10999999999999995</v>
      </c>
      <c r="DU106">
        <v>-0.90833333333333333</v>
      </c>
      <c r="DV106">
        <v>-0.79833333333333334</v>
      </c>
      <c r="DW106">
        <v>6.2256038647342997</v>
      </c>
      <c r="DX106">
        <v>0.49154480911168774</v>
      </c>
      <c r="DY106">
        <v>6.0296770173213323</v>
      </c>
      <c r="DZ106">
        <v>3399</v>
      </c>
      <c r="EA106">
        <v>6.0099291352001094</v>
      </c>
      <c r="EB106" s="12">
        <v>6</v>
      </c>
      <c r="EC106">
        <v>7.134616588940533E-2</v>
      </c>
      <c r="ED106">
        <v>0.54237157947319881</v>
      </c>
      <c r="EE106">
        <v>2.1069100000000001</v>
      </c>
      <c r="EF106">
        <v>2.06541</v>
      </c>
      <c r="EG106">
        <v>36.131544809111688</v>
      </c>
      <c r="EH106" s="14" t="s">
        <v>1297</v>
      </c>
      <c r="EI106" s="15">
        <v>0</v>
      </c>
      <c r="EJ106" s="15">
        <v>0</v>
      </c>
      <c r="EK106" s="15">
        <v>45504</v>
      </c>
      <c r="EL106" s="15">
        <v>-2.77</v>
      </c>
      <c r="EM106" s="15">
        <v>0.21</v>
      </c>
      <c r="EN106" s="15">
        <v>1.05</v>
      </c>
      <c r="EO106" s="15">
        <v>-1.74</v>
      </c>
      <c r="EP106" s="15">
        <v>4.1500000000000004</v>
      </c>
    </row>
    <row r="107" spans="1:146" ht="108" x14ac:dyDescent="0.25">
      <c r="A107" s="7"/>
      <c r="B107" s="7"/>
      <c r="C107" s="7" t="str">
        <f>""&amp;CHAR(10)&amp;Basic_Fundamental_Information_Constructure(F107)&amp;CHAR(10)&amp;Basic_Fundamental_Information_Concatenate("")</f>
        <v xml:space="preserve">
市值19.029009亿, 利润1178.38万; PE82.1; 平均PE44.72; 平均PEG1.88, PB1.59; ROIC5.99%; ROE.0433%; 股利率.201%; 毛利59.6767%; 净利6.8367%; 上一年度营收增20.18%, 利润增239.26%; 当季营收增8.99%, 利润增24.52%; 过往5年营收增23.76%, 利润增34%
Income profile:
</v>
      </c>
      <c r="D107" t="s">
        <v>111</v>
      </c>
      <c r="E107" t="s">
        <v>647</v>
      </c>
      <c r="F107">
        <v>24.87</v>
      </c>
      <c r="G107">
        <v>4.76</v>
      </c>
      <c r="H107" t="s">
        <v>4240</v>
      </c>
      <c r="I107">
        <v>1902900900</v>
      </c>
      <c r="J107">
        <v>82.1</v>
      </c>
      <c r="K107">
        <v>1.59</v>
      </c>
      <c r="L107" t="s">
        <v>1277</v>
      </c>
      <c r="M107" t="s">
        <v>382</v>
      </c>
      <c r="N107" t="s">
        <v>1813</v>
      </c>
      <c r="O107" t="s">
        <v>3401</v>
      </c>
      <c r="P107">
        <v>8.99</v>
      </c>
      <c r="Q107" t="s">
        <v>1701</v>
      </c>
      <c r="R107">
        <v>-35071604</v>
      </c>
      <c r="S107" s="5">
        <v>0.2452</v>
      </c>
      <c r="T107" t="s">
        <v>3416</v>
      </c>
      <c r="U107">
        <v>76513908</v>
      </c>
      <c r="V107">
        <v>76513908</v>
      </c>
      <c r="W107">
        <v>1.35</v>
      </c>
      <c r="X107">
        <v>0.03</v>
      </c>
      <c r="Y107">
        <v>-65.64</v>
      </c>
      <c r="Z107" t="s">
        <v>3402</v>
      </c>
      <c r="AA107" t="s">
        <v>3403</v>
      </c>
      <c r="AB107" t="s">
        <v>3404</v>
      </c>
      <c r="AC107" t="s">
        <v>3405</v>
      </c>
      <c r="AD107" t="s">
        <v>63</v>
      </c>
      <c r="AE107">
        <v>1194233</v>
      </c>
      <c r="AF107" t="s">
        <v>3406</v>
      </c>
      <c r="AG107" t="s">
        <v>63</v>
      </c>
      <c r="AH107" t="s">
        <v>3407</v>
      </c>
      <c r="AI107" t="s">
        <v>275</v>
      </c>
      <c r="AJ107" t="s">
        <v>3408</v>
      </c>
      <c r="AK107" t="s">
        <v>3409</v>
      </c>
      <c r="AL107" t="s">
        <v>3410</v>
      </c>
      <c r="AM107" t="s">
        <v>63</v>
      </c>
      <c r="AN107" t="s">
        <v>368</v>
      </c>
      <c r="AO107" t="s">
        <v>555</v>
      </c>
      <c r="AP107" t="s">
        <v>63</v>
      </c>
      <c r="AQ107" t="s">
        <v>3411</v>
      </c>
      <c r="AR107" t="s">
        <v>63</v>
      </c>
      <c r="AS107" t="s">
        <v>682</v>
      </c>
      <c r="AT107" t="s">
        <v>3412</v>
      </c>
      <c r="AU107" t="s">
        <v>3413</v>
      </c>
      <c r="AV107" t="s">
        <v>3414</v>
      </c>
      <c r="AW107" t="s">
        <v>3415</v>
      </c>
      <c r="AX107" t="s">
        <v>309</v>
      </c>
      <c r="AY107" t="s">
        <v>339</v>
      </c>
      <c r="AZ107" t="s">
        <v>387</v>
      </c>
      <c r="BA107" t="s">
        <v>441</v>
      </c>
      <c r="BB107" t="s">
        <v>243</v>
      </c>
      <c r="BC107" t="s">
        <v>1553</v>
      </c>
      <c r="BD107" t="s">
        <v>1250</v>
      </c>
      <c r="BE107" t="s">
        <v>986</v>
      </c>
      <c r="BF107" t="s">
        <v>648</v>
      </c>
      <c r="BG107" t="s">
        <v>987</v>
      </c>
      <c r="BH107" t="s">
        <v>1701</v>
      </c>
      <c r="BI107" t="s">
        <v>4241</v>
      </c>
      <c r="BJ107" t="s">
        <v>309</v>
      </c>
      <c r="BK107" t="s">
        <v>3416</v>
      </c>
      <c r="BL107" t="s">
        <v>4242</v>
      </c>
      <c r="BM107" t="s">
        <v>1553</v>
      </c>
      <c r="BN107" t="s">
        <v>63</v>
      </c>
      <c r="BO107" t="s">
        <v>63</v>
      </c>
      <c r="BP107">
        <v>5.99</v>
      </c>
      <c r="BQ107">
        <v>-5.96</v>
      </c>
      <c r="BR107">
        <v>-0.76</v>
      </c>
      <c r="BS107">
        <v>6.85</v>
      </c>
      <c r="BT107" t="s">
        <v>1411</v>
      </c>
      <c r="BU107" t="s">
        <v>1830</v>
      </c>
      <c r="BV107">
        <v>62.49</v>
      </c>
      <c r="BW107">
        <v>56.03</v>
      </c>
      <c r="BX107">
        <v>60.51</v>
      </c>
      <c r="BY107">
        <v>4.1500000000000004</v>
      </c>
      <c r="BZ107">
        <v>-1.75</v>
      </c>
      <c r="CA107">
        <v>18.11</v>
      </c>
      <c r="CB107">
        <v>4.45</v>
      </c>
      <c r="CC107">
        <v>-13.5</v>
      </c>
      <c r="CD107" t="s">
        <v>4243</v>
      </c>
      <c r="CE107" t="s">
        <v>4244</v>
      </c>
      <c r="CF107" s="9">
        <v>8.994932351030574E-2</v>
      </c>
      <c r="CG107" s="10">
        <v>0.24520220639665641</v>
      </c>
      <c r="CH107" s="9">
        <v>0.20175439119338989</v>
      </c>
      <c r="CI107" s="9">
        <v>0.16624040901660919</v>
      </c>
      <c r="CJ107" s="9">
        <v>0.48669201135635376</v>
      </c>
      <c r="CK107" s="9">
        <v>5.6224901229143143E-2</v>
      </c>
      <c r="CL107" s="9">
        <v>0.27692309021949768</v>
      </c>
      <c r="CM107" s="10">
        <v>2.3925549983978271</v>
      </c>
      <c r="CN107" s="10">
        <v>-1.1172124147415161</v>
      </c>
      <c r="CO107" s="10">
        <v>0.62330055236816406</v>
      </c>
      <c r="CP107" s="10">
        <v>-0.39715069532394409</v>
      </c>
      <c r="CQ107" s="10">
        <v>0.19857805967330933</v>
      </c>
      <c r="CR107">
        <v>44.719686029364247</v>
      </c>
      <c r="CS107">
        <v>1.8824034249482993</v>
      </c>
      <c r="CT107">
        <v>0.20104543626859669</v>
      </c>
      <c r="CU107" s="9">
        <v>0.23756696060299873</v>
      </c>
      <c r="CV107" s="10">
        <v>0.34001410007476807</v>
      </c>
      <c r="CW107">
        <v>0.06</v>
      </c>
      <c r="CX107">
        <v>78.348489946824941</v>
      </c>
      <c r="CY107">
        <v>13757775.047503412</v>
      </c>
      <c r="CZ107">
        <v>0.23756696060299873</v>
      </c>
      <c r="DA107">
        <v>22.645164903244986</v>
      </c>
      <c r="DB107">
        <v>47599604.79888314</v>
      </c>
      <c r="DC107">
        <v>0.22568861257284878</v>
      </c>
      <c r="DD107">
        <v>9.3808103481963148</v>
      </c>
      <c r="DE107">
        <v>114904881.34719111</v>
      </c>
      <c r="DF107">
        <v>0.20905892533063888</v>
      </c>
      <c r="DG107">
        <v>4.5828027342487845</v>
      </c>
      <c r="DH107">
        <v>235205607.24652055</v>
      </c>
      <c r="DI107">
        <v>0.19005356848239899</v>
      </c>
      <c r="DJ107">
        <v>1.4469170154682451</v>
      </c>
      <c r="DK107">
        <v>744963870.40633035</v>
      </c>
      <c r="DL107">
        <v>0.16629687242209909</v>
      </c>
      <c r="DM107">
        <v>11783800.000000002</v>
      </c>
      <c r="DN107">
        <v>0.23756696060299873</v>
      </c>
      <c r="DO107">
        <v>1077900900</v>
      </c>
      <c r="DP107">
        <v>788649260</v>
      </c>
      <c r="DQ107">
        <v>4681</v>
      </c>
      <c r="DR107">
        <v>-0.14761763709269299</v>
      </c>
      <c r="DS107">
        <v>-9.4811893678111658E-2</v>
      </c>
      <c r="DT107" s="11">
        <v>0.10999999999999995</v>
      </c>
      <c r="DU107">
        <v>-0.40500000000000003</v>
      </c>
      <c r="DV107">
        <v>-0.2950000000000001</v>
      </c>
      <c r="DW107">
        <v>6.2479108635097491</v>
      </c>
      <c r="DX107">
        <v>0.37704301657128014</v>
      </c>
      <c r="DY107">
        <v>6.0290162353059715</v>
      </c>
      <c r="DZ107">
        <v>2520</v>
      </c>
      <c r="EA107">
        <v>6.0147012562591726</v>
      </c>
      <c r="EB107">
        <v>6</v>
      </c>
      <c r="EC107">
        <v>2.4028311297339563E-2</v>
      </c>
      <c r="ED107">
        <v>0.20529470276175149</v>
      </c>
      <c r="EE107" s="12">
        <v>2.0618099999999999</v>
      </c>
      <c r="EF107">
        <v>2.0142099999999998</v>
      </c>
      <c r="EG107">
        <v>26.11704301657128</v>
      </c>
      <c r="EH107" t="s">
        <v>1297</v>
      </c>
      <c r="EI107">
        <v>0</v>
      </c>
      <c r="EJ107">
        <v>0</v>
      </c>
      <c r="EK107" s="14">
        <v>45504</v>
      </c>
      <c r="EL107" s="15">
        <v>-2.86</v>
      </c>
      <c r="EM107" s="15">
        <v>-0.04</v>
      </c>
      <c r="EN107" s="15">
        <v>1.47</v>
      </c>
      <c r="EO107" s="15">
        <v>-1.99</v>
      </c>
      <c r="EP107" s="15">
        <v>4.76</v>
      </c>
    </row>
    <row r="108" spans="1:146" ht="108" x14ac:dyDescent="0.25">
      <c r="A108" s="7"/>
      <c r="B108" s="7"/>
      <c r="C108" s="7" t="str">
        <f>""&amp;CHAR(10)&amp;Basic_Fundamental_Information_Constructure(F108)&amp;CHAR(10)&amp;Basic_Fundamental_Information_Concatenate("")</f>
        <v xml:space="preserve">
市值11.9544642亿, 利润1800.32万; PE64.47; 平均PE26.93; 平均PEG2.45, PB1.42; ROIC9.14%; ROE9.3667%; 股利率.6027%; 毛利43.38%; 净利24.6267%; 上一年度营收增-13.67%, 利润增-53.33%; 当季营收增2.72%, 利润增16.19%; 过往5年营收增10.99%, 利润增7.6%
Income profile:
</v>
      </c>
      <c r="D108" t="s">
        <v>1251</v>
      </c>
      <c r="E108" t="s">
        <v>1252</v>
      </c>
      <c r="F108">
        <v>14.27</v>
      </c>
      <c r="G108">
        <v>2.29</v>
      </c>
      <c r="H108" t="s">
        <v>4245</v>
      </c>
      <c r="I108">
        <v>1195446420</v>
      </c>
      <c r="J108">
        <v>64.47</v>
      </c>
      <c r="K108">
        <v>1.42</v>
      </c>
      <c r="L108" t="s">
        <v>1277</v>
      </c>
      <c r="M108" t="s">
        <v>3417</v>
      </c>
      <c r="N108" t="s">
        <v>737</v>
      </c>
      <c r="O108" t="s">
        <v>3418</v>
      </c>
      <c r="P108">
        <v>2.72</v>
      </c>
      <c r="Q108" t="s">
        <v>421</v>
      </c>
      <c r="R108">
        <v>3874982</v>
      </c>
      <c r="S108" s="5">
        <v>0.16189999999999999</v>
      </c>
      <c r="T108" t="s">
        <v>3433</v>
      </c>
      <c r="U108">
        <v>51348489</v>
      </c>
      <c r="V108">
        <v>83773400</v>
      </c>
      <c r="W108">
        <v>1.03</v>
      </c>
      <c r="X108">
        <v>0.02</v>
      </c>
      <c r="Y108">
        <v>18.38</v>
      </c>
      <c r="Z108" t="s">
        <v>3419</v>
      </c>
      <c r="AA108" t="s">
        <v>3420</v>
      </c>
      <c r="AB108" t="s">
        <v>3421</v>
      </c>
      <c r="AC108" t="s">
        <v>3422</v>
      </c>
      <c r="AD108" t="s">
        <v>63</v>
      </c>
      <c r="AE108">
        <v>-1283627</v>
      </c>
      <c r="AF108" t="s">
        <v>3423</v>
      </c>
      <c r="AG108">
        <v>1265</v>
      </c>
      <c r="AH108" t="s">
        <v>3424</v>
      </c>
      <c r="AI108" t="s">
        <v>279</v>
      </c>
      <c r="AJ108" t="s">
        <v>3425</v>
      </c>
      <c r="AK108" t="s">
        <v>3426</v>
      </c>
      <c r="AL108" t="s">
        <v>3427</v>
      </c>
      <c r="AM108" t="s">
        <v>63</v>
      </c>
      <c r="AN108" t="s">
        <v>3428</v>
      </c>
      <c r="AO108" t="s">
        <v>63</v>
      </c>
      <c r="AP108" t="s">
        <v>63</v>
      </c>
      <c r="AQ108" t="s">
        <v>3429</v>
      </c>
      <c r="AR108" t="s">
        <v>63</v>
      </c>
      <c r="AS108" t="s">
        <v>3430</v>
      </c>
      <c r="AT108" t="s">
        <v>63</v>
      </c>
      <c r="AU108" t="s">
        <v>3431</v>
      </c>
      <c r="AV108" t="s">
        <v>3432</v>
      </c>
      <c r="AW108" t="s">
        <v>63</v>
      </c>
      <c r="AX108" t="s">
        <v>219</v>
      </c>
      <c r="AY108" t="s">
        <v>342</v>
      </c>
      <c r="AZ108" t="s">
        <v>447</v>
      </c>
      <c r="BA108" t="s">
        <v>182</v>
      </c>
      <c r="BB108" t="s">
        <v>1254</v>
      </c>
      <c r="BC108" t="s">
        <v>1554</v>
      </c>
      <c r="BD108" t="s">
        <v>1253</v>
      </c>
      <c r="BE108" t="s">
        <v>1255</v>
      </c>
      <c r="BF108" t="s">
        <v>1256</v>
      </c>
      <c r="BG108" t="s">
        <v>1257</v>
      </c>
      <c r="BH108" t="s">
        <v>421</v>
      </c>
      <c r="BI108" t="s">
        <v>4246</v>
      </c>
      <c r="BJ108" t="s">
        <v>219</v>
      </c>
      <c r="BK108" t="s">
        <v>3433</v>
      </c>
      <c r="BL108" t="s">
        <v>4247</v>
      </c>
      <c r="BM108" t="s">
        <v>1554</v>
      </c>
      <c r="BN108">
        <v>1.35</v>
      </c>
      <c r="BO108">
        <v>5.79</v>
      </c>
      <c r="BP108">
        <v>20.28</v>
      </c>
      <c r="BQ108">
        <v>1.79</v>
      </c>
      <c r="BR108">
        <v>4.9800000000000004</v>
      </c>
      <c r="BS108">
        <v>21.33</v>
      </c>
      <c r="BT108" t="s">
        <v>3434</v>
      </c>
      <c r="BU108" t="s">
        <v>1830</v>
      </c>
      <c r="BV108">
        <v>35.57</v>
      </c>
      <c r="BW108">
        <v>40.520000000000003</v>
      </c>
      <c r="BX108">
        <v>54.05</v>
      </c>
      <c r="BY108">
        <v>14.99</v>
      </c>
      <c r="BZ108">
        <v>27.66</v>
      </c>
      <c r="CA108">
        <v>31.23</v>
      </c>
      <c r="CB108">
        <v>5.86</v>
      </c>
      <c r="CC108">
        <v>-5.46</v>
      </c>
      <c r="CD108" t="s">
        <v>4248</v>
      </c>
      <c r="CE108" t="s">
        <v>4249</v>
      </c>
      <c r="CF108" s="9">
        <v>2.721164668222564E-2</v>
      </c>
      <c r="CG108" s="10">
        <v>0.16194848421242017</v>
      </c>
      <c r="CH108" s="9">
        <v>-0.1366906464099884</v>
      </c>
      <c r="CI108" s="9">
        <v>-0.21910113096237183</v>
      </c>
      <c r="CJ108" s="9">
        <v>0.30882352590560913</v>
      </c>
      <c r="CK108" s="9">
        <v>0.1147540956735611</v>
      </c>
      <c r="CL108" s="9">
        <v>0.48184856772422791</v>
      </c>
      <c r="CM108" s="10">
        <v>-0.53330934047698975</v>
      </c>
      <c r="CN108" s="10">
        <v>-0.30432987213134766</v>
      </c>
      <c r="CO108" s="10">
        <v>-0.12902936339378357</v>
      </c>
      <c r="CP108" s="10">
        <v>2.1091434173285961E-3</v>
      </c>
      <c r="CQ108" s="10">
        <v>1.3446383476257324</v>
      </c>
      <c r="CR108">
        <v>26.931707320736354</v>
      </c>
      <c r="CS108">
        <v>2.4499655349195502</v>
      </c>
      <c r="CT108">
        <v>0.60266292922214437</v>
      </c>
      <c r="CU108" s="9">
        <v>0.10992688238620758</v>
      </c>
      <c r="CV108" s="10">
        <v>7.6015783008188009E-2</v>
      </c>
      <c r="CW108">
        <v>0.06</v>
      </c>
      <c r="CX108">
        <v>20.487683680228855</v>
      </c>
      <c r="CY108">
        <v>18851165.706580542</v>
      </c>
      <c r="CZ108">
        <v>0.10992688238620758</v>
      </c>
      <c r="DA108">
        <v>6.5834112935563027</v>
      </c>
      <c r="DB108">
        <v>58665136.170061313</v>
      </c>
      <c r="DC108">
        <v>0.1044305382668972</v>
      </c>
      <c r="DD108">
        <v>3.1681730840365874</v>
      </c>
      <c r="DE108">
        <v>121905183.13094153</v>
      </c>
      <c r="DF108">
        <v>9.6735656499862668E-2</v>
      </c>
      <c r="DG108">
        <v>1.8540483715520026</v>
      </c>
      <c r="DH108">
        <v>208309948.07147476</v>
      </c>
      <c r="DI108">
        <v>8.7941505908966072E-2</v>
      </c>
      <c r="DJ108">
        <v>0.9042728216582917</v>
      </c>
      <c r="DK108">
        <v>427101988.19393945</v>
      </c>
      <c r="DL108">
        <v>7.694881767034531E-2</v>
      </c>
      <c r="DM108">
        <v>18003200</v>
      </c>
      <c r="DN108">
        <v>0.10992688238620758</v>
      </c>
      <c r="DO108">
        <v>386216720</v>
      </c>
      <c r="DP108">
        <v>708642570</v>
      </c>
      <c r="DQ108">
        <v>4684</v>
      </c>
      <c r="DR108">
        <v>-8.271523570398194E-2</v>
      </c>
      <c r="DS108">
        <v>8.5932701204232159E-2</v>
      </c>
      <c r="DT108" s="11">
        <v>-0.35666666666666669</v>
      </c>
      <c r="DU108">
        <v>-0.11666666666666668</v>
      </c>
      <c r="DV108">
        <v>-0.47333333333333338</v>
      </c>
      <c r="DW108">
        <v>4.9317406143344709</v>
      </c>
      <c r="DX108">
        <v>0.5102755795223729</v>
      </c>
      <c r="DY108">
        <v>4.1027482362102683</v>
      </c>
      <c r="DZ108">
        <v>2905</v>
      </c>
      <c r="EA108">
        <v>4.0443136970186417</v>
      </c>
      <c r="EB108">
        <v>4</v>
      </c>
      <c r="EC108">
        <v>4.5110977947654035E-2</v>
      </c>
      <c r="ED108">
        <v>0.40907495696724738</v>
      </c>
      <c r="EE108" s="12">
        <v>6.0724999999999998</v>
      </c>
      <c r="EF108">
        <v>6.0953999999999997</v>
      </c>
      <c r="EG108">
        <v>40.110275579522373</v>
      </c>
      <c r="EH108" t="s">
        <v>1506</v>
      </c>
      <c r="EI108">
        <v>0</v>
      </c>
      <c r="EJ108">
        <v>0</v>
      </c>
      <c r="EK108" s="14">
        <v>45504</v>
      </c>
      <c r="EL108" s="15">
        <v>-2.39</v>
      </c>
      <c r="EM108" s="15">
        <v>0</v>
      </c>
      <c r="EN108" s="15">
        <v>2.2999999999999998</v>
      </c>
      <c r="EO108" s="15">
        <v>1.45</v>
      </c>
      <c r="EP108" s="15">
        <v>2.29</v>
      </c>
    </row>
    <row r="109" spans="1:146" ht="108" x14ac:dyDescent="0.25">
      <c r="A109" s="7"/>
      <c r="B109" s="7"/>
      <c r="C109" s="7" t="str">
        <f>""&amp;CHAR(10)&amp;Basic_Fundamental_Information_Constructure(F109)&amp;CHAR(10)&amp;Basic_Fundamental_Information_Concatenate("")</f>
        <v xml:space="preserve">
市值24.198836亿, 利润1122.27万; PE172.5; 平均PE24.01; 平均PEG1.43, PB1.82; ROIC17.145%; ROE10.9233%; 股利率.3932%; 毛利70.9367%; 净利18.5467%; 上一年度营收增-16.57%, 利润增-93.16%; 当季营收增36.67%, 利润增8.61%; 过往5年营收增16.8%, 利润增-1.72%
Income profile:
</v>
      </c>
      <c r="D109" t="s">
        <v>988</v>
      </c>
      <c r="E109" t="s">
        <v>989</v>
      </c>
      <c r="F109">
        <v>7.63</v>
      </c>
      <c r="G109">
        <v>4.8099999999999996</v>
      </c>
      <c r="H109" t="s">
        <v>4250</v>
      </c>
      <c r="I109">
        <v>2419883600</v>
      </c>
      <c r="J109">
        <v>172.5</v>
      </c>
      <c r="K109">
        <v>1.82</v>
      </c>
      <c r="L109" t="s">
        <v>1277</v>
      </c>
      <c r="M109" t="s">
        <v>794</v>
      </c>
      <c r="N109" t="s">
        <v>1770</v>
      </c>
      <c r="O109" t="s">
        <v>3435</v>
      </c>
      <c r="P109">
        <v>36.67</v>
      </c>
      <c r="Q109" t="s">
        <v>869</v>
      </c>
      <c r="R109">
        <v>-29766281</v>
      </c>
      <c r="S109" s="5">
        <v>8.6099999999999996E-2</v>
      </c>
      <c r="T109" t="s">
        <v>3448</v>
      </c>
      <c r="U109">
        <v>302530750</v>
      </c>
      <c r="V109">
        <v>317153820</v>
      </c>
      <c r="W109">
        <v>1.1200000000000001</v>
      </c>
      <c r="X109">
        <v>0.05</v>
      </c>
      <c r="Y109">
        <v>-39.130000000000003</v>
      </c>
      <c r="Z109" t="s">
        <v>245</v>
      </c>
      <c r="AA109" t="s">
        <v>3436</v>
      </c>
      <c r="AB109" t="s">
        <v>3437</v>
      </c>
      <c r="AC109" t="s">
        <v>3438</v>
      </c>
      <c r="AD109" t="s">
        <v>63</v>
      </c>
      <c r="AE109">
        <v>-119441</v>
      </c>
      <c r="AF109" t="s">
        <v>3439</v>
      </c>
      <c r="AG109">
        <v>6000.54</v>
      </c>
      <c r="AH109" t="s">
        <v>3440</v>
      </c>
      <c r="AI109" t="s">
        <v>259</v>
      </c>
      <c r="AJ109" t="s">
        <v>3441</v>
      </c>
      <c r="AK109" t="s">
        <v>3442</v>
      </c>
      <c r="AL109" t="s">
        <v>3443</v>
      </c>
      <c r="AM109" t="s">
        <v>63</v>
      </c>
      <c r="AN109">
        <v>0</v>
      </c>
      <c r="AO109" t="s">
        <v>63</v>
      </c>
      <c r="AP109" t="s">
        <v>63</v>
      </c>
      <c r="AQ109" t="s">
        <v>3444</v>
      </c>
      <c r="AR109" t="s">
        <v>63</v>
      </c>
      <c r="AS109" t="s">
        <v>183</v>
      </c>
      <c r="AT109" t="s">
        <v>63</v>
      </c>
      <c r="AU109" t="s">
        <v>3445</v>
      </c>
      <c r="AV109" t="s">
        <v>3446</v>
      </c>
      <c r="AW109" t="s">
        <v>3447</v>
      </c>
      <c r="AX109" t="s">
        <v>1534</v>
      </c>
      <c r="AY109" t="s">
        <v>423</v>
      </c>
      <c r="AZ109" t="s">
        <v>667</v>
      </c>
      <c r="BA109" t="s">
        <v>231</v>
      </c>
      <c r="BB109" t="s">
        <v>631</v>
      </c>
      <c r="BC109" t="s">
        <v>295</v>
      </c>
      <c r="BD109" t="s">
        <v>284</v>
      </c>
      <c r="BE109" t="s">
        <v>228</v>
      </c>
      <c r="BF109" t="s">
        <v>990</v>
      </c>
      <c r="BG109" t="s">
        <v>1012</v>
      </c>
      <c r="BH109" t="s">
        <v>869</v>
      </c>
      <c r="BI109" t="s">
        <v>4251</v>
      </c>
      <c r="BJ109" t="s">
        <v>1534</v>
      </c>
      <c r="BK109" t="s">
        <v>3448</v>
      </c>
      <c r="BL109" t="s">
        <v>4252</v>
      </c>
      <c r="BM109" t="s">
        <v>295</v>
      </c>
      <c r="BN109" t="s">
        <v>63</v>
      </c>
      <c r="BO109">
        <v>14.82</v>
      </c>
      <c r="BP109">
        <v>19.47</v>
      </c>
      <c r="BQ109">
        <v>-1.0900000000000001</v>
      </c>
      <c r="BR109">
        <v>15.88</v>
      </c>
      <c r="BS109">
        <v>17.98</v>
      </c>
      <c r="BT109" t="s">
        <v>3449</v>
      </c>
      <c r="BU109" t="s">
        <v>1830</v>
      </c>
      <c r="BV109">
        <v>69.180000000000007</v>
      </c>
      <c r="BW109">
        <v>71.510000000000005</v>
      </c>
      <c r="BX109">
        <v>72.12</v>
      </c>
      <c r="BY109">
        <v>2.99</v>
      </c>
      <c r="BZ109">
        <v>24.85</v>
      </c>
      <c r="CA109">
        <v>27.8</v>
      </c>
      <c r="CB109">
        <v>9.94</v>
      </c>
      <c r="CC109">
        <v>-17.87</v>
      </c>
      <c r="CD109" t="s">
        <v>4253</v>
      </c>
      <c r="CE109" t="s">
        <v>691</v>
      </c>
      <c r="CF109" s="9">
        <v>0.36667666669892485</v>
      </c>
      <c r="CG109" s="10">
        <v>8.6133373040482866E-2</v>
      </c>
      <c r="CH109" s="9">
        <v>-0.16565349698066711</v>
      </c>
      <c r="CI109" s="9">
        <v>0.25333333015441895</v>
      </c>
      <c r="CJ109" s="9">
        <v>0.26201921701431274</v>
      </c>
      <c r="CK109" s="9">
        <v>0.30817610025405884</v>
      </c>
      <c r="CL109" s="9">
        <v>0.18215613067150116</v>
      </c>
      <c r="CM109" s="10">
        <v>-0.93156886100769043</v>
      </c>
      <c r="CN109" s="10">
        <v>6.4935065805912018E-2</v>
      </c>
      <c r="CO109" s="10">
        <v>0.4392523467540741</v>
      </c>
      <c r="CP109" s="10">
        <v>0.18430955708026886</v>
      </c>
      <c r="CQ109" s="10">
        <v>0.15688976645469666</v>
      </c>
      <c r="CR109">
        <v>24.012089974255222</v>
      </c>
      <c r="CS109">
        <v>1.4292378459063175</v>
      </c>
      <c r="CT109">
        <v>0.39318479685452162</v>
      </c>
      <c r="CU109" s="9">
        <v>0.16800625622272491</v>
      </c>
      <c r="CV109" s="10">
        <v>-1.7236424982547759E-2</v>
      </c>
      <c r="CW109">
        <v>0.06</v>
      </c>
      <c r="CX109">
        <v>101.39593974968332</v>
      </c>
      <c r="CY109">
        <v>12366211.143123373</v>
      </c>
      <c r="CZ109">
        <v>0.16800625622272491</v>
      </c>
      <c r="DA109">
        <v>31.035773869064172</v>
      </c>
      <c r="DB109">
        <v>40401235.209728271</v>
      </c>
      <c r="DC109">
        <v>0.15960594341158865</v>
      </c>
      <c r="DD109">
        <v>13.963045535757601</v>
      </c>
      <c r="DE109">
        <v>89800151.176830441</v>
      </c>
      <c r="DF109">
        <v>0.14784550547599792</v>
      </c>
      <c r="DG109">
        <v>7.5492611486570276</v>
      </c>
      <c r="DH109">
        <v>166093552.11179295</v>
      </c>
      <c r="DI109">
        <v>0.13440500497817995</v>
      </c>
      <c r="DJ109">
        <v>3.0604358613623019</v>
      </c>
      <c r="DK109">
        <v>409707524.28768581</v>
      </c>
      <c r="DL109">
        <v>0.11760437935590744</v>
      </c>
      <c r="DM109">
        <v>11222700</v>
      </c>
      <c r="DN109">
        <v>0.16800625622272491</v>
      </c>
      <c r="DO109">
        <v>1253883600</v>
      </c>
      <c r="DP109">
        <v>528783090</v>
      </c>
      <c r="DQ109">
        <v>4712</v>
      </c>
      <c r="DR109">
        <v>0.19867041047619993</v>
      </c>
      <c r="DS109">
        <v>0.10336979802303062</v>
      </c>
      <c r="DT109" s="11">
        <v>-0.10666666666666676</v>
      </c>
      <c r="DU109">
        <v>-0.44166666666666671</v>
      </c>
      <c r="DV109">
        <v>-0.54833333333333345</v>
      </c>
      <c r="DW109">
        <v>7.3574253865515997</v>
      </c>
      <c r="DX109">
        <v>0.46847777777777905</v>
      </c>
      <c r="DY109">
        <v>7.0637924887130925</v>
      </c>
      <c r="DZ109">
        <v>3017</v>
      </c>
      <c r="EA109">
        <v>7.0261139573020905</v>
      </c>
      <c r="EB109">
        <v>7</v>
      </c>
      <c r="EC109">
        <v>0.10635943152127254</v>
      </c>
      <c r="ED109">
        <v>0.59592534625627402</v>
      </c>
      <c r="EE109" s="12">
        <v>7.2099999999999997E-2</v>
      </c>
      <c r="EF109">
        <v>0.1202</v>
      </c>
      <c r="EG109">
        <v>29.178477777777779</v>
      </c>
      <c r="EH109" t="s">
        <v>1099</v>
      </c>
      <c r="EI109">
        <v>1</v>
      </c>
      <c r="EJ109">
        <v>0</v>
      </c>
      <c r="EK109" s="14">
        <v>45504</v>
      </c>
      <c r="EL109" s="15">
        <v>-4.54</v>
      </c>
      <c r="EM109" s="15">
        <v>1.44</v>
      </c>
      <c r="EN109" s="15">
        <v>1.1399999999999999</v>
      </c>
      <c r="EO109" s="15">
        <v>4.49</v>
      </c>
      <c r="EP109" s="15">
        <v>4.8099999999999996</v>
      </c>
    </row>
    <row r="110" spans="1:146" ht="96" hidden="1" x14ac:dyDescent="0.25">
      <c r="C110" s="7" t="str">
        <f>""&amp;CHAR(10)&amp;Basic_Fundamental_Information_Constructure(F110)&amp;CHAR(10)&amp;Basic_Fundamental_Information_Concatenate("")</f>
        <v xml:space="preserve">
市值67.803635亿, 利润-5631.56万; PE; 平均PE-48.51; 平均PEG-1.02, PB3.37; ROIC.545%; ROE1.2267%; 股利率0%; 毛利86.9467%; 净利4.0333%; 上一年度营收增17.92%, 利润增-225.46%; 当季营收增27.97%, 利润增-7285.93%; 过往5年营收增47.72%, 利润增-2212.68%
Income profile:
</v>
      </c>
      <c r="D110" t="s">
        <v>1396</v>
      </c>
      <c r="E110" t="s">
        <v>1397</v>
      </c>
      <c r="F110">
        <v>15.63</v>
      </c>
      <c r="G110">
        <v>6.84</v>
      </c>
      <c r="H110" t="s">
        <v>4254</v>
      </c>
      <c r="I110">
        <v>6780363500</v>
      </c>
      <c r="K110">
        <v>3.37</v>
      </c>
      <c r="L110" t="s">
        <v>1277</v>
      </c>
      <c r="M110" t="s">
        <v>1141</v>
      </c>
      <c r="N110" t="s">
        <v>3450</v>
      </c>
      <c r="O110" t="s">
        <v>3451</v>
      </c>
      <c r="P110" s="5">
        <v>27.97</v>
      </c>
      <c r="Q110" t="s">
        <v>1683</v>
      </c>
      <c r="R110">
        <v>-36471709</v>
      </c>
      <c r="S110">
        <v>-72.86</v>
      </c>
      <c r="T110" t="s">
        <v>3466</v>
      </c>
      <c r="U110">
        <v>177059700</v>
      </c>
      <c r="V110">
        <v>433804450</v>
      </c>
      <c r="W110">
        <v>1.17</v>
      </c>
      <c r="X110">
        <v>0.03</v>
      </c>
      <c r="Y110">
        <v>-44.79</v>
      </c>
      <c r="Z110" t="s">
        <v>3452</v>
      </c>
      <c r="AA110" t="s">
        <v>3453</v>
      </c>
      <c r="AB110" t="s">
        <v>3454</v>
      </c>
      <c r="AC110" t="s">
        <v>3455</v>
      </c>
      <c r="AD110" t="s">
        <v>63</v>
      </c>
      <c r="AE110">
        <v>-8230983</v>
      </c>
      <c r="AF110" t="s">
        <v>3456</v>
      </c>
      <c r="AG110">
        <v>1320.37</v>
      </c>
      <c r="AH110" t="s">
        <v>3457</v>
      </c>
      <c r="AI110" t="s">
        <v>793</v>
      </c>
      <c r="AJ110" t="s">
        <v>3458</v>
      </c>
      <c r="AK110" t="s">
        <v>3459</v>
      </c>
      <c r="AL110" t="s">
        <v>3460</v>
      </c>
      <c r="AM110" t="s">
        <v>63</v>
      </c>
      <c r="AN110" t="s">
        <v>3461</v>
      </c>
      <c r="AO110" t="s">
        <v>63</v>
      </c>
      <c r="AP110" t="s">
        <v>63</v>
      </c>
      <c r="AQ110" t="s">
        <v>3462</v>
      </c>
      <c r="AR110" t="s">
        <v>63</v>
      </c>
      <c r="AS110" t="s">
        <v>521</v>
      </c>
      <c r="AT110" t="s">
        <v>63</v>
      </c>
      <c r="AU110" t="s">
        <v>3463</v>
      </c>
      <c r="AV110" t="s">
        <v>3464</v>
      </c>
      <c r="AW110" t="s">
        <v>3465</v>
      </c>
      <c r="AX110" t="s">
        <v>472</v>
      </c>
      <c r="AY110" t="s">
        <v>470</v>
      </c>
      <c r="AZ110" t="s">
        <v>322</v>
      </c>
      <c r="BA110" t="s">
        <v>1399</v>
      </c>
      <c r="BB110" t="s">
        <v>1400</v>
      </c>
      <c r="BC110" t="s">
        <v>1555</v>
      </c>
      <c r="BD110" t="s">
        <v>1398</v>
      </c>
      <c r="BE110" t="s">
        <v>1401</v>
      </c>
      <c r="BF110" t="s">
        <v>1402</v>
      </c>
      <c r="BG110" t="s">
        <v>1403</v>
      </c>
      <c r="BH110" t="s">
        <v>1683</v>
      </c>
      <c r="BI110" t="s">
        <v>4255</v>
      </c>
      <c r="BJ110" t="s">
        <v>472</v>
      </c>
      <c r="BK110" t="s">
        <v>3466</v>
      </c>
      <c r="BL110" t="s">
        <v>4256</v>
      </c>
      <c r="BM110" t="s">
        <v>1555</v>
      </c>
      <c r="BN110" t="s">
        <v>63</v>
      </c>
      <c r="BO110">
        <v>0.12</v>
      </c>
      <c r="BP110">
        <v>0.97</v>
      </c>
      <c r="BQ110">
        <v>-1.34</v>
      </c>
      <c r="BR110">
        <v>2.11</v>
      </c>
      <c r="BS110">
        <v>2.91</v>
      </c>
      <c r="BT110" t="s">
        <v>1409</v>
      </c>
      <c r="BU110" t="s">
        <v>1848</v>
      </c>
      <c r="BV110">
        <v>82.51</v>
      </c>
      <c r="BW110">
        <v>86.37</v>
      </c>
      <c r="BX110">
        <v>91.96</v>
      </c>
      <c r="BY110">
        <v>-17.86</v>
      </c>
      <c r="BZ110">
        <v>15.6</v>
      </c>
      <c r="CA110">
        <v>14.36</v>
      </c>
      <c r="CB110">
        <v>13.92</v>
      </c>
      <c r="CC110" s="9">
        <v>-2.56</v>
      </c>
      <c r="CD110" s="10" t="s">
        <v>4257</v>
      </c>
      <c r="CE110" s="9" t="s">
        <v>66</v>
      </c>
      <c r="CF110" s="9">
        <v>0.27969955154846388</v>
      </c>
      <c r="CG110" s="9">
        <v>-72.859272985014172</v>
      </c>
      <c r="CH110" s="9">
        <v>0.17921146750450134</v>
      </c>
      <c r="CI110" s="9">
        <v>0.43814432621002197</v>
      </c>
      <c r="CJ110" s="10">
        <v>0.41605839133262634</v>
      </c>
      <c r="CK110" s="10">
        <v>1.0920310020446777</v>
      </c>
      <c r="CL110" s="10">
        <v>0.26060375571250916</v>
      </c>
      <c r="CM110" s="10">
        <v>-2.2546331882476807</v>
      </c>
      <c r="CN110" s="10">
        <v>0.56919169425964355</v>
      </c>
      <c r="CO110">
        <v>-1.4073050580918789E-2</v>
      </c>
      <c r="CP110">
        <v>1.0330820083618164</v>
      </c>
      <c r="CQ110">
        <v>-109.96771240234375</v>
      </c>
      <c r="CR110" s="9">
        <v>-48.505357957027613</v>
      </c>
      <c r="CS110" s="10">
        <v>-1.0164367772779002</v>
      </c>
      <c r="CT110">
        <v>0</v>
      </c>
      <c r="CU110">
        <v>0.47720978856086732</v>
      </c>
      <c r="CV110">
        <v>-22.126828987710176</v>
      </c>
      <c r="CW110">
        <v>0.06</v>
      </c>
      <c r="CX110" t="e">
        <v>#VALUE!</v>
      </c>
      <c r="CY110" t="s">
        <v>1282</v>
      </c>
      <c r="CZ110">
        <v>0.47720978856086732</v>
      </c>
      <c r="DA110" t="e">
        <v>#VALUE!</v>
      </c>
      <c r="DB110" t="s">
        <v>1283</v>
      </c>
      <c r="DC110">
        <v>0.45334929913282396</v>
      </c>
      <c r="DD110" t="e">
        <v>#VALUE!</v>
      </c>
      <c r="DE110" t="s">
        <v>1283</v>
      </c>
      <c r="DF110">
        <v>0.41994461393356325</v>
      </c>
      <c r="DG110" t="e">
        <v>#VALUE!</v>
      </c>
      <c r="DH110" t="s">
        <v>1283</v>
      </c>
      <c r="DI110">
        <v>0.38176783084869387</v>
      </c>
      <c r="DJ110" t="e">
        <v>#VALUE!</v>
      </c>
      <c r="DK110" t="s">
        <v>1283</v>
      </c>
      <c r="DL110">
        <v>0.33404685199260709</v>
      </c>
      <c r="DM110">
        <v>-56315600.000000007</v>
      </c>
      <c r="DN110">
        <v>0.47720978856086732</v>
      </c>
      <c r="DO110">
        <v>5154363500</v>
      </c>
      <c r="DP110">
        <v>1331025000</v>
      </c>
      <c r="DQ110" s="11">
        <v>4716</v>
      </c>
      <c r="DR110">
        <v>-0.19751023701240344</v>
      </c>
      <c r="DS110">
        <v>-50.732443997303996</v>
      </c>
      <c r="DT110">
        <v>0.34333333333333321</v>
      </c>
      <c r="DU110">
        <v>-1.8816666666666668</v>
      </c>
      <c r="DV110">
        <v>-1.5383333333333336</v>
      </c>
      <c r="DW110">
        <v>5.1839080459770113</v>
      </c>
      <c r="DX110">
        <v>0.69384270833333173</v>
      </c>
      <c r="DY110">
        <v>5.0190975095785442</v>
      </c>
      <c r="DZ110">
        <v>4050</v>
      </c>
      <c r="EA110">
        <v>5.0039555922345533</v>
      </c>
      <c r="EB110" s="12">
        <v>5</v>
      </c>
      <c r="EC110">
        <v>4.5960339964239649E-2</v>
      </c>
      <c r="ED110">
        <v>0.44259573639689498</v>
      </c>
      <c r="EE110">
        <v>-1.05</v>
      </c>
      <c r="EF110">
        <v>-1.1184000000000001</v>
      </c>
      <c r="EG110">
        <v>59.103842708333332</v>
      </c>
      <c r="EH110" s="14" t="s">
        <v>1284</v>
      </c>
      <c r="EI110" s="15">
        <v>1</v>
      </c>
      <c r="EJ110" s="15">
        <v>0</v>
      </c>
      <c r="EK110" s="15">
        <v>45504</v>
      </c>
      <c r="EL110" s="15">
        <v>-3.92</v>
      </c>
      <c r="EM110" s="15">
        <v>-0.44</v>
      </c>
      <c r="EN110" s="15">
        <v>2.42</v>
      </c>
      <c r="EO110" s="15">
        <v>-0.79</v>
      </c>
      <c r="EP110" s="15">
        <v>6.84</v>
      </c>
    </row>
    <row r="111" spans="1:146" ht="96" x14ac:dyDescent="0.25">
      <c r="A111" s="7"/>
      <c r="B111" s="7"/>
      <c r="C111" s="7" t="str">
        <f>""&amp;CHAR(10)&amp;Basic_Fundamental_Information_Constructure(F111)&amp;CHAR(10)&amp;Basic_Fundamental_Information_Concatenate("")</f>
        <v xml:space="preserve">
市值49.001225亿, 利润-2.91亿; PE; 平均PE69.1; 平均PEG4.99, PB2.46; ROIC9.03%; ROE2.8667%; 股利率0%; 毛利51.32%; 净利-.53%; 上一年度营收增-6.57%, 利润增-395.48%; 当季营收增22.03%, 利润增-53.75%; 过往5年营收增13.83%, 利润增-75.42%
Income profile:
</v>
      </c>
      <c r="D111" t="s">
        <v>1258</v>
      </c>
      <c r="E111" t="s">
        <v>1259</v>
      </c>
      <c r="F111">
        <v>12.25</v>
      </c>
      <c r="G111">
        <v>-2.08</v>
      </c>
      <c r="H111" t="s">
        <v>4258</v>
      </c>
      <c r="I111">
        <v>4900122500</v>
      </c>
      <c r="K111">
        <v>2.46</v>
      </c>
      <c r="L111" t="s">
        <v>1277</v>
      </c>
      <c r="M111" t="s">
        <v>1711</v>
      </c>
      <c r="N111" t="s">
        <v>3467</v>
      </c>
      <c r="O111" t="s">
        <v>675</v>
      </c>
      <c r="P111">
        <v>22.05</v>
      </c>
      <c r="Q111" t="s">
        <v>1291</v>
      </c>
      <c r="R111">
        <v>-145908760</v>
      </c>
      <c r="S111" s="6">
        <v>-0.53749999999999998</v>
      </c>
      <c r="T111" t="s">
        <v>3480</v>
      </c>
      <c r="U111">
        <v>191043250</v>
      </c>
      <c r="V111">
        <v>400010000</v>
      </c>
      <c r="W111">
        <v>1.66</v>
      </c>
      <c r="X111">
        <v>0.09</v>
      </c>
      <c r="Y111">
        <v>-51.14</v>
      </c>
      <c r="Z111" t="s">
        <v>879</v>
      </c>
      <c r="AA111" t="s">
        <v>301</v>
      </c>
      <c r="AB111" t="s">
        <v>268</v>
      </c>
      <c r="AC111" t="s">
        <v>3468</v>
      </c>
      <c r="AD111" t="s">
        <v>63</v>
      </c>
      <c r="AE111">
        <v>215039</v>
      </c>
      <c r="AF111" t="s">
        <v>3469</v>
      </c>
      <c r="AG111" t="s">
        <v>3470</v>
      </c>
      <c r="AH111" t="s">
        <v>3471</v>
      </c>
      <c r="AI111" t="s">
        <v>1063</v>
      </c>
      <c r="AJ111" t="s">
        <v>3472</v>
      </c>
      <c r="AK111" t="s">
        <v>3473</v>
      </c>
      <c r="AL111" t="s">
        <v>3474</v>
      </c>
      <c r="AM111" t="s">
        <v>63</v>
      </c>
      <c r="AN111">
        <v>0</v>
      </c>
      <c r="AO111" t="s">
        <v>3475</v>
      </c>
      <c r="AP111" t="s">
        <v>3476</v>
      </c>
      <c r="AQ111" t="s">
        <v>726</v>
      </c>
      <c r="AR111" t="s">
        <v>63</v>
      </c>
      <c r="AS111" t="s">
        <v>1497</v>
      </c>
      <c r="AT111" t="s">
        <v>436</v>
      </c>
      <c r="AU111" t="s">
        <v>3477</v>
      </c>
      <c r="AV111" t="s">
        <v>1735</v>
      </c>
      <c r="AW111" t="s">
        <v>3478</v>
      </c>
      <c r="AX111" t="s">
        <v>1556</v>
      </c>
      <c r="AY111" t="s">
        <v>1260</v>
      </c>
      <c r="AZ111" t="s">
        <v>1073</v>
      </c>
      <c r="BA111" t="s">
        <v>962</v>
      </c>
      <c r="BB111" t="s">
        <v>376</v>
      </c>
      <c r="BC111" t="s">
        <v>3479</v>
      </c>
      <c r="BD111" t="s">
        <v>298</v>
      </c>
      <c r="BE111" t="s">
        <v>209</v>
      </c>
      <c r="BF111" t="s">
        <v>561</v>
      </c>
      <c r="BG111" t="s">
        <v>348</v>
      </c>
      <c r="BH111" t="s">
        <v>1291</v>
      </c>
      <c r="BI111" t="s">
        <v>208</v>
      </c>
      <c r="BJ111" t="s">
        <v>1556</v>
      </c>
      <c r="BK111" t="s">
        <v>3480</v>
      </c>
      <c r="BL111" t="s">
        <v>4259</v>
      </c>
      <c r="BM111" t="s">
        <v>3479</v>
      </c>
      <c r="BN111" t="s">
        <v>63</v>
      </c>
      <c r="BO111">
        <v>4.4400000000000004</v>
      </c>
      <c r="BP111">
        <v>13.62</v>
      </c>
      <c r="BQ111">
        <v>-8.57</v>
      </c>
      <c r="BR111">
        <v>3.88</v>
      </c>
      <c r="BS111">
        <v>13.29</v>
      </c>
      <c r="BT111" t="s">
        <v>1409</v>
      </c>
      <c r="BU111" t="s">
        <v>1830</v>
      </c>
      <c r="BV111">
        <v>47.82</v>
      </c>
      <c r="BW111">
        <v>52.79</v>
      </c>
      <c r="BX111">
        <v>53.35</v>
      </c>
      <c r="BY111">
        <v>-18.13</v>
      </c>
      <c r="BZ111">
        <v>5.67</v>
      </c>
      <c r="CA111">
        <v>10.87</v>
      </c>
      <c r="CB111">
        <v>17.899999999999999</v>
      </c>
      <c r="CC111">
        <v>-2.93</v>
      </c>
      <c r="CD111" t="s">
        <v>4260</v>
      </c>
      <c r="CE111" t="s">
        <v>4261</v>
      </c>
      <c r="CF111" s="9">
        <v>0.22033898305084745</v>
      </c>
      <c r="CG111" s="10">
        <v>-0.53753574898469725</v>
      </c>
      <c r="CH111" s="9">
        <v>-6.5659463405609131E-2</v>
      </c>
      <c r="CI111" s="9">
        <v>3.2393444329500198E-2</v>
      </c>
      <c r="CJ111" s="9">
        <v>0.30745095014572144</v>
      </c>
      <c r="CK111" s="9">
        <v>0.18384413421154022</v>
      </c>
      <c r="CL111" s="9">
        <v>0.23367689549922943</v>
      </c>
      <c r="CM111" s="10">
        <v>-3.9548215866088867</v>
      </c>
      <c r="CN111" s="10">
        <v>-0.4498150646686554</v>
      </c>
      <c r="CO111" s="10">
        <v>5.2941177040338516E-2</v>
      </c>
      <c r="CP111" s="10">
        <v>4.2944785207509995E-2</v>
      </c>
      <c r="CQ111" s="10">
        <v>0.53773581981658936</v>
      </c>
      <c r="CR111">
        <v>69.099654016810533</v>
      </c>
      <c r="CS111">
        <v>4.9948719495529827</v>
      </c>
      <c r="CT111">
        <v>0</v>
      </c>
      <c r="CU111" s="9">
        <v>0.13834119215607643</v>
      </c>
      <c r="CV111" s="10">
        <v>-0.75420297384262081</v>
      </c>
      <c r="CW111">
        <v>0.06</v>
      </c>
      <c r="CX111" t="e">
        <v>#VALUE!</v>
      </c>
      <c r="CY111" t="s">
        <v>1282</v>
      </c>
      <c r="CZ111">
        <v>0.13834119215607643</v>
      </c>
      <c r="DA111" t="e">
        <v>#VALUE!</v>
      </c>
      <c r="DB111" t="s">
        <v>1283</v>
      </c>
      <c r="DC111">
        <v>0.13142413254827259</v>
      </c>
      <c r="DD111" t="e">
        <v>#VALUE!</v>
      </c>
      <c r="DE111" t="s">
        <v>1283</v>
      </c>
      <c r="DF111">
        <v>0.12174024909734726</v>
      </c>
      <c r="DG111" t="e">
        <v>#VALUE!</v>
      </c>
      <c r="DH111" t="s">
        <v>1283</v>
      </c>
      <c r="DI111">
        <v>0.11067295372486115</v>
      </c>
      <c r="DJ111" t="e">
        <v>#VALUE!</v>
      </c>
      <c r="DK111" t="s">
        <v>1283</v>
      </c>
      <c r="DL111">
        <v>9.6838834509253499E-2</v>
      </c>
      <c r="DM111">
        <v>-291000000</v>
      </c>
      <c r="DN111">
        <v>0.13834119215607643</v>
      </c>
      <c r="DO111">
        <v>4170122500</v>
      </c>
      <c r="DP111">
        <v>1436559600</v>
      </c>
      <c r="DQ111">
        <v>4733</v>
      </c>
      <c r="DR111">
        <v>8.1997790894771022E-2</v>
      </c>
      <c r="DS111">
        <v>0.21666722485792356</v>
      </c>
      <c r="DT111" s="11">
        <v>-9.000000000000008E-2</v>
      </c>
      <c r="DU111">
        <v>-1.6983333333333333</v>
      </c>
      <c r="DV111">
        <v>-1.7883333333333333</v>
      </c>
      <c r="DW111">
        <v>5.1636871508379887</v>
      </c>
      <c r="DX111">
        <v>0.72408691243490753</v>
      </c>
      <c r="DY111">
        <v>5.0530488633203507</v>
      </c>
      <c r="DZ111">
        <v>4244</v>
      </c>
      <c r="EA111">
        <v>5.0089730262155019</v>
      </c>
      <c r="EB111">
        <v>5</v>
      </c>
      <c r="EC111">
        <v>2.8924276893077673E-2</v>
      </c>
      <c r="ED111">
        <v>8.9248518787030329E-2</v>
      </c>
      <c r="EE111" s="12">
        <v>-2.0226999999999999</v>
      </c>
      <c r="EF111">
        <v>-2.0019</v>
      </c>
      <c r="EG111">
        <v>40.324086912434908</v>
      </c>
      <c r="EH111" t="s">
        <v>1431</v>
      </c>
      <c r="EI111">
        <v>1</v>
      </c>
      <c r="EJ111">
        <v>0</v>
      </c>
      <c r="EK111" s="14">
        <v>45504</v>
      </c>
      <c r="EL111" s="15">
        <v>-3.44</v>
      </c>
      <c r="EM111" s="15">
        <v>-1.1499999999999999</v>
      </c>
      <c r="EN111" s="15">
        <v>6.13</v>
      </c>
      <c r="EO111" s="15">
        <v>1.38</v>
      </c>
      <c r="EP111" s="15">
        <v>-2.08</v>
      </c>
    </row>
    <row r="112" spans="1:146" ht="96" hidden="1" x14ac:dyDescent="0.25">
      <c r="A112" s="7"/>
      <c r="B112" s="7"/>
      <c r="C112" s="7" t="str">
        <f>""&amp;CHAR(10)&amp;Basic_Fundamental_Information_Constructure(F112)&amp;CHAR(10)&amp;Basic_Fundamental_Information_Concatenate("")</f>
        <v xml:space="preserve">
市值67.419亿, 利润1.95亿; PE29.51; 平均PE18.72; 平均PEG1.08, PB1.22; ROIC13.36%; ROE14.61%; 股利率1.7621%; 毛利64.45%; 净利15.4333%; 上一年度营收增-13.56%, 利润增-65.97%; 当季营收增-15.03%, 利润增39.04%; 过往5年营收增17.34%, 利润增9.66%
Income profile:
</v>
      </c>
      <c r="D112" t="s">
        <v>1261</v>
      </c>
      <c r="E112" t="s">
        <v>1262</v>
      </c>
      <c r="F112">
        <v>20.43</v>
      </c>
      <c r="G112">
        <v>8.9600000000000009</v>
      </c>
      <c r="H112" t="s">
        <v>4262</v>
      </c>
      <c r="I112">
        <v>6741900000</v>
      </c>
      <c r="J112">
        <v>29.51</v>
      </c>
      <c r="K112">
        <v>1.22</v>
      </c>
      <c r="L112" t="s">
        <v>1277</v>
      </c>
      <c r="M112" t="s">
        <v>1126</v>
      </c>
      <c r="N112" t="s">
        <v>3481</v>
      </c>
      <c r="O112" t="s">
        <v>560</v>
      </c>
      <c r="P112">
        <v>-14.92</v>
      </c>
      <c r="Q112" t="s">
        <v>224</v>
      </c>
      <c r="R112">
        <v>-52644555</v>
      </c>
      <c r="S112" s="5">
        <v>0.39040000000000002</v>
      </c>
      <c r="T112" t="s">
        <v>243</v>
      </c>
      <c r="U112">
        <v>99112695</v>
      </c>
      <c r="V112">
        <v>330000000</v>
      </c>
      <c r="W112">
        <v>1.17</v>
      </c>
      <c r="X112">
        <v>0.04</v>
      </c>
      <c r="Y112">
        <v>-17.98</v>
      </c>
      <c r="Z112" t="s">
        <v>64</v>
      </c>
      <c r="AA112" t="s">
        <v>3482</v>
      </c>
      <c r="AB112" t="s">
        <v>301</v>
      </c>
      <c r="AC112" t="s">
        <v>3483</v>
      </c>
      <c r="AD112" t="s">
        <v>63</v>
      </c>
      <c r="AE112">
        <v>-314522</v>
      </c>
      <c r="AF112" t="s">
        <v>3484</v>
      </c>
      <c r="AG112" t="s">
        <v>3485</v>
      </c>
      <c r="AH112" t="s">
        <v>3486</v>
      </c>
      <c r="AI112" t="s">
        <v>230</v>
      </c>
      <c r="AJ112" t="s">
        <v>3487</v>
      </c>
      <c r="AK112" t="s">
        <v>3488</v>
      </c>
      <c r="AL112" t="s">
        <v>3489</v>
      </c>
      <c r="AM112" t="s">
        <v>63</v>
      </c>
      <c r="AN112" t="s">
        <v>738</v>
      </c>
      <c r="AO112" t="s">
        <v>63</v>
      </c>
      <c r="AP112" t="s">
        <v>63</v>
      </c>
      <c r="AQ112" t="s">
        <v>299</v>
      </c>
      <c r="AR112" t="s">
        <v>63</v>
      </c>
      <c r="AS112" t="s">
        <v>1152</v>
      </c>
      <c r="AT112" t="s">
        <v>63</v>
      </c>
      <c r="AU112" t="s">
        <v>1735</v>
      </c>
      <c r="AV112" t="s">
        <v>294</v>
      </c>
      <c r="AW112" t="s">
        <v>3490</v>
      </c>
      <c r="AX112" t="s">
        <v>1557</v>
      </c>
      <c r="AY112" t="s">
        <v>1036</v>
      </c>
      <c r="AZ112" t="s">
        <v>1263</v>
      </c>
      <c r="BA112" t="s">
        <v>1080</v>
      </c>
      <c r="BB112" t="s">
        <v>1151</v>
      </c>
      <c r="BC112" t="s">
        <v>1075</v>
      </c>
      <c r="BD112" t="s">
        <v>542</v>
      </c>
      <c r="BE112" t="s">
        <v>406</v>
      </c>
      <c r="BF112" t="s">
        <v>387</v>
      </c>
      <c r="BG112" t="s">
        <v>352</v>
      </c>
      <c r="BH112" t="s">
        <v>224</v>
      </c>
      <c r="BI112" t="s">
        <v>3813</v>
      </c>
      <c r="BJ112" t="s">
        <v>1557</v>
      </c>
      <c r="BK112" t="s">
        <v>243</v>
      </c>
      <c r="BL112" t="s">
        <v>4263</v>
      </c>
      <c r="BM112" t="s">
        <v>1075</v>
      </c>
      <c r="BN112" t="s">
        <v>63</v>
      </c>
      <c r="BO112">
        <v>10.33</v>
      </c>
      <c r="BP112">
        <v>16.39</v>
      </c>
      <c r="BQ112">
        <v>-1.62</v>
      </c>
      <c r="BR112">
        <v>10.62</v>
      </c>
      <c r="BS112">
        <v>34.83</v>
      </c>
      <c r="BT112" t="s">
        <v>3491</v>
      </c>
      <c r="BU112" t="s">
        <v>1848</v>
      </c>
      <c r="BV112">
        <v>61.4</v>
      </c>
      <c r="BW112">
        <v>66</v>
      </c>
      <c r="BX112">
        <v>65.95</v>
      </c>
      <c r="BY112">
        <v>7.97</v>
      </c>
      <c r="BZ112">
        <v>20.29</v>
      </c>
      <c r="CA112">
        <v>18.04</v>
      </c>
      <c r="CB112">
        <v>9.7200000000000006</v>
      </c>
      <c r="CC112">
        <v>1.54</v>
      </c>
      <c r="CD112" t="s">
        <v>4264</v>
      </c>
      <c r="CE112" t="s">
        <v>4265</v>
      </c>
      <c r="CF112" s="9">
        <v>-0.15028901734104047</v>
      </c>
      <c r="CG112" s="10">
        <v>0.39037403523805664</v>
      </c>
      <c r="CH112" s="9">
        <v>-0.13562324643135071</v>
      </c>
      <c r="CI112" s="9">
        <v>1.0737340897321701E-2</v>
      </c>
      <c r="CJ112" s="9">
        <v>0.31544250249862671</v>
      </c>
      <c r="CK112" s="9">
        <v>0.39096260070800781</v>
      </c>
      <c r="CL112" s="9">
        <v>0.28535360097885132</v>
      </c>
      <c r="CM112" s="10">
        <v>-0.65968585014343262</v>
      </c>
      <c r="CN112" s="10">
        <v>0.1369047611951828</v>
      </c>
      <c r="CO112" s="10">
        <v>0.22926829755306244</v>
      </c>
      <c r="CP112" s="10">
        <v>0.55893534421920776</v>
      </c>
      <c r="CQ112" s="10">
        <v>0.21759259700775146</v>
      </c>
      <c r="CR112">
        <v>18.718833873206847</v>
      </c>
      <c r="CS112">
        <v>1.0796759283672668</v>
      </c>
      <c r="CT112">
        <v>1.7621145374449341</v>
      </c>
      <c r="CU112" s="9">
        <v>0.17337455973029137</v>
      </c>
      <c r="CV112" s="10">
        <v>9.6603029966354365E-2</v>
      </c>
      <c r="CW112">
        <v>0.06</v>
      </c>
      <c r="CX112">
        <v>11.016107691811259</v>
      </c>
      <c r="CY112">
        <v>215856640.70510077</v>
      </c>
      <c r="CZ112">
        <v>0.17337455973029137</v>
      </c>
      <c r="DA112">
        <v>3.3568606933164111</v>
      </c>
      <c r="DB112">
        <v>708370175.96066916</v>
      </c>
      <c r="DC112">
        <v>0.16470583174377679</v>
      </c>
      <c r="DD112">
        <v>1.5007662570950353</v>
      </c>
      <c r="DE112">
        <v>1584457265.5856433</v>
      </c>
      <c r="DF112">
        <v>0.15256961256265641</v>
      </c>
      <c r="DG112">
        <v>0.80526973454616091</v>
      </c>
      <c r="DH112">
        <v>2952923595.6448212</v>
      </c>
      <c r="DI112">
        <v>0.1386996477842331</v>
      </c>
      <c r="DJ112">
        <v>0.32053851005910483</v>
      </c>
      <c r="DK112">
        <v>7418453400.6897755</v>
      </c>
      <c r="DL112">
        <v>0.12136219181120395</v>
      </c>
      <c r="DM112">
        <v>195000000</v>
      </c>
      <c r="DN112">
        <v>0.17337455973029137</v>
      </c>
      <c r="DO112">
        <v>2377900000</v>
      </c>
      <c r="DP112">
        <v>4402418000</v>
      </c>
      <c r="DQ112">
        <v>4740</v>
      </c>
      <c r="DR112">
        <v>-0.32366357707133186</v>
      </c>
      <c r="DS112">
        <v>0.2937710052717023</v>
      </c>
      <c r="DT112" s="11">
        <v>-9.000000000000008E-2</v>
      </c>
      <c r="DU112">
        <v>-0.44166666666666671</v>
      </c>
      <c r="DV112">
        <v>-0.53166666666666673</v>
      </c>
      <c r="DW112">
        <v>5.1584362139917692</v>
      </c>
      <c r="DX112">
        <v>1.0451479757168101</v>
      </c>
      <c r="DY112">
        <v>5.0229966957411403</v>
      </c>
      <c r="DZ112">
        <v>2994</v>
      </c>
      <c r="EA112">
        <v>5.009517426545961</v>
      </c>
      <c r="EB112">
        <v>5</v>
      </c>
      <c r="EC112">
        <v>1.7156666666666667E-2</v>
      </c>
      <c r="ED112">
        <v>0.11820121212121212</v>
      </c>
      <c r="EE112" s="12">
        <v>1.1047100000000001</v>
      </c>
      <c r="EF112">
        <v>1.01511</v>
      </c>
      <c r="EG112">
        <v>90.14514797571681</v>
      </c>
      <c r="EH112" t="s">
        <v>1287</v>
      </c>
      <c r="EI112">
        <v>1</v>
      </c>
      <c r="EJ112">
        <v>0</v>
      </c>
      <c r="EK112" s="14">
        <v>45504</v>
      </c>
      <c r="EL112" s="15">
        <v>-1.64</v>
      </c>
      <c r="EM112" s="15">
        <v>0.91</v>
      </c>
      <c r="EN112" s="15">
        <v>0.32</v>
      </c>
      <c r="EO112" s="15">
        <v>-0.95</v>
      </c>
      <c r="EP112" s="15">
        <v>8.9600000000000009</v>
      </c>
    </row>
    <row r="113" spans="1:146" ht="96" x14ac:dyDescent="0.25">
      <c r="C113" s="7" t="str">
        <f>""&amp;CHAR(10)&amp;Basic_Fundamental_Information_Constructure(F113)&amp;CHAR(10)&amp;Basic_Fundamental_Information_Concatenate("")</f>
        <v xml:space="preserve">
市值26.049273亿, 利润3110.54万; PE94.36; 平均PE88.7; 平均PEG4.35, PB2.56; ROIC7.785%; ROE5.15%; 股利率.887%; 毛利57.1533%; 净利12.7233%; 上一年度营收增19.64%, 利润增-38.78%; 当季营收增10.66%, 利润增-21.24%; 过往5年营收增20.37%, 利润增465.48%
Income profile:
</v>
      </c>
      <c r="D113" t="s">
        <v>1350</v>
      </c>
      <c r="E113" t="s">
        <v>1351</v>
      </c>
      <c r="F113">
        <v>25.48</v>
      </c>
      <c r="G113">
        <v>5.86</v>
      </c>
      <c r="H113" t="s">
        <v>4266</v>
      </c>
      <c r="I113">
        <v>2604927300</v>
      </c>
      <c r="J113">
        <v>94.36</v>
      </c>
      <c r="K113">
        <v>2.56</v>
      </c>
      <c r="L113" t="s">
        <v>1277</v>
      </c>
      <c r="M113" t="s">
        <v>202</v>
      </c>
      <c r="N113" t="s">
        <v>835</v>
      </c>
      <c r="O113" t="s">
        <v>3492</v>
      </c>
      <c r="P113">
        <v>10.66</v>
      </c>
      <c r="Q113" t="s">
        <v>64</v>
      </c>
      <c r="R113">
        <v>-19965980</v>
      </c>
      <c r="S113">
        <v>-0.21240000000000001</v>
      </c>
      <c r="T113" t="s">
        <v>3508</v>
      </c>
      <c r="U113">
        <v>48202743</v>
      </c>
      <c r="V113">
        <v>102234195</v>
      </c>
      <c r="W113">
        <v>1.1399999999999999</v>
      </c>
      <c r="X113">
        <v>0.02</v>
      </c>
      <c r="Y113">
        <v>-69.19</v>
      </c>
      <c r="Z113" t="s">
        <v>3493</v>
      </c>
      <c r="AA113" t="s">
        <v>3494</v>
      </c>
      <c r="AB113" t="s">
        <v>3495</v>
      </c>
      <c r="AC113" t="s">
        <v>3496</v>
      </c>
      <c r="AD113" t="s">
        <v>63</v>
      </c>
      <c r="AE113">
        <v>-881453</v>
      </c>
      <c r="AF113" t="s">
        <v>3497</v>
      </c>
      <c r="AG113">
        <v>0.82</v>
      </c>
      <c r="AH113" t="s">
        <v>3498</v>
      </c>
      <c r="AI113" t="s">
        <v>649</v>
      </c>
      <c r="AJ113" t="s">
        <v>3499</v>
      </c>
      <c r="AK113" t="s">
        <v>3500</v>
      </c>
      <c r="AL113" t="s">
        <v>3501</v>
      </c>
      <c r="AM113" t="s">
        <v>63</v>
      </c>
      <c r="AN113">
        <v>0</v>
      </c>
      <c r="AO113" t="s">
        <v>3502</v>
      </c>
      <c r="AP113" t="s">
        <v>63</v>
      </c>
      <c r="AQ113" t="s">
        <v>3503</v>
      </c>
      <c r="AR113" t="s">
        <v>63</v>
      </c>
      <c r="AS113" t="s">
        <v>211</v>
      </c>
      <c r="AT113" t="s">
        <v>63</v>
      </c>
      <c r="AU113" t="s">
        <v>3504</v>
      </c>
      <c r="AV113" t="s">
        <v>3505</v>
      </c>
      <c r="AW113" t="s">
        <v>3506</v>
      </c>
      <c r="AX113" t="s">
        <v>336</v>
      </c>
      <c r="AY113" t="s">
        <v>221</v>
      </c>
      <c r="AZ113" t="s">
        <v>249</v>
      </c>
      <c r="BA113" t="s">
        <v>561</v>
      </c>
      <c r="BB113" t="s">
        <v>202</v>
      </c>
      <c r="BC113" t="s">
        <v>3507</v>
      </c>
      <c r="BD113" t="s">
        <v>1352</v>
      </c>
      <c r="BE113" t="s">
        <v>1353</v>
      </c>
      <c r="BF113" t="s">
        <v>1354</v>
      </c>
      <c r="BG113" t="s">
        <v>1355</v>
      </c>
      <c r="BH113" t="s">
        <v>64</v>
      </c>
      <c r="BI113" t="s">
        <v>4267</v>
      </c>
      <c r="BJ113" t="s">
        <v>336</v>
      </c>
      <c r="BK113" t="s">
        <v>3508</v>
      </c>
      <c r="BL113" t="s">
        <v>4268</v>
      </c>
      <c r="BM113" t="s">
        <v>3507</v>
      </c>
      <c r="BN113" t="s">
        <v>63</v>
      </c>
      <c r="BO113">
        <v>6.51</v>
      </c>
      <c r="BP113">
        <v>9.06</v>
      </c>
      <c r="BQ113">
        <v>-2.96</v>
      </c>
      <c r="BR113">
        <v>8.41</v>
      </c>
      <c r="BS113">
        <v>10</v>
      </c>
      <c r="BT113" t="s">
        <v>3509</v>
      </c>
      <c r="BU113" t="s">
        <v>1830</v>
      </c>
      <c r="BV113">
        <v>55.09</v>
      </c>
      <c r="BW113">
        <v>59.61</v>
      </c>
      <c r="BX113">
        <v>56.76</v>
      </c>
      <c r="BY113">
        <v>7.61</v>
      </c>
      <c r="BZ113">
        <v>16.059999999999999</v>
      </c>
      <c r="CA113">
        <v>14.5</v>
      </c>
      <c r="CB113">
        <v>0.83</v>
      </c>
      <c r="CC113" s="9">
        <v>-15.63</v>
      </c>
      <c r="CD113" s="10" t="s">
        <v>4269</v>
      </c>
      <c r="CE113" s="9" t="s">
        <v>4270</v>
      </c>
      <c r="CF113" s="9">
        <v>0.10659621881423638</v>
      </c>
      <c r="CG113" s="9">
        <v>-0.21239601170741185</v>
      </c>
      <c r="CH113" s="9">
        <v>0.19637462496757507</v>
      </c>
      <c r="CI113" s="9">
        <v>3.437500074505806E-2</v>
      </c>
      <c r="CJ113" s="10">
        <v>9.5890410244464874E-2</v>
      </c>
      <c r="CK113" s="10">
        <v>0.79141104221343994</v>
      </c>
      <c r="CL113" s="10">
        <v>-9.944751113653183E-2</v>
      </c>
      <c r="CM113" s="10">
        <v>-0.38776612281799316</v>
      </c>
      <c r="CN113" s="10">
        <v>7.9345248639583588E-2</v>
      </c>
      <c r="CO113">
        <v>0.11281457543373108</v>
      </c>
      <c r="CP113">
        <v>23.945156097412109</v>
      </c>
      <c r="CQ113">
        <v>-0.4753890335559845</v>
      </c>
      <c r="CR113" s="9">
        <v>88.698103634964482</v>
      </c>
      <c r="CS113" s="10">
        <v>4.3539069813606543</v>
      </c>
      <c r="CT113">
        <v>0.88697017268445832</v>
      </c>
      <c r="CU113">
        <v>0.20372071340680123</v>
      </c>
      <c r="CV113">
        <v>4.6548321530222889</v>
      </c>
      <c r="CW113">
        <v>0.06</v>
      </c>
      <c r="CX113">
        <v>50.022226892181315</v>
      </c>
      <c r="CY113">
        <v>35322843.65924897</v>
      </c>
      <c r="CZ113">
        <v>0.20372071340680123</v>
      </c>
      <c r="DA113">
        <v>14.865094836603802</v>
      </c>
      <c r="DB113">
        <v>118864179.43658988</v>
      </c>
      <c r="DC113">
        <v>0.19353467773646116</v>
      </c>
      <c r="DD113">
        <v>6.4117158750335248</v>
      </c>
      <c r="DE113">
        <v>275577916.1831249</v>
      </c>
      <c r="DF113">
        <v>0.17927422779798508</v>
      </c>
      <c r="DG113">
        <v>3.2933325519586276</v>
      </c>
      <c r="DH113">
        <v>536516513.93332988</v>
      </c>
      <c r="DI113">
        <v>0.162976570725441</v>
      </c>
      <c r="DJ113">
        <v>1.1782511987414812</v>
      </c>
      <c r="DK113">
        <v>1499618504.0060201</v>
      </c>
      <c r="DL113">
        <v>0.14260449938476086</v>
      </c>
      <c r="DM113">
        <v>31105400</v>
      </c>
      <c r="DN113">
        <v>0.20372071340680123</v>
      </c>
      <c r="DO113">
        <v>1766927300</v>
      </c>
      <c r="DP113">
        <v>839985960</v>
      </c>
      <c r="DQ113" s="11">
        <v>4748</v>
      </c>
      <c r="DR113">
        <v>-9.712449459256485E-2</v>
      </c>
      <c r="DS113">
        <v>-4.8672281647297009</v>
      </c>
      <c r="DT113">
        <v>-4.0000000000000036E-2</v>
      </c>
      <c r="DU113">
        <v>-0.51166666666666671</v>
      </c>
      <c r="DV113">
        <v>-0.55166666666666675</v>
      </c>
      <c r="DW113">
        <v>-2.1562999999999999</v>
      </c>
      <c r="DX113">
        <v>0.51249033195774762</v>
      </c>
      <c r="DY113">
        <v>-2.0316492388849956</v>
      </c>
      <c r="DZ113">
        <v>3018</v>
      </c>
      <c r="EA113">
        <v>-2.0129496690034534</v>
      </c>
      <c r="EB113" s="12">
        <v>2</v>
      </c>
      <c r="EC113">
        <v>3.0525011714524677E-2</v>
      </c>
      <c r="ED113">
        <v>0.15074799581490322</v>
      </c>
      <c r="EE113">
        <v>-7.0312099999999997</v>
      </c>
      <c r="EF113">
        <v>-7.0274000000000001</v>
      </c>
      <c r="EG113">
        <v>31.202490331957748</v>
      </c>
      <c r="EH113" s="14" t="s">
        <v>2223</v>
      </c>
      <c r="EI113" s="15">
        <v>0</v>
      </c>
      <c r="EJ113" s="15">
        <v>0</v>
      </c>
      <c r="EK113" s="15">
        <v>45504</v>
      </c>
      <c r="EL113" s="15">
        <v>-3.37</v>
      </c>
      <c r="EM113" s="15">
        <v>-3.05</v>
      </c>
      <c r="EN113" s="15">
        <v>0.37</v>
      </c>
      <c r="EO113" s="15">
        <v>1.46</v>
      </c>
      <c r="EP113" s="15">
        <v>5.86</v>
      </c>
    </row>
    <row r="114" spans="1:146" ht="96" hidden="1" x14ac:dyDescent="0.25">
      <c r="A114" s="7"/>
      <c r="B114" s="7"/>
      <c r="C114" s="7" t="str">
        <f>""&amp;CHAR(10)&amp;Basic_Fundamental_Information_Constructure(F114)&amp;CHAR(10)&amp;Basic_Fundamental_Information_Concatenate("")</f>
        <v xml:space="preserve">
市值28.130611亿, 利润4249.74万; PE52.77; 平均PE141.14; 平均PEG5.75, PB1.55; ROIC2.07%; ROE5.1333%; 股利率0%; 毛利51.36%; 净利4.55%; 上一年度营收增-3.07%, 利润增-37.53%; 当季营收增13.89%, 利润增47.7%; 过往5年营收增24.54%, 利润增151.93%
Income profile:
</v>
      </c>
      <c r="D114" t="s">
        <v>1264</v>
      </c>
      <c r="E114" t="s">
        <v>1265</v>
      </c>
      <c r="F114">
        <v>20.3</v>
      </c>
      <c r="G114">
        <v>4.4800000000000004</v>
      </c>
      <c r="H114" t="s">
        <v>4271</v>
      </c>
      <c r="I114">
        <v>2813061100</v>
      </c>
      <c r="J114">
        <v>52.77</v>
      </c>
      <c r="K114">
        <v>1.55</v>
      </c>
      <c r="L114" t="s">
        <v>1277</v>
      </c>
      <c r="M114" t="s">
        <v>1692</v>
      </c>
      <c r="N114" t="s">
        <v>1228</v>
      </c>
      <c r="O114" t="s">
        <v>416</v>
      </c>
      <c r="P114">
        <v>14</v>
      </c>
      <c r="Q114" t="s">
        <v>2844</v>
      </c>
      <c r="R114">
        <v>-11850583</v>
      </c>
      <c r="S114" s="5">
        <v>0.47699999999999998</v>
      </c>
      <c r="T114" t="s">
        <v>3523</v>
      </c>
      <c r="U114">
        <v>101940875</v>
      </c>
      <c r="V114">
        <v>138574440</v>
      </c>
      <c r="W114">
        <v>1.48</v>
      </c>
      <c r="X114">
        <v>0.05</v>
      </c>
      <c r="Y114">
        <v>-13.06</v>
      </c>
      <c r="Z114" t="s">
        <v>319</v>
      </c>
      <c r="AA114" t="s">
        <v>3510</v>
      </c>
      <c r="AB114" t="s">
        <v>3511</v>
      </c>
      <c r="AC114" t="s">
        <v>3512</v>
      </c>
      <c r="AD114" t="s">
        <v>63</v>
      </c>
      <c r="AE114">
        <v>366028</v>
      </c>
      <c r="AF114" t="s">
        <v>3513</v>
      </c>
      <c r="AG114">
        <v>23.66</v>
      </c>
      <c r="AH114" t="s">
        <v>3514</v>
      </c>
      <c r="AI114" t="s">
        <v>1720</v>
      </c>
      <c r="AJ114" t="s">
        <v>3515</v>
      </c>
      <c r="AK114" t="s">
        <v>3516</v>
      </c>
      <c r="AL114" t="s">
        <v>3517</v>
      </c>
      <c r="AM114" t="s">
        <v>63</v>
      </c>
      <c r="AN114">
        <v>0</v>
      </c>
      <c r="AO114" t="s">
        <v>417</v>
      </c>
      <c r="AP114" t="s">
        <v>3518</v>
      </c>
      <c r="AQ114" t="s">
        <v>541</v>
      </c>
      <c r="AR114" t="s">
        <v>63</v>
      </c>
      <c r="AS114" t="s">
        <v>3519</v>
      </c>
      <c r="AT114" t="s">
        <v>63</v>
      </c>
      <c r="AU114" t="s">
        <v>3520</v>
      </c>
      <c r="AV114" t="s">
        <v>3521</v>
      </c>
      <c r="AW114" t="s">
        <v>3522</v>
      </c>
      <c r="AX114" t="s">
        <v>724</v>
      </c>
      <c r="AY114" t="s">
        <v>1066</v>
      </c>
      <c r="AZ114" t="s">
        <v>1242</v>
      </c>
      <c r="BA114" t="s">
        <v>238</v>
      </c>
      <c r="BB114" t="s">
        <v>247</v>
      </c>
      <c r="BC114" t="s">
        <v>1558</v>
      </c>
      <c r="BD114" t="s">
        <v>1559</v>
      </c>
      <c r="BE114" t="s">
        <v>1266</v>
      </c>
      <c r="BF114" t="s">
        <v>1267</v>
      </c>
      <c r="BG114" t="s">
        <v>1268</v>
      </c>
      <c r="BH114" t="s">
        <v>2844</v>
      </c>
      <c r="BI114" t="s">
        <v>173</v>
      </c>
      <c r="BJ114" t="s">
        <v>724</v>
      </c>
      <c r="BK114" t="s">
        <v>3523</v>
      </c>
      <c r="BL114" t="s">
        <v>4272</v>
      </c>
      <c r="BM114" t="s">
        <v>1558</v>
      </c>
      <c r="BN114" t="s">
        <v>63</v>
      </c>
      <c r="BO114">
        <v>1.1499999999999999</v>
      </c>
      <c r="BP114">
        <v>2.99</v>
      </c>
      <c r="BQ114">
        <v>0.99</v>
      </c>
      <c r="BR114">
        <v>3.84</v>
      </c>
      <c r="BS114">
        <v>10.57</v>
      </c>
      <c r="BT114" t="s">
        <v>1409</v>
      </c>
      <c r="BU114" t="s">
        <v>1848</v>
      </c>
      <c r="BV114">
        <v>51.77</v>
      </c>
      <c r="BW114">
        <v>51.1</v>
      </c>
      <c r="BX114">
        <v>51.21</v>
      </c>
      <c r="BY114">
        <v>2.92</v>
      </c>
      <c r="BZ114">
        <v>5.68</v>
      </c>
      <c r="CA114">
        <v>5.05</v>
      </c>
      <c r="CB114">
        <v>4.6399999999999997</v>
      </c>
      <c r="CC114">
        <v>-9.1300000000000008</v>
      </c>
      <c r="CD114" t="s">
        <v>4273</v>
      </c>
      <c r="CE114" t="s">
        <v>4274</v>
      </c>
      <c r="CF114" s="9">
        <v>0.1388888888888889</v>
      </c>
      <c r="CG114" s="10">
        <v>0.47703096177438858</v>
      </c>
      <c r="CH114" s="9">
        <v>-3.0683403834700584E-2</v>
      </c>
      <c r="CI114" s="9">
        <v>9.9693253636360168E-2</v>
      </c>
      <c r="CJ114" s="9">
        <v>0.22556391358375549</v>
      </c>
      <c r="CK114" s="9">
        <v>0.19819819927215576</v>
      </c>
      <c r="CL114" s="9">
        <v>0.734375</v>
      </c>
      <c r="CM114" s="10">
        <v>-0.37526240944862366</v>
      </c>
      <c r="CN114" s="10">
        <v>0.37127721309661865</v>
      </c>
      <c r="CO114" s="10">
        <v>1.3327376842498779</v>
      </c>
      <c r="CP114" s="10">
        <v>5.2154088020324707</v>
      </c>
      <c r="CQ114" s="10">
        <v>1.0524530410766602</v>
      </c>
      <c r="CR114">
        <v>141.13833564405616</v>
      </c>
      <c r="CS114">
        <v>5.7506696401871835</v>
      </c>
      <c r="CT114">
        <v>0</v>
      </c>
      <c r="CU114" s="9">
        <v>0.24542939253151416</v>
      </c>
      <c r="CV114" s="10">
        <v>1.5193228662014007</v>
      </c>
      <c r="CW114">
        <v>0.06</v>
      </c>
      <c r="CX114">
        <v>36.030501483735101</v>
      </c>
      <c r="CY114">
        <v>49931614.213366762</v>
      </c>
      <c r="CZ114">
        <v>0.24542939253151416</v>
      </c>
      <c r="DA114">
        <v>10.347337456159069</v>
      </c>
      <c r="DB114">
        <v>173867055.90906775</v>
      </c>
      <c r="DC114">
        <v>0.23315792290493845</v>
      </c>
      <c r="DD114">
        <v>4.2461540797925537</v>
      </c>
      <c r="DE114">
        <v>423691902.4115802</v>
      </c>
      <c r="DF114">
        <v>0.21597786542773245</v>
      </c>
      <c r="DG114">
        <v>2.0499583620282968</v>
      </c>
      <c r="DH114">
        <v>877608605.77672863</v>
      </c>
      <c r="DI114">
        <v>0.19634351402521133</v>
      </c>
      <c r="DJ114">
        <v>0.62820280168384801</v>
      </c>
      <c r="DK114">
        <v>2863822152.9381251</v>
      </c>
      <c r="DL114">
        <v>0.1718005747720599</v>
      </c>
      <c r="DM114">
        <v>42497400</v>
      </c>
      <c r="DN114">
        <v>0.24542939253151416</v>
      </c>
      <c r="DO114">
        <v>1799061099.9999998</v>
      </c>
      <c r="DP114">
        <v>1333688100</v>
      </c>
      <c r="DQ114">
        <v>4749</v>
      </c>
      <c r="DR114">
        <v>-0.10654050364262527</v>
      </c>
      <c r="DS114">
        <v>-1.042291904427012</v>
      </c>
      <c r="DT114" s="11">
        <v>1.0000000000000011E-2</v>
      </c>
      <c r="DU114">
        <v>0.68666666666666687</v>
      </c>
      <c r="DV114">
        <v>0.69666666666666688</v>
      </c>
      <c r="DW114">
        <v>6.336964415395788</v>
      </c>
      <c r="DX114">
        <v>0.42216137478334659</v>
      </c>
      <c r="DY114">
        <v>6.0580122570076052</v>
      </c>
      <c r="DZ114">
        <v>507</v>
      </c>
      <c r="EA114">
        <v>6.0522541884283463</v>
      </c>
      <c r="EB114">
        <v>6</v>
      </c>
      <c r="EC114">
        <v>4.7165263666228779E-2</v>
      </c>
      <c r="ED114">
        <v>0.27395961333128965</v>
      </c>
      <c r="EE114" s="12">
        <v>3.0810000000000001E-2</v>
      </c>
      <c r="EF114">
        <v>1.4000000000000005E-2</v>
      </c>
      <c r="EG114">
        <v>25.172161374783347</v>
      </c>
      <c r="EH114" t="s">
        <v>1099</v>
      </c>
      <c r="EI114">
        <v>0</v>
      </c>
      <c r="EJ114">
        <v>1</v>
      </c>
      <c r="EK114" s="14">
        <v>45504</v>
      </c>
      <c r="EL114" s="15">
        <v>-8.5299999999999994</v>
      </c>
      <c r="EM114" s="15">
        <v>-1.75</v>
      </c>
      <c r="EN114" s="15">
        <v>0.37</v>
      </c>
      <c r="EO114" s="15">
        <v>2.5099999999999998</v>
      </c>
      <c r="EP114" s="15">
        <v>4.4800000000000004</v>
      </c>
    </row>
    <row r="115" spans="1:146" ht="108" hidden="1" x14ac:dyDescent="0.25">
      <c r="C115" s="7" t="str">
        <f>""&amp;CHAR(10)&amp;Basic_Fundamental_Information_Constructure(F115)&amp;CHAR(10)&amp;Basic_Fundamental_Information_Concatenate("")</f>
        <v xml:space="preserve">
市值16.293205亿, 利润4222.41万; PE44.18; 平均PE47.1; 平均PEG1.71, PB1.74; ROIC10.5433%; ROE12.62%; 股利率.6301%; 毛利59.7467%; 净利21.5733%; 上一年度营收增11.11%, 利润增8.05%; 当季营收增3.1%, 利润增-43.59%; 过往5年营收增27.56%, 利润增31.38%
Income profile:
</v>
      </c>
      <c r="D115" t="s">
        <v>1388</v>
      </c>
      <c r="E115" t="s">
        <v>1404</v>
      </c>
      <c r="F115">
        <v>15.87</v>
      </c>
      <c r="G115">
        <v>4.13</v>
      </c>
      <c r="H115" t="s">
        <v>4275</v>
      </c>
      <c r="I115">
        <v>1629320500</v>
      </c>
      <c r="J115">
        <v>44.18</v>
      </c>
      <c r="K115">
        <v>1.74</v>
      </c>
      <c r="L115" t="s">
        <v>1277</v>
      </c>
      <c r="M115" t="s">
        <v>3524</v>
      </c>
      <c r="N115" t="s">
        <v>363</v>
      </c>
      <c r="O115" t="s">
        <v>3525</v>
      </c>
      <c r="P115" s="5">
        <v>3.1</v>
      </c>
      <c r="Q115" t="s">
        <v>206</v>
      </c>
      <c r="R115">
        <v>6917821</v>
      </c>
      <c r="S115">
        <v>-0.43590000000000001</v>
      </c>
      <c r="T115" t="s">
        <v>3541</v>
      </c>
      <c r="U115">
        <v>32383365</v>
      </c>
      <c r="V115">
        <v>102666700</v>
      </c>
      <c r="W115">
        <v>1.06</v>
      </c>
      <c r="X115">
        <v>0.05</v>
      </c>
      <c r="Y115">
        <v>13.76</v>
      </c>
      <c r="Z115" t="s">
        <v>3526</v>
      </c>
      <c r="AA115" t="s">
        <v>3527</v>
      </c>
      <c r="AB115" t="s">
        <v>3528</v>
      </c>
      <c r="AC115" t="s">
        <v>3529</v>
      </c>
      <c r="AD115" t="s">
        <v>63</v>
      </c>
      <c r="AE115">
        <v>-1240192</v>
      </c>
      <c r="AF115" t="s">
        <v>3530</v>
      </c>
      <c r="AG115">
        <v>552.38</v>
      </c>
      <c r="AH115" t="s">
        <v>3531</v>
      </c>
      <c r="AI115" t="s">
        <v>591</v>
      </c>
      <c r="AJ115" t="s">
        <v>3532</v>
      </c>
      <c r="AK115" t="s">
        <v>3533</v>
      </c>
      <c r="AL115" t="s">
        <v>3534</v>
      </c>
      <c r="AM115" t="s">
        <v>63</v>
      </c>
      <c r="AN115" t="s">
        <v>3535</v>
      </c>
      <c r="AO115" t="s">
        <v>63</v>
      </c>
      <c r="AP115" t="s">
        <v>63</v>
      </c>
      <c r="AQ115" t="s">
        <v>3536</v>
      </c>
      <c r="AR115" t="s">
        <v>63</v>
      </c>
      <c r="AS115" t="s">
        <v>3537</v>
      </c>
      <c r="AT115" t="s">
        <v>63</v>
      </c>
      <c r="AU115" t="s">
        <v>3538</v>
      </c>
      <c r="AV115" t="s">
        <v>3539</v>
      </c>
      <c r="AW115" t="s">
        <v>3540</v>
      </c>
      <c r="AX115" t="s">
        <v>513</v>
      </c>
      <c r="AY115" t="s">
        <v>742</v>
      </c>
      <c r="AZ115" t="s">
        <v>437</v>
      </c>
      <c r="BA115" t="s">
        <v>1390</v>
      </c>
      <c r="BB115" t="s">
        <v>1391</v>
      </c>
      <c r="BC115" t="s">
        <v>1560</v>
      </c>
      <c r="BD115" t="s">
        <v>1389</v>
      </c>
      <c r="BE115" t="s">
        <v>1392</v>
      </c>
      <c r="BF115" t="s">
        <v>1393</v>
      </c>
      <c r="BG115" t="s">
        <v>1394</v>
      </c>
      <c r="BH115" t="s">
        <v>206</v>
      </c>
      <c r="BI115" t="s">
        <v>4276</v>
      </c>
      <c r="BJ115" t="s">
        <v>513</v>
      </c>
      <c r="BK115" t="s">
        <v>3541</v>
      </c>
      <c r="BL115" t="s">
        <v>4277</v>
      </c>
      <c r="BM115" t="s">
        <v>1560</v>
      </c>
      <c r="BN115">
        <v>3.13</v>
      </c>
      <c r="BO115">
        <v>6.11</v>
      </c>
      <c r="BP115">
        <v>22.39</v>
      </c>
      <c r="BQ115">
        <v>3.58</v>
      </c>
      <c r="BR115">
        <v>10.31</v>
      </c>
      <c r="BS115">
        <v>23.97</v>
      </c>
      <c r="BT115" t="s">
        <v>1410</v>
      </c>
      <c r="BU115" t="s">
        <v>1848</v>
      </c>
      <c r="BV115">
        <v>58.69</v>
      </c>
      <c r="BW115">
        <v>60.46</v>
      </c>
      <c r="BX115">
        <v>60.09</v>
      </c>
      <c r="BY115">
        <v>19.14</v>
      </c>
      <c r="BZ115">
        <v>19.63</v>
      </c>
      <c r="CA115">
        <v>25.95</v>
      </c>
      <c r="CB115">
        <v>3.79</v>
      </c>
      <c r="CC115" s="9">
        <v>-10.54</v>
      </c>
      <c r="CD115" s="10" t="s">
        <v>4278</v>
      </c>
      <c r="CE115" s="9" t="s">
        <v>4279</v>
      </c>
      <c r="CF115" s="9">
        <v>3.1028978440173879E-2</v>
      </c>
      <c r="CG115" s="9">
        <v>-0.4359061776313643</v>
      </c>
      <c r="CH115" s="9">
        <v>0.1111111119389534</v>
      </c>
      <c r="CI115" s="9">
        <v>-2.4630540981888771E-2</v>
      </c>
      <c r="CJ115" s="10">
        <v>0.50370371341705322</v>
      </c>
      <c r="CK115" s="10">
        <v>0.46067371964454651</v>
      </c>
      <c r="CL115" s="10">
        <v>0.32730790972709656</v>
      </c>
      <c r="CM115" s="10">
        <v>8.0472268164157867E-2</v>
      </c>
      <c r="CN115" s="10">
        <v>-0.25954762101173401</v>
      </c>
      <c r="CO115">
        <v>0.31283643841743469</v>
      </c>
      <c r="CP115">
        <v>1.5038896799087524</v>
      </c>
      <c r="CQ115">
        <v>-6.8490371108055115E-2</v>
      </c>
      <c r="CR115" s="9">
        <v>47.096154281587701</v>
      </c>
      <c r="CS115" s="10">
        <v>1.7086532837538977</v>
      </c>
      <c r="CT115">
        <v>0.63011972274732198</v>
      </c>
      <c r="CU115">
        <v>0.27563318274915216</v>
      </c>
      <c r="CV115">
        <v>0.31383207887411119</v>
      </c>
      <c r="CW115">
        <v>0.06</v>
      </c>
      <c r="CX115">
        <v>14.714276228785055</v>
      </c>
      <c r="CY115">
        <v>50813644.407281578</v>
      </c>
      <c r="CZ115">
        <v>0.27563318274915216</v>
      </c>
      <c r="DA115">
        <v>4.1233035465790291</v>
      </c>
      <c r="DB115">
        <v>181331786.89217067</v>
      </c>
      <c r="DC115">
        <v>0.26185152361169456</v>
      </c>
      <c r="DD115">
        <v>1.6315541107197844</v>
      </c>
      <c r="DE115">
        <v>458266137.22921342</v>
      </c>
      <c r="DF115">
        <v>0.24255720081925392</v>
      </c>
      <c r="DG115">
        <v>0.75220054591871621</v>
      </c>
      <c r="DH115">
        <v>993998215.04622507</v>
      </c>
      <c r="DI115">
        <v>0.22050654619932175</v>
      </c>
      <c r="DJ115">
        <v>0.20505036383487663</v>
      </c>
      <c r="DK115">
        <v>3646352954.5458312</v>
      </c>
      <c r="DL115">
        <v>0.19294322792440649</v>
      </c>
      <c r="DM115">
        <v>42224100</v>
      </c>
      <c r="DN115">
        <v>0.27563318274915216</v>
      </c>
      <c r="DO115">
        <v>747686000</v>
      </c>
      <c r="DP115">
        <v>793692590</v>
      </c>
      <c r="DQ115" s="11">
        <v>4788</v>
      </c>
      <c r="DR115">
        <v>-0.24460420430897828</v>
      </c>
      <c r="DS115">
        <v>-0.74973825650547554</v>
      </c>
      <c r="DT115">
        <v>-9.000000000000008E-2</v>
      </c>
      <c r="DU115">
        <v>-3.3333333333332989E-3</v>
      </c>
      <c r="DV115">
        <v>-9.3333333333333379E-2</v>
      </c>
      <c r="DW115">
        <v>6.2644801116538726</v>
      </c>
      <c r="DX115">
        <v>0.46188387456022356</v>
      </c>
      <c r="DY115">
        <v>6.0348806618690345</v>
      </c>
      <c r="DZ115">
        <v>2018</v>
      </c>
      <c r="EA115">
        <v>6.0211004786952458</v>
      </c>
      <c r="EB115" s="12">
        <v>6</v>
      </c>
      <c r="EC115">
        <v>2.537629046224335E-2</v>
      </c>
      <c r="ED115">
        <v>0.19241389856691604</v>
      </c>
      <c r="EE115">
        <v>-2.0262099999999998</v>
      </c>
      <c r="EF115">
        <v>-2.0150999999999999</v>
      </c>
      <c r="EG115">
        <v>33.131883874560224</v>
      </c>
      <c r="EH115" s="14" t="s">
        <v>1431</v>
      </c>
      <c r="EI115" s="15">
        <v>0</v>
      </c>
      <c r="EJ115" s="15">
        <v>0</v>
      </c>
      <c r="EK115" s="15">
        <v>45504</v>
      </c>
      <c r="EL115" s="15">
        <v>-3.23</v>
      </c>
      <c r="EM115" s="15">
        <v>1.31</v>
      </c>
      <c r="EN115" s="15">
        <v>0.57999999999999996</v>
      </c>
      <c r="EO115" s="15">
        <v>-2.37</v>
      </c>
      <c r="EP115" s="15">
        <v>4.13</v>
      </c>
    </row>
    <row r="116" spans="1:146" ht="96" hidden="1" x14ac:dyDescent="0.25">
      <c r="A116" s="7"/>
      <c r="B116" s="7"/>
      <c r="C116" s="7" t="str">
        <f>""&amp;CHAR(10)&amp;Basic_Fundamental_Information_Constructure(F116)&amp;CHAR(10)&amp;Basic_Fundamental_Information_Concatenate("")</f>
        <v xml:space="preserve">
市值9.9040204亿, 利润-2950.56万; PE; 平均PE24.52; 平均PEG1.18, PB1.4; ROIC11.545%; ROE8.1167%; 股利率0%; 毛利38.55%; 净利6.8167%; 上一年度营收增-27.18%, 利润增-156.7%; 当季营收增9.64%, 利润增77.96%; 过往5年营收增20.81%, 利润增23.09%
Income profile:
</v>
      </c>
      <c r="D116" t="s">
        <v>1067</v>
      </c>
      <c r="E116" t="s">
        <v>1068</v>
      </c>
      <c r="F116">
        <v>9.15</v>
      </c>
      <c r="G116">
        <v>4.33</v>
      </c>
      <c r="H116" t="s">
        <v>4280</v>
      </c>
      <c r="I116">
        <v>990402040</v>
      </c>
      <c r="K116">
        <v>1.4</v>
      </c>
      <c r="L116" t="s">
        <v>1277</v>
      </c>
      <c r="M116" t="s">
        <v>399</v>
      </c>
      <c r="N116" t="s">
        <v>1775</v>
      </c>
      <c r="O116" t="s">
        <v>3542</v>
      </c>
      <c r="P116">
        <v>9.64</v>
      </c>
      <c r="Q116" t="s">
        <v>250</v>
      </c>
      <c r="R116">
        <v>-941201</v>
      </c>
      <c r="S116" s="5">
        <v>0.77959999999999996</v>
      </c>
      <c r="T116" t="s">
        <v>3560</v>
      </c>
      <c r="U116">
        <v>60037538</v>
      </c>
      <c r="V116">
        <v>108240660</v>
      </c>
      <c r="W116">
        <v>1.32</v>
      </c>
      <c r="X116">
        <v>0.08</v>
      </c>
      <c r="Y116">
        <v>-3.13</v>
      </c>
      <c r="Z116" t="s">
        <v>3543</v>
      </c>
      <c r="AA116" t="s">
        <v>3544</v>
      </c>
      <c r="AB116" t="s">
        <v>3545</v>
      </c>
      <c r="AC116" t="s">
        <v>3546</v>
      </c>
      <c r="AD116" t="s">
        <v>63</v>
      </c>
      <c r="AE116">
        <v>-814734</v>
      </c>
      <c r="AF116" t="s">
        <v>3547</v>
      </c>
      <c r="AG116">
        <v>24.4</v>
      </c>
      <c r="AH116" t="s">
        <v>3548</v>
      </c>
      <c r="AI116" t="s">
        <v>387</v>
      </c>
      <c r="AJ116" t="s">
        <v>3549</v>
      </c>
      <c r="AK116" t="s">
        <v>3550</v>
      </c>
      <c r="AL116" t="s">
        <v>3551</v>
      </c>
      <c r="AM116" t="s">
        <v>63</v>
      </c>
      <c r="AN116" t="s">
        <v>3552</v>
      </c>
      <c r="AO116" t="s">
        <v>3553</v>
      </c>
      <c r="AP116" t="s">
        <v>3554</v>
      </c>
      <c r="AQ116" t="s">
        <v>3555</v>
      </c>
      <c r="AR116" t="s">
        <v>63</v>
      </c>
      <c r="AS116" t="s">
        <v>495</v>
      </c>
      <c r="AT116" t="s">
        <v>63</v>
      </c>
      <c r="AU116" t="s">
        <v>3556</v>
      </c>
      <c r="AV116" t="s">
        <v>3557</v>
      </c>
      <c r="AW116" t="s">
        <v>3558</v>
      </c>
      <c r="AX116" t="s">
        <v>825</v>
      </c>
      <c r="AY116" t="s">
        <v>308</v>
      </c>
      <c r="AZ116" t="s">
        <v>586</v>
      </c>
      <c r="BA116" t="s">
        <v>214</v>
      </c>
      <c r="BB116" t="s">
        <v>561</v>
      </c>
      <c r="BC116" t="s">
        <v>3559</v>
      </c>
      <c r="BD116" t="s">
        <v>177</v>
      </c>
      <c r="BE116" t="s">
        <v>1069</v>
      </c>
      <c r="BF116" t="s">
        <v>1070</v>
      </c>
      <c r="BG116" t="s">
        <v>1071</v>
      </c>
      <c r="BH116" t="s">
        <v>250</v>
      </c>
      <c r="BI116" t="s">
        <v>4281</v>
      </c>
      <c r="BJ116" t="s">
        <v>825</v>
      </c>
      <c r="BK116" t="s">
        <v>3560</v>
      </c>
      <c r="BL116" t="s">
        <v>4282</v>
      </c>
      <c r="BM116" t="s">
        <v>3559</v>
      </c>
      <c r="BN116" t="s">
        <v>63</v>
      </c>
      <c r="BO116">
        <v>5.69</v>
      </c>
      <c r="BP116">
        <v>17.399999999999999</v>
      </c>
      <c r="BQ116">
        <v>-2.37</v>
      </c>
      <c r="BR116">
        <v>7.14</v>
      </c>
      <c r="BS116">
        <v>19.579999999999998</v>
      </c>
      <c r="BT116" t="s">
        <v>1409</v>
      </c>
      <c r="BU116" t="s">
        <v>1848</v>
      </c>
      <c r="BV116">
        <v>32.130000000000003</v>
      </c>
      <c r="BW116">
        <v>38.74</v>
      </c>
      <c r="BX116">
        <v>44.78</v>
      </c>
      <c r="BY116">
        <v>-10.37</v>
      </c>
      <c r="BZ116">
        <v>10.84</v>
      </c>
      <c r="CA116">
        <v>19.98</v>
      </c>
      <c r="CB116">
        <v>6.77</v>
      </c>
      <c r="CC116">
        <v>-8.41</v>
      </c>
      <c r="CD116" t="s">
        <v>4283</v>
      </c>
      <c r="CE116" t="s">
        <v>4284</v>
      </c>
      <c r="CF116" s="9">
        <v>9.6352699583840656E-2</v>
      </c>
      <c r="CG116" s="10">
        <v>0.77963498864461145</v>
      </c>
      <c r="CH116" s="9">
        <v>-0.27176222205162048</v>
      </c>
      <c r="CI116" s="9">
        <v>-7.1005918085575104E-2</v>
      </c>
      <c r="CJ116" s="9">
        <v>0.39669421315193176</v>
      </c>
      <c r="CK116" s="9">
        <v>0.54468083381652832</v>
      </c>
      <c r="CL116" s="9">
        <v>0.44171780347824097</v>
      </c>
      <c r="CM116" s="10">
        <v>-1.5669835805892944</v>
      </c>
      <c r="CN116" s="10">
        <v>-0.47960400581359863</v>
      </c>
      <c r="CO116" s="10">
        <v>0.32121339440345764</v>
      </c>
      <c r="CP116" s="10">
        <v>1.4098395109176636</v>
      </c>
      <c r="CQ116" s="10">
        <v>1.4700677394866943</v>
      </c>
      <c r="CR116">
        <v>24.520435263238031</v>
      </c>
      <c r="CS116">
        <v>1.1784991272553256</v>
      </c>
      <c r="CT116">
        <v>0</v>
      </c>
      <c r="CU116" s="9">
        <v>0.2080649420619011</v>
      </c>
      <c r="CV116" s="10">
        <v>0.2309066116809845</v>
      </c>
      <c r="CW116">
        <v>0.06</v>
      </c>
      <c r="CX116" t="e">
        <v>#VALUE!</v>
      </c>
      <c r="CY116" t="s">
        <v>1282</v>
      </c>
      <c r="CZ116">
        <v>0.2080649420619011</v>
      </c>
      <c r="DA116" t="e">
        <v>#VALUE!</v>
      </c>
      <c r="DB116" t="s">
        <v>1283</v>
      </c>
      <c r="DC116">
        <v>0.19766169495880603</v>
      </c>
      <c r="DD116" t="e">
        <v>#VALUE!</v>
      </c>
      <c r="DE116" t="s">
        <v>1283</v>
      </c>
      <c r="DF116">
        <v>0.18309714901447297</v>
      </c>
      <c r="DG116" t="e">
        <v>#VALUE!</v>
      </c>
      <c r="DH116" t="s">
        <v>1283</v>
      </c>
      <c r="DI116">
        <v>0.1664519536495209</v>
      </c>
      <c r="DJ116" t="e">
        <v>#VALUE!</v>
      </c>
      <c r="DK116" t="s">
        <v>1283</v>
      </c>
      <c r="DL116">
        <v>0.14564545944333077</v>
      </c>
      <c r="DM116">
        <v>-29505600</v>
      </c>
      <c r="DN116">
        <v>0.2080649420619011</v>
      </c>
      <c r="DO116">
        <v>572402040</v>
      </c>
      <c r="DP116">
        <v>531473400</v>
      </c>
      <c r="DQ116">
        <v>4792</v>
      </c>
      <c r="DR116">
        <v>-0.11171224247806044</v>
      </c>
      <c r="DS116">
        <v>0.54872837696362697</v>
      </c>
      <c r="DT116" s="11">
        <v>-0.25666666666666677</v>
      </c>
      <c r="DU116">
        <v>-0.57166666666666688</v>
      </c>
      <c r="DV116">
        <v>-0.82833333333333359</v>
      </c>
      <c r="DW116">
        <v>7.445981554677207</v>
      </c>
      <c r="DX116">
        <v>0.30385986891079608</v>
      </c>
      <c r="DY116">
        <v>7.037399954711864</v>
      </c>
      <c r="DZ116">
        <v>3440</v>
      </c>
      <c r="EA116">
        <v>7.0122128278111564</v>
      </c>
      <c r="EB116">
        <v>7</v>
      </c>
      <c r="EC116">
        <v>5.325355554927326E-2</v>
      </c>
      <c r="ED116">
        <v>0.6350303111603347</v>
      </c>
      <c r="EE116" s="12">
        <v>6.7709999999999992E-2</v>
      </c>
      <c r="EF116">
        <v>2.4409999999999998E-2</v>
      </c>
      <c r="EG116">
        <v>22.083859868910796</v>
      </c>
      <c r="EH116">
        <v>-1</v>
      </c>
      <c r="EI116">
        <v>1</v>
      </c>
      <c r="EJ116">
        <v>0</v>
      </c>
      <c r="EK116" s="14">
        <v>45504</v>
      </c>
      <c r="EL116" s="15">
        <v>-2.72</v>
      </c>
      <c r="EM116" s="15">
        <v>-0.93</v>
      </c>
      <c r="EN116" s="15">
        <v>1.3</v>
      </c>
      <c r="EO116" s="15">
        <v>1.1599999999999999</v>
      </c>
      <c r="EP116" s="15">
        <v>4.33</v>
      </c>
    </row>
    <row r="117" spans="1:146" ht="192" hidden="1" x14ac:dyDescent="0.25">
      <c r="A117" s="7"/>
      <c r="B117" s="7"/>
      <c r="C117" s="7" t="str">
        <f>"公司是国内证券行情交易系统软件产品的重要提供商,主营业务是面向证券公司等金融机构客户提供安全、稳定、可靠的金融软件解决方案,为证券公司等金融机构建设其投资者行情交易终端、终端用户信息系统以及客户服务系统等。同时为终端投资者客户提供专业、高效的证券信息服务。"&amp;CHAR(10)&amp;Basic_Fundamental_Information_Constructure(F117)&amp;CHAR(10)&amp;Basic_Fundamental_Information_Concatenate("证券行情交易系统及维护服务 2.68亿 82.21% 91.43% 96.29%
证券信息服务收入 5472.63万 16.77% 7.66% 39.53%
其他业务 331.48万 1.02% 0.92% 78.26%")</f>
        <v>公司是国内证券行情交易系统软件产品的重要提供商,主营业务是面向证券公司等金融机构客户提供安全、稳定、可靠的金融软件解决方案,为证券公司等金融机构建设其投资者行情交易终端、终端用户信息系统以及客户服务系统等。同时为终端投资者客户提供专业、高效的证券信息服务。
市值165.19706亿, 利润3.11亿; PE54.21; 平均PE75.55; 平均PEG4.19, PB4.74; ROIC5.4867%; ROE6.8033%; 股利率.8859%; 毛利85.2367%; 净利68.5033%; 上一年度营收增35.51%, 利润增101.95%; 当季营收增9.16%, 利润增-10.64%; 过往5年营收增18.02%, 利润增26.62%
Income profile:
证券行情交易系统及维护服务 2.68亿 82.21% 91.43% 96.29%
证券信息服务收入 5472.63万 16.77% 7.66% 39.53%
其他业务 331.48万 1.02% 0.92% 78.26%</v>
      </c>
      <c r="D117" t="s">
        <v>155</v>
      </c>
      <c r="E117" t="s">
        <v>156</v>
      </c>
      <c r="F117">
        <v>90.3</v>
      </c>
      <c r="G117">
        <v>20</v>
      </c>
      <c r="H117" t="s">
        <v>4285</v>
      </c>
      <c r="I117">
        <v>16519706000</v>
      </c>
      <c r="J117">
        <v>54.21</v>
      </c>
      <c r="K117">
        <v>4.74</v>
      </c>
      <c r="L117" t="s">
        <v>1277</v>
      </c>
      <c r="M117" t="s">
        <v>742</v>
      </c>
      <c r="N117" t="s">
        <v>3561</v>
      </c>
      <c r="O117" t="s">
        <v>3562</v>
      </c>
      <c r="P117">
        <v>9.16</v>
      </c>
      <c r="Q117" t="s">
        <v>393</v>
      </c>
      <c r="R117">
        <v>50192583</v>
      </c>
      <c r="S117" s="5">
        <v>-0.10639999999999999</v>
      </c>
      <c r="T117" t="s">
        <v>800</v>
      </c>
      <c r="U117">
        <v>182942480</v>
      </c>
      <c r="V117">
        <v>182942480</v>
      </c>
      <c r="W117">
        <v>1.08</v>
      </c>
      <c r="X117">
        <v>0.02</v>
      </c>
      <c r="Y117">
        <v>70.650000000000006</v>
      </c>
      <c r="Z117" t="s">
        <v>3563</v>
      </c>
      <c r="AA117" t="s">
        <v>3564</v>
      </c>
      <c r="AB117" t="s">
        <v>3565</v>
      </c>
      <c r="AC117" t="s">
        <v>3566</v>
      </c>
      <c r="AD117" t="s">
        <v>63</v>
      </c>
      <c r="AE117">
        <v>-8193839</v>
      </c>
      <c r="AF117" t="s">
        <v>3567</v>
      </c>
      <c r="AG117" t="s">
        <v>63</v>
      </c>
      <c r="AH117" t="s">
        <v>3568</v>
      </c>
      <c r="AI117" t="s">
        <v>474</v>
      </c>
      <c r="AJ117" t="s">
        <v>3569</v>
      </c>
      <c r="AK117" t="s">
        <v>63</v>
      </c>
      <c r="AL117" t="s">
        <v>3570</v>
      </c>
      <c r="AM117" t="s">
        <v>63</v>
      </c>
      <c r="AN117" t="s">
        <v>3571</v>
      </c>
      <c r="AO117" t="s">
        <v>421</v>
      </c>
      <c r="AP117" t="s">
        <v>63</v>
      </c>
      <c r="AQ117" t="s">
        <v>3572</v>
      </c>
      <c r="AR117">
        <v>571.39</v>
      </c>
      <c r="AS117" t="s">
        <v>387</v>
      </c>
      <c r="AT117" t="s">
        <v>63</v>
      </c>
      <c r="AU117" t="s">
        <v>3573</v>
      </c>
      <c r="AV117" t="s">
        <v>3574</v>
      </c>
      <c r="AW117" t="s">
        <v>421</v>
      </c>
      <c r="AX117" t="s">
        <v>553</v>
      </c>
      <c r="AY117" t="s">
        <v>630</v>
      </c>
      <c r="AZ117" t="s">
        <v>834</v>
      </c>
      <c r="BA117" t="s">
        <v>532</v>
      </c>
      <c r="BB117" t="s">
        <v>243</v>
      </c>
      <c r="BC117" t="s">
        <v>284</v>
      </c>
      <c r="BD117" t="s">
        <v>329</v>
      </c>
      <c r="BE117" t="s">
        <v>460</v>
      </c>
      <c r="BF117" t="s">
        <v>294</v>
      </c>
      <c r="BG117" t="s">
        <v>349</v>
      </c>
      <c r="BH117" t="s">
        <v>393</v>
      </c>
      <c r="BI117" t="s">
        <v>4286</v>
      </c>
      <c r="BJ117" t="s">
        <v>553</v>
      </c>
      <c r="BK117" t="s">
        <v>800</v>
      </c>
      <c r="BL117" t="s">
        <v>4287</v>
      </c>
      <c r="BM117" t="s">
        <v>284</v>
      </c>
      <c r="BN117">
        <v>5.08</v>
      </c>
      <c r="BO117">
        <v>3.41</v>
      </c>
      <c r="BP117">
        <v>7.97</v>
      </c>
      <c r="BQ117">
        <v>6.07</v>
      </c>
      <c r="BR117">
        <v>4.91</v>
      </c>
      <c r="BS117">
        <v>9.43</v>
      </c>
      <c r="BT117" t="s">
        <v>3575</v>
      </c>
      <c r="BU117" t="s">
        <v>1848</v>
      </c>
      <c r="BV117">
        <v>85.46</v>
      </c>
      <c r="BW117">
        <v>83.66</v>
      </c>
      <c r="BX117">
        <v>86.59</v>
      </c>
      <c r="BY117">
        <v>71.430000000000007</v>
      </c>
      <c r="BZ117">
        <v>47.75</v>
      </c>
      <c r="CA117">
        <v>86.33</v>
      </c>
      <c r="CB117">
        <v>23.78</v>
      </c>
      <c r="CC117">
        <v>5.28</v>
      </c>
      <c r="CD117" t="s">
        <v>4288</v>
      </c>
      <c r="CE117" t="s">
        <v>4289</v>
      </c>
      <c r="CF117" s="9">
        <v>9.1607768422346511E-2</v>
      </c>
      <c r="CG117" s="10">
        <v>-0.10636244672100501</v>
      </c>
      <c r="CH117" s="9">
        <v>0.35514017939567566</v>
      </c>
      <c r="CI117" s="9">
        <v>-1.5337423421442509E-2</v>
      </c>
      <c r="CJ117" s="9">
        <v>0.19413919746875763</v>
      </c>
      <c r="CK117" s="9">
        <v>0.20796459913253784</v>
      </c>
      <c r="CL117" s="9">
        <v>0.15897436439990997</v>
      </c>
      <c r="CM117" s="10">
        <v>1.0194804668426514</v>
      </c>
      <c r="CN117" s="10">
        <v>-0.45390069484710693</v>
      </c>
      <c r="CO117" s="10">
        <v>0.17991632223129272</v>
      </c>
      <c r="CP117" s="10">
        <v>0.30601093173027039</v>
      </c>
      <c r="CQ117" s="10">
        <v>0.27972027659416199</v>
      </c>
      <c r="CR117">
        <v>75.547435975609758</v>
      </c>
      <c r="CS117">
        <v>4.1929757058928505</v>
      </c>
      <c r="CT117">
        <v>0.88593576965669996</v>
      </c>
      <c r="CU117" s="9">
        <v>0.18017618339508773</v>
      </c>
      <c r="CV117" s="10">
        <v>0.26624546051025388</v>
      </c>
      <c r="CW117">
        <v>0.06</v>
      </c>
      <c r="CX117">
        <v>38.236397819179977</v>
      </c>
      <c r="CY117">
        <v>346259238.71308702</v>
      </c>
      <c r="CZ117">
        <v>0.18017618339508773</v>
      </c>
      <c r="DA117">
        <v>11.585953647632426</v>
      </c>
      <c r="DB117">
        <v>1142737697.9628704</v>
      </c>
      <c r="DC117">
        <v>0.17116737422533335</v>
      </c>
      <c r="DD117">
        <v>5.1384842866448857</v>
      </c>
      <c r="DE117">
        <v>2576578084.3994203</v>
      </c>
      <c r="DF117">
        <v>0.1585550413876772</v>
      </c>
      <c r="DG117">
        <v>2.7306184074805109</v>
      </c>
      <c r="DH117">
        <v>4848610836.1863794</v>
      </c>
      <c r="DI117">
        <v>0.1441409467160702</v>
      </c>
      <c r="DJ117">
        <v>1.0617567880872978</v>
      </c>
      <c r="DK117">
        <v>12469622185.181103</v>
      </c>
      <c r="DL117">
        <v>0.1261233283765614</v>
      </c>
      <c r="DM117">
        <v>311000000</v>
      </c>
      <c r="DN117">
        <v>0.18017618339508773</v>
      </c>
      <c r="DO117">
        <v>13239706000</v>
      </c>
      <c r="DP117">
        <v>2594154500</v>
      </c>
      <c r="DQ117">
        <v>4813</v>
      </c>
      <c r="DR117">
        <v>-8.8568414972741219E-2</v>
      </c>
      <c r="DS117">
        <v>-0.37260790723125892</v>
      </c>
      <c r="DT117" s="11">
        <v>7.6666666666666591E-2</v>
      </c>
      <c r="DU117">
        <v>0.53333333333333333</v>
      </c>
      <c r="DV117">
        <v>0.60999999999999988</v>
      </c>
      <c r="DW117">
        <v>5.2220353238015136</v>
      </c>
      <c r="DX117">
        <v>1.1902145642005615</v>
      </c>
      <c r="DY117">
        <v>5.0555564717821246</v>
      </c>
      <c r="DZ117">
        <v>621</v>
      </c>
      <c r="EA117">
        <v>5.048802249194674</v>
      </c>
      <c r="EB117">
        <v>5</v>
      </c>
      <c r="EC117">
        <v>0.12478567033747438</v>
      </c>
      <c r="ED117">
        <v>0.49871467796872548</v>
      </c>
      <c r="EE117" s="12">
        <v>3.0196999999999998</v>
      </c>
      <c r="EF117">
        <v>4.0697000000000001</v>
      </c>
      <c r="EG117">
        <v>94.250214564200562</v>
      </c>
      <c r="EH117" t="s">
        <v>1465</v>
      </c>
      <c r="EI117">
        <v>1</v>
      </c>
      <c r="EJ117">
        <v>1</v>
      </c>
      <c r="EK117" s="14">
        <v>45504</v>
      </c>
      <c r="EL117" s="15">
        <v>-9.27</v>
      </c>
      <c r="EM117" s="15">
        <v>-0.41</v>
      </c>
      <c r="EN117" s="15">
        <v>5</v>
      </c>
      <c r="EO117" s="15">
        <v>-2.79</v>
      </c>
      <c r="EP117" s="15">
        <v>20</v>
      </c>
    </row>
    <row r="118" spans="1:146" ht="96" hidden="1" x14ac:dyDescent="0.25">
      <c r="A118" s="7"/>
      <c r="B118" s="7"/>
      <c r="C118" s="7" t="str">
        <f>""&amp;CHAR(10)&amp;Basic_Fundamental_Information_Constructure(F118)&amp;CHAR(10)&amp;Basic_Fundamental_Information_Concatenate("")</f>
        <v xml:space="preserve">
市值80.334376亿, 利润-2.17亿; PE; 平均PE241.24; 平均PEG9.62, PB1.77; ROIC7.145%; ROE4.4933%; 股利率0%; 毛利28.49%; 净利1.89%; 上一年度营收增16.31%, 利润增-191.95%; 当季营收增20.3%, 利润增-119.08%; 过往5年营收增25.09%, 利润增-39.18%
Income profile:
</v>
      </c>
      <c r="D118" t="s">
        <v>1269</v>
      </c>
      <c r="E118" t="s">
        <v>1270</v>
      </c>
      <c r="F118">
        <v>66.95</v>
      </c>
      <c r="G118">
        <v>5.32</v>
      </c>
      <c r="H118" t="s">
        <v>4290</v>
      </c>
      <c r="I118">
        <v>8033437600</v>
      </c>
      <c r="K118">
        <v>1.77</v>
      </c>
      <c r="L118" t="s">
        <v>1277</v>
      </c>
      <c r="M118" t="s">
        <v>3576</v>
      </c>
      <c r="N118" t="s">
        <v>3577</v>
      </c>
      <c r="O118" t="s">
        <v>3180</v>
      </c>
      <c r="P118">
        <v>20.350000000000001</v>
      </c>
      <c r="Q118" t="s">
        <v>3591</v>
      </c>
      <c r="R118">
        <v>-191700100</v>
      </c>
      <c r="S118" s="5">
        <v>-1.1910000000000001</v>
      </c>
      <c r="T118" t="s">
        <v>3592</v>
      </c>
      <c r="U118">
        <v>79477291</v>
      </c>
      <c r="V118">
        <v>119991600</v>
      </c>
      <c r="W118">
        <v>1.96</v>
      </c>
      <c r="X118">
        <v>0.1</v>
      </c>
      <c r="Y118">
        <v>-21.57</v>
      </c>
      <c r="Z118" t="s">
        <v>1471</v>
      </c>
      <c r="AA118" t="s">
        <v>621</v>
      </c>
      <c r="AB118" t="s">
        <v>3578</v>
      </c>
      <c r="AC118" t="s">
        <v>3579</v>
      </c>
      <c r="AD118" t="s">
        <v>63</v>
      </c>
      <c r="AE118">
        <v>-14881470</v>
      </c>
      <c r="AF118" t="s">
        <v>3580</v>
      </c>
      <c r="AG118" t="s">
        <v>3581</v>
      </c>
      <c r="AH118" t="s">
        <v>3582</v>
      </c>
      <c r="AI118" t="s">
        <v>3583</v>
      </c>
      <c r="AJ118" t="s">
        <v>3584</v>
      </c>
      <c r="AK118" t="s">
        <v>441</v>
      </c>
      <c r="AL118" t="s">
        <v>3585</v>
      </c>
      <c r="AM118" t="s">
        <v>63</v>
      </c>
      <c r="AN118" t="s">
        <v>314</v>
      </c>
      <c r="AO118" t="s">
        <v>364</v>
      </c>
      <c r="AP118" t="s">
        <v>3586</v>
      </c>
      <c r="AQ118" t="s">
        <v>1223</v>
      </c>
      <c r="AR118" t="s">
        <v>63</v>
      </c>
      <c r="AS118" t="s">
        <v>3587</v>
      </c>
      <c r="AT118" t="s">
        <v>3588</v>
      </c>
      <c r="AU118" t="s">
        <v>3589</v>
      </c>
      <c r="AV118" t="s">
        <v>1004</v>
      </c>
      <c r="AW118" t="s">
        <v>3590</v>
      </c>
      <c r="AX118" t="s">
        <v>1562</v>
      </c>
      <c r="AY118" t="s">
        <v>1271</v>
      </c>
      <c r="AZ118" t="s">
        <v>1086</v>
      </c>
      <c r="BA118" t="s">
        <v>1046</v>
      </c>
      <c r="BB118" t="s">
        <v>953</v>
      </c>
      <c r="BC118" t="s">
        <v>208</v>
      </c>
      <c r="BD118" t="s">
        <v>301</v>
      </c>
      <c r="BE118" t="s">
        <v>1272</v>
      </c>
      <c r="BF118" t="s">
        <v>1273</v>
      </c>
      <c r="BG118" t="s">
        <v>1274</v>
      </c>
      <c r="BH118" t="s">
        <v>3591</v>
      </c>
      <c r="BI118" t="s">
        <v>585</v>
      </c>
      <c r="BJ118" t="s">
        <v>1562</v>
      </c>
      <c r="BK118" t="s">
        <v>3592</v>
      </c>
      <c r="BL118" t="s">
        <v>4291</v>
      </c>
      <c r="BM118" t="s">
        <v>208</v>
      </c>
      <c r="BN118" t="s">
        <v>63</v>
      </c>
      <c r="BO118">
        <v>4.82</v>
      </c>
      <c r="BP118">
        <v>9.4700000000000006</v>
      </c>
      <c r="BQ118">
        <v>-2.69</v>
      </c>
      <c r="BR118">
        <v>5.88</v>
      </c>
      <c r="BS118">
        <v>10.29</v>
      </c>
      <c r="BT118" t="s">
        <v>1409</v>
      </c>
      <c r="BU118" t="s">
        <v>1848</v>
      </c>
      <c r="BV118">
        <v>25.6</v>
      </c>
      <c r="BW118">
        <v>28.99</v>
      </c>
      <c r="BX118">
        <v>30.88</v>
      </c>
      <c r="BY118">
        <v>-4.6399999999999997</v>
      </c>
      <c r="BZ118">
        <v>5.83</v>
      </c>
      <c r="CA118">
        <v>4.4800000000000004</v>
      </c>
      <c r="CB118">
        <v>9.52</v>
      </c>
      <c r="CC118">
        <v>-0.01</v>
      </c>
      <c r="CD118" t="s">
        <v>4292</v>
      </c>
      <c r="CE118" t="s">
        <v>4293</v>
      </c>
      <c r="CF118" s="9">
        <v>0.20297699594046009</v>
      </c>
      <c r="CG118" s="10">
        <v>-1.19079569155167</v>
      </c>
      <c r="CH118" s="9">
        <v>0.16310292482376099</v>
      </c>
      <c r="CI118" s="9">
        <v>0.23298598825931549</v>
      </c>
      <c r="CJ118" s="9">
        <v>0.31585308909416199</v>
      </c>
      <c r="CK118" s="9">
        <v>0.34363150596618652</v>
      </c>
      <c r="CL118" s="9">
        <v>0.19883032143115997</v>
      </c>
      <c r="CM118" s="10">
        <v>-1.9194915294647217</v>
      </c>
      <c r="CN118" s="10">
        <v>0.61643832921981812</v>
      </c>
      <c r="CO118" s="10">
        <v>0.98117071390151978</v>
      </c>
      <c r="CP118" s="10">
        <v>2.2350742816925049</v>
      </c>
      <c r="CQ118" s="10">
        <v>-3.8720264434814453</v>
      </c>
      <c r="CR118">
        <v>241.24231976004208</v>
      </c>
      <c r="CS118">
        <v>9.6158156596929523</v>
      </c>
      <c r="CT118">
        <v>0</v>
      </c>
      <c r="CU118" s="9">
        <v>0.25088076591491698</v>
      </c>
      <c r="CV118" s="10">
        <v>-0.39176692962646487</v>
      </c>
      <c r="CW118">
        <v>0.06</v>
      </c>
      <c r="CX118" t="e">
        <v>#VALUE!</v>
      </c>
      <c r="CY118" t="s">
        <v>1282</v>
      </c>
      <c r="CZ118">
        <v>0.25088076591491698</v>
      </c>
      <c r="DA118" t="e">
        <v>#VALUE!</v>
      </c>
      <c r="DB118" t="s">
        <v>1283</v>
      </c>
      <c r="DC118">
        <v>0.23833672761917113</v>
      </c>
      <c r="DD118" t="e">
        <v>#VALUE!</v>
      </c>
      <c r="DE118" t="s">
        <v>1283</v>
      </c>
      <c r="DF118">
        <v>0.22077507400512694</v>
      </c>
      <c r="DG118" t="e">
        <v>#VALUE!</v>
      </c>
      <c r="DH118" t="s">
        <v>1283</v>
      </c>
      <c r="DI118">
        <v>0.2007046127319336</v>
      </c>
      <c r="DJ118" t="e">
        <v>#VALUE!</v>
      </c>
      <c r="DK118" t="s">
        <v>1283</v>
      </c>
      <c r="DL118">
        <v>0.17561653614044187</v>
      </c>
      <c r="DM118">
        <v>-217000000</v>
      </c>
      <c r="DN118">
        <v>0.25088076591491698</v>
      </c>
      <c r="DO118">
        <v>7779437600</v>
      </c>
      <c r="DP118">
        <v>2046617100</v>
      </c>
      <c r="DQ118">
        <v>4820</v>
      </c>
      <c r="DR118">
        <v>-4.7903769974456889E-2</v>
      </c>
      <c r="DS118">
        <v>-0.79902876192520511</v>
      </c>
      <c r="DT118" s="11">
        <v>0.22666666666666657</v>
      </c>
      <c r="DU118">
        <v>-1.2666666666666666</v>
      </c>
      <c r="DV118">
        <v>-1.04</v>
      </c>
      <c r="DW118">
        <v>5.0010504201680677</v>
      </c>
      <c r="DX118">
        <v>0.43021563073283814</v>
      </c>
      <c r="DY118">
        <v>5.000136781124719</v>
      </c>
      <c r="DZ118">
        <v>3642</v>
      </c>
      <c r="EA118">
        <v>5.0000392562899059</v>
      </c>
      <c r="EB118">
        <v>5</v>
      </c>
      <c r="EC118">
        <v>9.7591831428199979E-2</v>
      </c>
      <c r="ED118">
        <v>0.74946329576403681</v>
      </c>
      <c r="EE118" s="12">
        <v>-5.0224000000000002</v>
      </c>
      <c r="EF118">
        <v>-5.0755999999999997</v>
      </c>
      <c r="EG118">
        <v>30.130215630732838</v>
      </c>
      <c r="EH118" t="s">
        <v>1802</v>
      </c>
      <c r="EI118">
        <v>1</v>
      </c>
      <c r="EJ118">
        <v>0</v>
      </c>
      <c r="EK118" s="14">
        <v>45504</v>
      </c>
      <c r="EL118" s="15">
        <v>-8.19</v>
      </c>
      <c r="EM118" s="15">
        <v>1.78</v>
      </c>
      <c r="EN118">
        <v>-0.92</v>
      </c>
      <c r="EO118">
        <v>4.53</v>
      </c>
      <c r="EP118">
        <v>5.32</v>
      </c>
    </row>
    <row r="119" spans="1:146" ht="156" x14ac:dyDescent="0.25">
      <c r="A119" s="8"/>
      <c r="B119" s="7"/>
      <c r="C119" s="7" t="str">
        <f>"公司的主营业务是为客户提供协同管理软件产品、解决方案、协同管理平台及云服务,集协同管理产品的设计、研发、销售及服务为一体；公司的主要产品是协同管理软件产品类和技术服务类"&amp;CHAR(10)&amp;Basic_Fundamental_Information_Constructure(F119)&amp;CHAR(10)&amp;Basic_Fundamental_Information_Concatenate("协同管理软件产品 6.72亿 88.06%（毛利74.96%）
技术服务 8930.55万 11.70%（毛利93.12%）
其他业务 180.46万 0.24%（毛利64.53%）")</f>
        <v>公司的主营业务是为客户提供协同管理软件产品、解决方案、协同管理平台及云服务,集协同管理产品的设计、研发、销售及服务为一体；公司的主要产品是协同管理软件产品类和技术服务类
市值17.895621亿, 利润-5001.81万; PE; 平均PE23.78; 平均PEG1.79, PB1.31; ROIC6.64%; ROE4.5767%; 股利率.8366%; 毛利70.9833%; 净利6.0067%; 上一年度营收增1.26%, 利润增-153.17%; 当季营收增12.27%, 利润增23.75%; 过往5年营收增13.32%, 利润增-23.29%
Income profile:
协同管理软件产品 6.72亿 88.06%（毛利74.96%）
技术服务 8930.55万 11.70%（毛利93.12%）
其他业务 180.46万 0.24%（毛利64.53%）</v>
      </c>
      <c r="D119" t="s">
        <v>133</v>
      </c>
      <c r="E119" t="s">
        <v>4294</v>
      </c>
      <c r="F119">
        <v>15.54</v>
      </c>
      <c r="G119">
        <v>5.36</v>
      </c>
      <c r="H119" t="s">
        <v>4295</v>
      </c>
      <c r="I119">
        <v>1789562100</v>
      </c>
      <c r="K119">
        <v>1.31</v>
      </c>
      <c r="L119" t="s">
        <v>1277</v>
      </c>
      <c r="M119" t="s">
        <v>315</v>
      </c>
      <c r="N119" t="s">
        <v>1831</v>
      </c>
      <c r="O119" t="s">
        <v>294</v>
      </c>
      <c r="P119">
        <v>11.78</v>
      </c>
      <c r="Q119" t="s">
        <v>1690</v>
      </c>
      <c r="R119">
        <v>-30980741</v>
      </c>
      <c r="S119" s="5">
        <v>0.23749999999999999</v>
      </c>
      <c r="T119" t="s">
        <v>3603</v>
      </c>
      <c r="U119">
        <v>115158439</v>
      </c>
      <c r="V119">
        <v>115158439</v>
      </c>
      <c r="W119">
        <v>1.29</v>
      </c>
      <c r="X119">
        <v>0.1</v>
      </c>
      <c r="Y119">
        <v>-17.670000000000002</v>
      </c>
      <c r="Z119" t="s">
        <v>204</v>
      </c>
      <c r="AA119" t="s">
        <v>3593</v>
      </c>
      <c r="AB119" t="s">
        <v>3594</v>
      </c>
      <c r="AC119" t="s">
        <v>3595</v>
      </c>
      <c r="AD119" t="s">
        <v>63</v>
      </c>
      <c r="AE119">
        <v>-5940191</v>
      </c>
      <c r="AF119" t="s">
        <v>3596</v>
      </c>
      <c r="AG119" t="s">
        <v>63</v>
      </c>
      <c r="AH119" t="s">
        <v>3597</v>
      </c>
      <c r="AI119" t="s">
        <v>2698</v>
      </c>
      <c r="AJ119" t="s">
        <v>3598</v>
      </c>
      <c r="AK119" t="s">
        <v>3599</v>
      </c>
      <c r="AL119" t="s">
        <v>3600</v>
      </c>
      <c r="AM119" t="s">
        <v>63</v>
      </c>
      <c r="AN119" t="s">
        <v>1564</v>
      </c>
      <c r="AO119" t="s">
        <v>63</v>
      </c>
      <c r="AP119" t="s">
        <v>63</v>
      </c>
      <c r="AQ119" t="s">
        <v>386</v>
      </c>
      <c r="AR119" t="s">
        <v>63</v>
      </c>
      <c r="AS119" t="s">
        <v>187</v>
      </c>
      <c r="AT119" t="s">
        <v>63</v>
      </c>
      <c r="AU119" t="s">
        <v>1308</v>
      </c>
      <c r="AV119" t="s">
        <v>3601</v>
      </c>
      <c r="AW119" t="s">
        <v>3602</v>
      </c>
      <c r="AX119" t="s">
        <v>884</v>
      </c>
      <c r="AY119" t="s">
        <v>935</v>
      </c>
      <c r="AZ119" t="s">
        <v>267</v>
      </c>
      <c r="BA119" t="s">
        <v>650</v>
      </c>
      <c r="BB119" t="s">
        <v>353</v>
      </c>
      <c r="BC119" t="s">
        <v>1563</v>
      </c>
      <c r="BD119" t="s">
        <v>184</v>
      </c>
      <c r="BE119" t="s">
        <v>173</v>
      </c>
      <c r="BF119" t="s">
        <v>651</v>
      </c>
      <c r="BG119" t="s">
        <v>991</v>
      </c>
      <c r="BH119" t="s">
        <v>1690</v>
      </c>
      <c r="BI119" t="s">
        <v>561</v>
      </c>
      <c r="BJ119" t="s">
        <v>884</v>
      </c>
      <c r="BK119" t="s">
        <v>3603</v>
      </c>
      <c r="BL119" t="s">
        <v>4296</v>
      </c>
      <c r="BM119" t="s">
        <v>1563</v>
      </c>
      <c r="BN119" t="s">
        <v>63</v>
      </c>
      <c r="BO119">
        <v>5.27</v>
      </c>
      <c r="BP119">
        <v>8.01</v>
      </c>
      <c r="BQ119">
        <v>-2.29</v>
      </c>
      <c r="BR119">
        <v>6.53</v>
      </c>
      <c r="BS119">
        <v>9.49</v>
      </c>
      <c r="BT119" t="s">
        <v>1424</v>
      </c>
      <c r="BU119" t="s">
        <v>1830</v>
      </c>
      <c r="BV119">
        <v>68.44</v>
      </c>
      <c r="BW119">
        <v>72.22</v>
      </c>
      <c r="BX119">
        <v>72.290000000000006</v>
      </c>
      <c r="BY119">
        <v>-4.5199999999999996</v>
      </c>
      <c r="BZ119">
        <v>9.5</v>
      </c>
      <c r="CA119">
        <v>13.04</v>
      </c>
      <c r="CB119">
        <v>7.69</v>
      </c>
      <c r="CC119">
        <v>-7.56</v>
      </c>
      <c r="CD119" t="s">
        <v>4297</v>
      </c>
      <c r="CE119" t="s">
        <v>4298</v>
      </c>
      <c r="CF119" s="9">
        <v>0.12269938650306748</v>
      </c>
      <c r="CG119" s="10">
        <v>0.23754916558175479</v>
      </c>
      <c r="CH119" s="9">
        <v>1.2596899643540382E-2</v>
      </c>
      <c r="CI119" s="9">
        <v>9.6993212355300784E-4</v>
      </c>
      <c r="CJ119" s="9">
        <v>0.35124507546424866</v>
      </c>
      <c r="CK119" s="9">
        <v>9.0000003576278687E-2</v>
      </c>
      <c r="CL119" s="9">
        <v>0.21107266843318939</v>
      </c>
      <c r="CM119" s="10">
        <v>-1.5316516160964966</v>
      </c>
      <c r="CN119" s="10">
        <v>-0.27069303393363953</v>
      </c>
      <c r="CO119" s="10">
        <v>0.1944444477558136</v>
      </c>
      <c r="CP119" s="10">
        <v>0.10807070881128311</v>
      </c>
      <c r="CQ119" s="10">
        <v>0.33556839823722839</v>
      </c>
      <c r="CR119">
        <v>23.781192712669508</v>
      </c>
      <c r="CS119">
        <v>1.7856842953010699</v>
      </c>
      <c r="CT119">
        <v>0.83655083655083662</v>
      </c>
      <c r="CU119" s="9">
        <v>0.13317691584816202</v>
      </c>
      <c r="CV119" s="10">
        <v>-0.23285221904516221</v>
      </c>
      <c r="CW119">
        <v>0.06</v>
      </c>
      <c r="CX119" t="e">
        <v>#VALUE!</v>
      </c>
      <c r="CY119" t="s">
        <v>1282</v>
      </c>
      <c r="CZ119">
        <v>0.13317691584816202</v>
      </c>
      <c r="DA119" t="e">
        <v>#VALUE!</v>
      </c>
      <c r="DB119" t="s">
        <v>1283</v>
      </c>
      <c r="DC119">
        <v>0.12651807005575391</v>
      </c>
      <c r="DD119" t="e">
        <v>#VALUE!</v>
      </c>
      <c r="DE119" t="s">
        <v>1283</v>
      </c>
      <c r="DF119">
        <v>0.11719568594638258</v>
      </c>
      <c r="DG119" t="e">
        <v>#VALUE!</v>
      </c>
      <c r="DH119" t="s">
        <v>1283</v>
      </c>
      <c r="DI119">
        <v>0.10654153267852962</v>
      </c>
      <c r="DJ119" t="e">
        <v>#VALUE!</v>
      </c>
      <c r="DK119" t="s">
        <v>1283</v>
      </c>
      <c r="DL119">
        <v>9.3223841093713414E-2</v>
      </c>
      <c r="DM119">
        <v>-50018100.000000007</v>
      </c>
      <c r="DN119">
        <v>0.13317691584816202</v>
      </c>
      <c r="DO119">
        <v>885562100</v>
      </c>
      <c r="DP119">
        <v>1045495700</v>
      </c>
      <c r="DQ119">
        <v>4856</v>
      </c>
      <c r="DR119">
        <v>-1.0477529345094536E-2</v>
      </c>
      <c r="DS119">
        <v>0.470401384626917</v>
      </c>
      <c r="DT119" s="11">
        <v>-0.20666666666666669</v>
      </c>
      <c r="DU119">
        <v>-1.345</v>
      </c>
      <c r="DV119">
        <v>-1.5516666666666667</v>
      </c>
      <c r="DW119">
        <v>5.9830949284785433</v>
      </c>
      <c r="DX119">
        <v>0.42660843530688086</v>
      </c>
      <c r="DY119">
        <v>5.1441300092223701</v>
      </c>
      <c r="DZ119">
        <v>4057</v>
      </c>
      <c r="EA119">
        <v>5.0296555676767252</v>
      </c>
      <c r="EB119">
        <v>5</v>
      </c>
      <c r="EC119">
        <v>7.4158698868781986E-2</v>
      </c>
      <c r="ED119">
        <v>0.50582832231687336</v>
      </c>
      <c r="EE119" s="12">
        <v>-1.1246100000000001</v>
      </c>
      <c r="EF119">
        <v>-1.07101</v>
      </c>
      <c r="EG119">
        <v>28.146608435306881</v>
      </c>
      <c r="EH119" t="s">
        <v>1285</v>
      </c>
      <c r="EI119">
        <v>1</v>
      </c>
      <c r="EJ119">
        <v>0</v>
      </c>
      <c r="EK119" s="14">
        <v>45504</v>
      </c>
      <c r="EL119" s="15">
        <v>-4.5599999999999996</v>
      </c>
      <c r="EM119" s="15">
        <v>0.76</v>
      </c>
      <c r="EN119">
        <v>1.99</v>
      </c>
      <c r="EO119">
        <v>-1.55</v>
      </c>
      <c r="EP119">
        <v>5.36</v>
      </c>
    </row>
    <row r="120" spans="1:146" ht="96" x14ac:dyDescent="0.25">
      <c r="C120" s="7" t="str">
        <f>""&amp;CHAR(10)&amp;Basic_Fundamental_Information_Constructure(F120)&amp;CHAR(10)&amp;Basic_Fundamental_Information_Concatenate("")</f>
        <v xml:space="preserve">
市值19.5891亿, 利润4446.46万; PE54.43; 平均PE71.35; 平均PEG2.26, PB1.69; ROIC6.29%; ROE6.6233%; 股利率0%; 毛利85.3333%; 净利19.44%; 上一年度营收增23.35%, 利润增20.29%; 当季营收增4.67%, 利润增-228.84%; 过往5年营收增31.51%, 利润增85.75%
Income profile:
</v>
      </c>
      <c r="D120" s="5" t="s">
        <v>1428</v>
      </c>
      <c r="E120" t="s">
        <v>1429</v>
      </c>
      <c r="F120">
        <v>23.46</v>
      </c>
      <c r="G120">
        <v>6.15</v>
      </c>
      <c r="H120" t="s">
        <v>4299</v>
      </c>
      <c r="I120">
        <v>1958910000</v>
      </c>
      <c r="J120">
        <v>54.43</v>
      </c>
      <c r="K120">
        <v>1.69</v>
      </c>
      <c r="L120" t="s">
        <v>1277</v>
      </c>
      <c r="M120" t="s">
        <v>3604</v>
      </c>
      <c r="N120" t="s">
        <v>3605</v>
      </c>
      <c r="O120" t="s">
        <v>3606</v>
      </c>
      <c r="P120" s="5">
        <v>4.67</v>
      </c>
      <c r="Q120" t="s">
        <v>289</v>
      </c>
      <c r="R120">
        <v>-12178269</v>
      </c>
      <c r="S120">
        <v>-2.2879999999999998</v>
      </c>
      <c r="T120" t="s">
        <v>3620</v>
      </c>
      <c r="U120">
        <v>45947915</v>
      </c>
      <c r="V120">
        <v>83500000</v>
      </c>
      <c r="W120">
        <v>1.05</v>
      </c>
      <c r="X120">
        <v>0.03</v>
      </c>
      <c r="Y120">
        <v>-35.36</v>
      </c>
      <c r="Z120" t="s">
        <v>3607</v>
      </c>
      <c r="AA120" t="s">
        <v>3608</v>
      </c>
      <c r="AB120" t="s">
        <v>3609</v>
      </c>
      <c r="AC120" t="s">
        <v>3610</v>
      </c>
      <c r="AD120" t="s">
        <v>63</v>
      </c>
      <c r="AE120">
        <v>818915</v>
      </c>
      <c r="AF120" t="s">
        <v>3611</v>
      </c>
      <c r="AG120">
        <v>10000</v>
      </c>
      <c r="AH120" t="s">
        <v>3612</v>
      </c>
      <c r="AI120" t="s">
        <v>803</v>
      </c>
      <c r="AJ120" t="s">
        <v>3613</v>
      </c>
      <c r="AK120" t="s">
        <v>63</v>
      </c>
      <c r="AL120" t="s">
        <v>3614</v>
      </c>
      <c r="AM120" t="s">
        <v>63</v>
      </c>
      <c r="AN120">
        <v>0</v>
      </c>
      <c r="AO120" t="s">
        <v>63</v>
      </c>
      <c r="AP120" t="s">
        <v>63</v>
      </c>
      <c r="AQ120" t="s">
        <v>3615</v>
      </c>
      <c r="AR120" t="s">
        <v>63</v>
      </c>
      <c r="AS120" t="s">
        <v>3616</v>
      </c>
      <c r="AT120" t="s">
        <v>63</v>
      </c>
      <c r="AU120" t="s">
        <v>3617</v>
      </c>
      <c r="AV120" t="s">
        <v>601</v>
      </c>
      <c r="AW120" t="s">
        <v>3618</v>
      </c>
      <c r="AX120" t="s">
        <v>555</v>
      </c>
      <c r="AY120" t="s">
        <v>195</v>
      </c>
      <c r="AZ120" t="s">
        <v>184</v>
      </c>
      <c r="BA120" t="s">
        <v>316</v>
      </c>
      <c r="BB120" t="s">
        <v>1565</v>
      </c>
      <c r="BC120" t="s">
        <v>3619</v>
      </c>
      <c r="BD120" t="s">
        <v>1566</v>
      </c>
      <c r="BE120" t="s">
        <v>1567</v>
      </c>
      <c r="BF120" t="s">
        <v>1568</v>
      </c>
      <c r="BG120" t="s">
        <v>1569</v>
      </c>
      <c r="BH120" t="s">
        <v>289</v>
      </c>
      <c r="BI120" t="s">
        <v>4300</v>
      </c>
      <c r="BJ120" t="s">
        <v>555</v>
      </c>
      <c r="BK120" t="s">
        <v>3620</v>
      </c>
      <c r="BL120" t="s">
        <v>4301</v>
      </c>
      <c r="BM120" t="s">
        <v>3619</v>
      </c>
      <c r="BN120">
        <v>-0.11</v>
      </c>
      <c r="BO120">
        <v>9.4700000000000006</v>
      </c>
      <c r="BP120">
        <v>9.51</v>
      </c>
      <c r="BQ120">
        <v>7.0000000000000007E-2</v>
      </c>
      <c r="BR120">
        <v>9.84</v>
      </c>
      <c r="BS120">
        <v>9.9600000000000009</v>
      </c>
      <c r="BT120" t="s">
        <v>1409</v>
      </c>
      <c r="BU120" t="s">
        <v>1830</v>
      </c>
      <c r="BV120">
        <v>83.52</v>
      </c>
      <c r="BW120">
        <v>86.85</v>
      </c>
      <c r="BX120">
        <v>85.63</v>
      </c>
      <c r="BY120">
        <v>18.29</v>
      </c>
      <c r="BZ120">
        <v>18.8</v>
      </c>
      <c r="CA120">
        <v>21.23</v>
      </c>
      <c r="CB120">
        <v>7.47</v>
      </c>
      <c r="CC120" s="9">
        <v>-13.62</v>
      </c>
      <c r="CD120" s="10" t="s">
        <v>4302</v>
      </c>
      <c r="CE120" s="9" t="s">
        <v>4303</v>
      </c>
      <c r="CF120" s="9">
        <v>4.6687840979894535E-2</v>
      </c>
      <c r="CG120" s="9">
        <v>-2.2884022789868772</v>
      </c>
      <c r="CH120" s="9">
        <v>0.23350253701210022</v>
      </c>
      <c r="CI120" s="9">
        <v>0.23125000298023224</v>
      </c>
      <c r="CJ120" s="10">
        <v>0.24031007289886475</v>
      </c>
      <c r="CK120" s="10">
        <v>0.26470589637756348</v>
      </c>
      <c r="CL120" s="10">
        <v>0.60590720176696777</v>
      </c>
      <c r="CM120" s="10">
        <v>0.20289032161235809</v>
      </c>
      <c r="CN120" s="10">
        <v>8.9693471789360046E-2</v>
      </c>
      <c r="CO120">
        <v>-0.16406191885471344</v>
      </c>
      <c r="CP120">
        <v>1.2269918918609619</v>
      </c>
      <c r="CQ120">
        <v>2.9320354461669922</v>
      </c>
      <c r="CR120" s="9">
        <v>71.353397060984037</v>
      </c>
      <c r="CS120" s="10">
        <v>2.264215807898752</v>
      </c>
      <c r="CT120">
        <v>0</v>
      </c>
      <c r="CU120">
        <v>0.31513514220714567</v>
      </c>
      <c r="CV120">
        <v>0.85750984251499174</v>
      </c>
      <c r="CW120">
        <v>0.06</v>
      </c>
      <c r="CX120">
        <v>15.993063512184829</v>
      </c>
      <c r="CY120">
        <v>55166941.551116847</v>
      </c>
      <c r="CZ120">
        <v>0.31513514220714567</v>
      </c>
      <c r="DA120">
        <v>4.3414425181191119</v>
      </c>
      <c r="DB120">
        <v>203224710.75402904</v>
      </c>
      <c r="DC120">
        <v>0.29937838509678838</v>
      </c>
      <c r="DD120">
        <v>1.6374630204786811</v>
      </c>
      <c r="DE120">
        <v>538814244.33150244</v>
      </c>
      <c r="DF120">
        <v>0.27731892514228818</v>
      </c>
      <c r="DG120">
        <v>0.70984116078821302</v>
      </c>
      <c r="DH120">
        <v>1242937784.8704917</v>
      </c>
      <c r="DI120">
        <v>0.25210811376571657</v>
      </c>
      <c r="DJ120">
        <v>0.16523275524815484</v>
      </c>
      <c r="DK120">
        <v>5339670083.4222307</v>
      </c>
      <c r="DL120">
        <v>0.22059459954500196</v>
      </c>
      <c r="DM120">
        <v>44464600</v>
      </c>
      <c r="DN120">
        <v>0.31513514220714567</v>
      </c>
      <c r="DO120">
        <v>882288400</v>
      </c>
      <c r="DP120">
        <v>1063159110</v>
      </c>
      <c r="DQ120" s="11">
        <v>4899</v>
      </c>
      <c r="DR120">
        <v>-0.26844730122725113</v>
      </c>
      <c r="DS120">
        <v>-3.1459121215018691</v>
      </c>
      <c r="DT120">
        <v>0.32666666666666661</v>
      </c>
      <c r="DU120">
        <v>-0.10500000000000005</v>
      </c>
      <c r="DV120">
        <v>0.22166666666666657</v>
      </c>
      <c r="DW120">
        <v>7.3541963015647225</v>
      </c>
      <c r="DX120">
        <v>0.66994805209329034</v>
      </c>
      <c r="DY120">
        <v>7.0460271194469843</v>
      </c>
      <c r="DZ120">
        <v>1305</v>
      </c>
      <c r="EA120">
        <v>7.0342680374426161</v>
      </c>
      <c r="EB120" s="12">
        <v>7</v>
      </c>
      <c r="EC120" s="12">
        <v>2.7831137724550897E-2</v>
      </c>
      <c r="ED120">
        <v>0.21417125748502994</v>
      </c>
      <c r="EE120">
        <v>-5.0946100000000003</v>
      </c>
      <c r="EF120">
        <v>-5.0331099999999998</v>
      </c>
      <c r="EG120">
        <v>54.12994805209329</v>
      </c>
      <c r="EH120" s="14" t="s">
        <v>1799</v>
      </c>
      <c r="EI120" s="15">
        <v>1</v>
      </c>
      <c r="EJ120" s="15">
        <v>1</v>
      </c>
      <c r="EK120" s="15">
        <v>45504</v>
      </c>
      <c r="EL120" s="15">
        <v>-5.37</v>
      </c>
      <c r="EM120" s="15">
        <v>0.78</v>
      </c>
      <c r="EN120">
        <v>0.73</v>
      </c>
      <c r="EO120">
        <v>-0.27</v>
      </c>
      <c r="EP120">
        <v>6.15</v>
      </c>
    </row>
    <row r="121" spans="1:146" ht="96" hidden="1" x14ac:dyDescent="0.25">
      <c r="C121" s="7" t="str">
        <f>""&amp;CHAR(10)&amp;Basic_Fundamental_Information_Constructure(F121)&amp;CHAR(10)&amp;Basic_Fundamental_Information_Concatenate("")</f>
        <v xml:space="preserve">
市值22.6434亿, 利润1.15亿; PE20.49; 平均PE22.37; 平均PEG2.48, PB1.16; ROIC15.6433%; ROE12.3%; 股利率3.1867%; 毛利39.6267%; 净利17.55%; 上一年度营收增11.18%, 利润增6.48%; 当季营收增-14.37%, 利润增-11.81%; 过往5年营收增9.01%, 利润增7.92%
Income profile:
</v>
      </c>
      <c r="D121" t="s">
        <v>1570</v>
      </c>
      <c r="E121" t="s">
        <v>1571</v>
      </c>
      <c r="F121">
        <v>15.69</v>
      </c>
      <c r="G121">
        <v>2.82</v>
      </c>
      <c r="H121" t="s">
        <v>4304</v>
      </c>
      <c r="I121">
        <v>2264340000</v>
      </c>
      <c r="J121">
        <v>20.49</v>
      </c>
      <c r="K121">
        <v>1.1599999999999999</v>
      </c>
      <c r="L121" t="s">
        <v>1277</v>
      </c>
      <c r="M121" t="s">
        <v>823</v>
      </c>
      <c r="N121" t="s">
        <v>3621</v>
      </c>
      <c r="O121" t="s">
        <v>349</v>
      </c>
      <c r="P121">
        <v>-14.36</v>
      </c>
      <c r="Q121" t="s">
        <v>1460</v>
      </c>
      <c r="R121">
        <v>32014502</v>
      </c>
      <c r="S121">
        <v>-0.1181</v>
      </c>
      <c r="T121" t="s">
        <v>199</v>
      </c>
      <c r="U121">
        <v>58236224</v>
      </c>
      <c r="V121">
        <v>144317400</v>
      </c>
      <c r="W121">
        <v>1.1200000000000001</v>
      </c>
      <c r="X121">
        <v>7.0000000000000007E-2</v>
      </c>
      <c r="Y121">
        <v>22.36</v>
      </c>
      <c r="Z121" t="s">
        <v>182</v>
      </c>
      <c r="AA121" t="s">
        <v>3622</v>
      </c>
      <c r="AB121" t="s">
        <v>3623</v>
      </c>
      <c r="AC121" t="s">
        <v>3624</v>
      </c>
      <c r="AD121" t="s">
        <v>63</v>
      </c>
      <c r="AE121">
        <v>-3223803</v>
      </c>
      <c r="AF121" t="s">
        <v>175</v>
      </c>
      <c r="AG121" t="s">
        <v>3625</v>
      </c>
      <c r="AH121" t="s">
        <v>3626</v>
      </c>
      <c r="AI121" t="s">
        <v>624</v>
      </c>
      <c r="AJ121" t="s">
        <v>3627</v>
      </c>
      <c r="AK121" t="s">
        <v>3628</v>
      </c>
      <c r="AL121" t="s">
        <v>3629</v>
      </c>
      <c r="AM121" t="s">
        <v>63</v>
      </c>
      <c r="AN121" t="s">
        <v>209</v>
      </c>
      <c r="AO121" t="s">
        <v>63</v>
      </c>
      <c r="AP121" t="s">
        <v>63</v>
      </c>
      <c r="AQ121" t="s">
        <v>259</v>
      </c>
      <c r="AR121" t="s">
        <v>63</v>
      </c>
      <c r="AS121" t="s">
        <v>392</v>
      </c>
      <c r="AT121" t="s">
        <v>63</v>
      </c>
      <c r="AU121" t="s">
        <v>3630</v>
      </c>
      <c r="AV121" t="s">
        <v>3631</v>
      </c>
      <c r="AW121" t="s">
        <v>3632</v>
      </c>
      <c r="AX121" t="s">
        <v>764</v>
      </c>
      <c r="AY121" t="s">
        <v>810</v>
      </c>
      <c r="AZ121" t="s">
        <v>351</v>
      </c>
      <c r="BA121" t="s">
        <v>587</v>
      </c>
      <c r="BB121" t="s">
        <v>587</v>
      </c>
      <c r="BC121" t="s">
        <v>173</v>
      </c>
      <c r="BD121" t="s">
        <v>182</v>
      </c>
      <c r="BE121" t="s">
        <v>1572</v>
      </c>
      <c r="BF121" t="s">
        <v>1573</v>
      </c>
      <c r="BG121" t="s">
        <v>1574</v>
      </c>
      <c r="BH121" t="s">
        <v>1460</v>
      </c>
      <c r="BI121" t="s">
        <v>453</v>
      </c>
      <c r="BJ121" t="s">
        <v>764</v>
      </c>
      <c r="BK121" t="s">
        <v>199</v>
      </c>
      <c r="BL121" t="s">
        <v>4305</v>
      </c>
      <c r="BM121" t="s">
        <v>173</v>
      </c>
      <c r="BN121">
        <v>6.84</v>
      </c>
      <c r="BO121">
        <v>16.66</v>
      </c>
      <c r="BP121">
        <v>23.43</v>
      </c>
      <c r="BQ121">
        <v>7.04</v>
      </c>
      <c r="BR121">
        <v>17.559999999999999</v>
      </c>
      <c r="BS121" t="s">
        <v>63</v>
      </c>
      <c r="BT121" t="s">
        <v>1426</v>
      </c>
      <c r="BU121" t="s">
        <v>1848</v>
      </c>
      <c r="BV121">
        <v>35.07</v>
      </c>
      <c r="BW121">
        <v>40.03</v>
      </c>
      <c r="BX121">
        <v>43.78</v>
      </c>
      <c r="BY121">
        <v>15.6</v>
      </c>
      <c r="BZ121">
        <v>16.29</v>
      </c>
      <c r="CA121">
        <v>20.76</v>
      </c>
      <c r="CB121">
        <v>6.09</v>
      </c>
      <c r="CC121" s="9">
        <v>-1.63</v>
      </c>
      <c r="CD121" s="10" t="s">
        <v>4306</v>
      </c>
      <c r="CE121" s="9" t="s">
        <v>4307</v>
      </c>
      <c r="CF121" s="9">
        <v>-0.1437125748502994</v>
      </c>
      <c r="CG121" s="9">
        <v>-0.11812339027124705</v>
      </c>
      <c r="CH121" s="9">
        <v>0.11178247630596161</v>
      </c>
      <c r="CI121" s="9">
        <v>0.12393888086080551</v>
      </c>
      <c r="CJ121" s="10">
        <v>0.23739495873451233</v>
      </c>
      <c r="CK121" s="10">
        <v>-2.258726954460144E-2</v>
      </c>
      <c r="CL121" s="10">
        <v>0</v>
      </c>
      <c r="CM121" s="10">
        <v>6.4814813435077667E-2</v>
      </c>
      <c r="CN121" s="10">
        <v>-0.1147540956735611</v>
      </c>
      <c r="CO121">
        <v>0.43820273876190186</v>
      </c>
      <c r="CP121">
        <v>-8.4485486149787903E-2</v>
      </c>
      <c r="CQ121">
        <v>9.2065691947937012E-2</v>
      </c>
      <c r="CR121" s="9">
        <v>22.370141267701275</v>
      </c>
      <c r="CS121" s="10">
        <v>2.4826525002775428</v>
      </c>
      <c r="CT121">
        <v>3.1867431485022308</v>
      </c>
      <c r="CU121">
        <v>9.0105809271335602E-2</v>
      </c>
      <c r="CV121">
        <v>7.916873246431351E-2</v>
      </c>
      <c r="CW121">
        <v>0.06</v>
      </c>
      <c r="CX121">
        <v>5.109997775897587</v>
      </c>
      <c r="CY121">
        <v>118266196.28887129</v>
      </c>
      <c r="CZ121">
        <v>9.0105809271335602E-2</v>
      </c>
      <c r="DA121">
        <v>1.6697499927750956</v>
      </c>
      <c r="DB121">
        <v>361934422.88662457</v>
      </c>
      <c r="DC121">
        <v>8.5600518807768824E-2</v>
      </c>
      <c r="DD121">
        <v>0.82188077502950296</v>
      </c>
      <c r="DE121">
        <v>735313464.38697982</v>
      </c>
      <c r="DF121">
        <v>7.9293112158775325E-2</v>
      </c>
      <c r="DG121">
        <v>0.49348691832701186</v>
      </c>
      <c r="DH121">
        <v>1224632259.8556311</v>
      </c>
      <c r="DI121">
        <v>7.2084647417068479E-2</v>
      </c>
      <c r="DJ121">
        <v>0.25485170504713012</v>
      </c>
      <c r="DK121">
        <v>2371339834.2311983</v>
      </c>
      <c r="DL121">
        <v>6.3074066489934924E-2</v>
      </c>
      <c r="DM121">
        <v>114999999.99999999</v>
      </c>
      <c r="DN121">
        <v>9.0105809271335602E-2</v>
      </c>
      <c r="DO121">
        <v>604339999.99999976</v>
      </c>
      <c r="DP121">
        <v>1641564800</v>
      </c>
      <c r="DQ121" s="11">
        <v>4914</v>
      </c>
      <c r="DR121">
        <v>-0.233818384121635</v>
      </c>
      <c r="DS121">
        <v>-0.19729212273556057</v>
      </c>
      <c r="DT121">
        <v>-0.3066666666666667</v>
      </c>
      <c r="DU121">
        <v>0.13333333333333333</v>
      </c>
      <c r="DV121">
        <v>-0.17333333333333337</v>
      </c>
      <c r="DW121">
        <v>5.2676518883415433</v>
      </c>
      <c r="DX121">
        <v>0.68841387285456135</v>
      </c>
      <c r="DY121">
        <v>5.0209876211416962</v>
      </c>
      <c r="DZ121">
        <v>2223</v>
      </c>
      <c r="EA121">
        <v>5.0118538149948693</v>
      </c>
      <c r="EB121" s="12">
        <v>5</v>
      </c>
      <c r="EC121" s="12">
        <v>1.1323651895059083E-2</v>
      </c>
      <c r="ED121">
        <v>0.14440878230899393</v>
      </c>
      <c r="EE121">
        <v>4.0023</v>
      </c>
      <c r="EF121">
        <v>4.0305</v>
      </c>
      <c r="EG121">
        <v>61.078413872854561</v>
      </c>
      <c r="EH121" s="14" t="s">
        <v>1465</v>
      </c>
      <c r="EI121" s="15">
        <v>1</v>
      </c>
      <c r="EJ121" s="15">
        <v>0</v>
      </c>
      <c r="EK121" s="15">
        <v>45504</v>
      </c>
      <c r="EL121" s="15">
        <v>-2.89</v>
      </c>
      <c r="EM121" s="15">
        <v>0.74</v>
      </c>
      <c r="EN121">
        <v>1.1399999999999999</v>
      </c>
      <c r="EO121">
        <v>0.73</v>
      </c>
      <c r="EP121">
        <v>2.82</v>
      </c>
    </row>
    <row r="122" spans="1:146" ht="108" hidden="1" x14ac:dyDescent="0.25">
      <c r="C122" s="7" t="str">
        <f>""&amp;CHAR(10)&amp;Basic_Fundamental_Information_Constructure(F122)&amp;CHAR(10)&amp;Basic_Fundamental_Information_Concatenate("")</f>
        <v xml:space="preserve">
市值42.148455亿, 利润5747.70万; PE75.64; 平均PE116.01; 平均PEG3.96, PB1.48; ROIC10.695%; ROE4.335%; 股利率.8034%; 毛利68.7133%; 净利21.4367%; 上一年度营收增19.4%, 利润增6.89%; 当季营收增346.21%, 利润增-9%; 过往5年营收增29.26%, 利润增106.8%
Income profile:
</v>
      </c>
      <c r="D122" t="s">
        <v>1575</v>
      </c>
      <c r="E122" t="s">
        <v>1576</v>
      </c>
      <c r="F122">
        <v>47.3</v>
      </c>
      <c r="G122">
        <v>5.44</v>
      </c>
      <c r="H122" t="s">
        <v>4308</v>
      </c>
      <c r="I122">
        <v>4214845500</v>
      </c>
      <c r="J122">
        <v>75.64</v>
      </c>
      <c r="K122">
        <v>1.48</v>
      </c>
      <c r="L122" t="s">
        <v>1277</v>
      </c>
      <c r="M122" t="s">
        <v>453</v>
      </c>
      <c r="N122" t="s">
        <v>3633</v>
      </c>
      <c r="O122" t="s">
        <v>3634</v>
      </c>
      <c r="P122" s="5">
        <v>346.22</v>
      </c>
      <c r="Q122" t="s">
        <v>221</v>
      </c>
      <c r="R122">
        <v>-21268019</v>
      </c>
      <c r="S122">
        <v>-0.09</v>
      </c>
      <c r="T122" t="s">
        <v>3649</v>
      </c>
      <c r="U122">
        <v>45504743</v>
      </c>
      <c r="V122">
        <v>89108784</v>
      </c>
      <c r="W122">
        <v>1.04</v>
      </c>
      <c r="X122">
        <v>0.01</v>
      </c>
      <c r="Y122">
        <v>-69.06</v>
      </c>
      <c r="Z122" t="s">
        <v>3635</v>
      </c>
      <c r="AA122" t="s">
        <v>3636</v>
      </c>
      <c r="AB122" t="s">
        <v>3637</v>
      </c>
      <c r="AC122" t="s">
        <v>3638</v>
      </c>
      <c r="AD122" t="s">
        <v>63</v>
      </c>
      <c r="AE122">
        <v>-9516816</v>
      </c>
      <c r="AF122" t="s">
        <v>3639</v>
      </c>
      <c r="AG122">
        <v>40.56</v>
      </c>
      <c r="AH122" t="s">
        <v>3640</v>
      </c>
      <c r="AI122" t="s">
        <v>1706</v>
      </c>
      <c r="AJ122" t="s">
        <v>3641</v>
      </c>
      <c r="AK122" t="s">
        <v>3642</v>
      </c>
      <c r="AL122" t="s">
        <v>3643</v>
      </c>
      <c r="AM122" t="s">
        <v>63</v>
      </c>
      <c r="AN122" t="s">
        <v>3644</v>
      </c>
      <c r="AO122" t="s">
        <v>63</v>
      </c>
      <c r="AP122" t="s">
        <v>63</v>
      </c>
      <c r="AQ122" t="s">
        <v>3645</v>
      </c>
      <c r="AR122" t="s">
        <v>63</v>
      </c>
      <c r="AS122" t="s">
        <v>210</v>
      </c>
      <c r="AT122" t="s">
        <v>63</v>
      </c>
      <c r="AU122" t="s">
        <v>3646</v>
      </c>
      <c r="AV122" t="s">
        <v>3647</v>
      </c>
      <c r="AW122" t="s">
        <v>3648</v>
      </c>
      <c r="AX122" t="s">
        <v>326</v>
      </c>
      <c r="AY122" t="s">
        <v>333</v>
      </c>
      <c r="AZ122" t="s">
        <v>207</v>
      </c>
      <c r="BA122" t="s">
        <v>505</v>
      </c>
      <c r="BB122" t="s">
        <v>63</v>
      </c>
      <c r="BC122" t="s">
        <v>1577</v>
      </c>
      <c r="BD122" t="s">
        <v>1578</v>
      </c>
      <c r="BE122" t="s">
        <v>1579</v>
      </c>
      <c r="BF122" t="s">
        <v>1580</v>
      </c>
      <c r="BG122" t="s">
        <v>63</v>
      </c>
      <c r="BH122" t="s">
        <v>221</v>
      </c>
      <c r="BI122" t="s">
        <v>4309</v>
      </c>
      <c r="BJ122" t="s">
        <v>326</v>
      </c>
      <c r="BK122" t="s">
        <v>3649</v>
      </c>
      <c r="BL122" t="s">
        <v>4310</v>
      </c>
      <c r="BM122" t="s">
        <v>1577</v>
      </c>
      <c r="BN122" t="s">
        <v>63</v>
      </c>
      <c r="BO122">
        <v>9.7799999999999994</v>
      </c>
      <c r="BP122">
        <v>11.61</v>
      </c>
      <c r="BQ122">
        <v>-2.0699999999999998</v>
      </c>
      <c r="BR122">
        <v>10.74</v>
      </c>
      <c r="BS122" t="s">
        <v>63</v>
      </c>
      <c r="BT122" t="s">
        <v>3650</v>
      </c>
      <c r="BU122" t="s">
        <v>1848</v>
      </c>
      <c r="BV122">
        <v>69.44</v>
      </c>
      <c r="BW122">
        <v>63.41</v>
      </c>
      <c r="BX122">
        <v>73.290000000000006</v>
      </c>
      <c r="BY122">
        <v>18.12</v>
      </c>
      <c r="BZ122">
        <v>20.059999999999999</v>
      </c>
      <c r="CA122">
        <v>26.13</v>
      </c>
      <c r="CB122">
        <v>13.1</v>
      </c>
      <c r="CC122" s="9">
        <v>-10.97</v>
      </c>
      <c r="CD122" s="10" t="s">
        <v>4311</v>
      </c>
      <c r="CE122" s="9" t="s">
        <v>4312</v>
      </c>
      <c r="CF122" s="9">
        <v>3.4621481585212157</v>
      </c>
      <c r="CG122" s="9">
        <v>-9.0019219336189754E-2</v>
      </c>
      <c r="CH122" s="9">
        <v>0.19402985274791718</v>
      </c>
      <c r="CI122" s="9">
        <v>0.38860103487968445</v>
      </c>
      <c r="CJ122" s="10">
        <v>0.19135802984237671</v>
      </c>
      <c r="CK122" s="10">
        <v>0.39655172824859619</v>
      </c>
      <c r="CL122" s="10" t="s">
        <v>63</v>
      </c>
      <c r="CM122" s="10">
        <v>6.8917930126190186E-2</v>
      </c>
      <c r="CN122" s="10">
        <v>6.7812629044055939E-2</v>
      </c>
      <c r="CO122">
        <v>0.54237073659896851</v>
      </c>
      <c r="CP122">
        <v>3.5929775238037109</v>
      </c>
      <c r="CQ122" t="s">
        <v>63</v>
      </c>
      <c r="CR122" s="9">
        <v>116.00783817868449</v>
      </c>
      <c r="CS122" s="10">
        <v>3.9642480969114677</v>
      </c>
      <c r="CT122">
        <v>0.80338266384778012</v>
      </c>
      <c r="CU122">
        <v>0.29263516142964363</v>
      </c>
      <c r="CV122">
        <v>1.0680197048932314</v>
      </c>
      <c r="CW122">
        <v>0.06</v>
      </c>
      <c r="CX122">
        <v>21.498320516564728</v>
      </c>
      <c r="CY122">
        <v>70091312.427822277</v>
      </c>
      <c r="CZ122">
        <v>0.29263516142964363</v>
      </c>
      <c r="DA122">
        <v>5.9422629263226083</v>
      </c>
      <c r="DB122">
        <v>253581088.33001724</v>
      </c>
      <c r="DC122">
        <v>0.27800340335816143</v>
      </c>
      <c r="DD122">
        <v>2.3033761878101919</v>
      </c>
      <c r="DE122">
        <v>654189926.93180108</v>
      </c>
      <c r="DF122">
        <v>0.2575189420580864</v>
      </c>
      <c r="DG122">
        <v>1.0343297188777483</v>
      </c>
      <c r="DH122">
        <v>1456832838.2122996</v>
      </c>
      <c r="DI122">
        <v>0.23410812914371493</v>
      </c>
      <c r="DJ122">
        <v>0.26358746394483151</v>
      </c>
      <c r="DK122">
        <v>5716681201.1795092</v>
      </c>
      <c r="DL122">
        <v>0.20484461300075052</v>
      </c>
      <c r="DM122">
        <v>57477000</v>
      </c>
      <c r="DN122">
        <v>0.29263516142964363</v>
      </c>
      <c r="DO122">
        <v>1506845500</v>
      </c>
      <c r="DP122">
        <v>2576160900</v>
      </c>
      <c r="DQ122" s="11">
        <v>4930</v>
      </c>
      <c r="DR122">
        <v>3.1695129970915721</v>
      </c>
      <c r="DS122">
        <v>-1.1580389242294211</v>
      </c>
      <c r="DT122">
        <v>0.15199999999999997</v>
      </c>
      <c r="DU122">
        <v>0.16600000000000006</v>
      </c>
      <c r="DV122">
        <v>0.31800000000000006</v>
      </c>
      <c r="DW122">
        <v>5.8374045801526719</v>
      </c>
      <c r="DX122">
        <v>0.63374664712955675</v>
      </c>
      <c r="DY122">
        <v>5.1371221922909314</v>
      </c>
      <c r="DZ122">
        <v>1090</v>
      </c>
      <c r="EA122">
        <v>5.1078615835209398</v>
      </c>
      <c r="EB122" s="12">
        <v>5</v>
      </c>
      <c r="EC122" s="12">
        <v>3.7748242642386409E-2</v>
      </c>
      <c r="ED122">
        <v>0.2305283393834664</v>
      </c>
      <c r="EE122">
        <v>-1.0873999999999999</v>
      </c>
      <c r="EF122">
        <v>-1.1417999999999999</v>
      </c>
      <c r="EG122">
        <v>47.163746647129557</v>
      </c>
      <c r="EH122" s="14" t="s">
        <v>1284</v>
      </c>
      <c r="EI122" s="15">
        <v>1</v>
      </c>
      <c r="EJ122" s="15">
        <v>1</v>
      </c>
      <c r="EK122" s="15">
        <v>45504</v>
      </c>
      <c r="EL122" s="15">
        <v>-3.55</v>
      </c>
      <c r="EM122" s="15">
        <v>1.36</v>
      </c>
      <c r="EN122">
        <v>6.02</v>
      </c>
      <c r="EO122">
        <v>-1.62</v>
      </c>
      <c r="EP122">
        <v>5.44</v>
      </c>
    </row>
    <row r="123" spans="1:146" ht="96" x14ac:dyDescent="0.25">
      <c r="A123" s="7"/>
      <c r="B123" s="7"/>
      <c r="C123" s="7" t="str">
        <f>""&amp;CHAR(10)&amp;Basic_Fundamental_Information_Constructure(F123)&amp;CHAR(10)&amp;Basic_Fundamental_Information_Concatenate("")</f>
        <v xml:space="preserve">
市值165.53765亿, 利润7175.04万; PE132.5; 平均PE-46.7; 平均PEG-1.5, PB1.71; ROIC0%; ROE-5.99%; 股利率0%; 毛利63.2433%; 净利-2.4833%; 上一年度营收增3.52%, 利润增24.5%; 当季营收增-23.78%, 利润增9.89%; 过往5年营收增31.15%, 利润增28.9%
Income profile:
</v>
      </c>
      <c r="D123" t="s">
        <v>654</v>
      </c>
      <c r="E123" t="s">
        <v>655</v>
      </c>
      <c r="F123">
        <v>24.16</v>
      </c>
      <c r="G123">
        <v>6.29</v>
      </c>
      <c r="H123" t="s">
        <v>4313</v>
      </c>
      <c r="I123">
        <v>16553765000</v>
      </c>
      <c r="J123">
        <v>132.5</v>
      </c>
      <c r="K123">
        <v>1.71</v>
      </c>
      <c r="L123" t="s">
        <v>1277</v>
      </c>
      <c r="M123" t="s">
        <v>3651</v>
      </c>
      <c r="N123" t="s">
        <v>3652</v>
      </c>
      <c r="O123" t="s">
        <v>876</v>
      </c>
      <c r="P123">
        <v>-23.82</v>
      </c>
      <c r="Q123" t="s">
        <v>3666</v>
      </c>
      <c r="R123">
        <v>-480282020</v>
      </c>
      <c r="S123" s="5">
        <v>9.9699999999999997E-2</v>
      </c>
      <c r="T123" t="s">
        <v>3667</v>
      </c>
      <c r="U123">
        <v>510058720</v>
      </c>
      <c r="V123">
        <v>685172380</v>
      </c>
      <c r="W123">
        <v>1.53</v>
      </c>
      <c r="X123">
        <v>0.05</v>
      </c>
      <c r="Y123">
        <v>-68.5</v>
      </c>
      <c r="Z123" t="s">
        <v>3653</v>
      </c>
      <c r="AA123" t="s">
        <v>631</v>
      </c>
      <c r="AB123" t="s">
        <v>1313</v>
      </c>
      <c r="AC123" t="s">
        <v>365</v>
      </c>
      <c r="AD123" t="s">
        <v>63</v>
      </c>
      <c r="AE123">
        <v>21149531</v>
      </c>
      <c r="AF123" t="s">
        <v>3654</v>
      </c>
      <c r="AG123" t="s">
        <v>3655</v>
      </c>
      <c r="AH123" t="s">
        <v>3656</v>
      </c>
      <c r="AI123" t="s">
        <v>3657</v>
      </c>
      <c r="AJ123" t="s">
        <v>3658</v>
      </c>
      <c r="AK123" t="s">
        <v>513</v>
      </c>
      <c r="AL123" t="s">
        <v>3659</v>
      </c>
      <c r="AM123" t="s">
        <v>63</v>
      </c>
      <c r="AN123">
        <v>0</v>
      </c>
      <c r="AO123" t="s">
        <v>1488</v>
      </c>
      <c r="AP123" t="s">
        <v>3660</v>
      </c>
      <c r="AQ123" t="s">
        <v>3661</v>
      </c>
      <c r="AR123" t="s">
        <v>63</v>
      </c>
      <c r="AS123" t="s">
        <v>3662</v>
      </c>
      <c r="AT123" t="s">
        <v>1339</v>
      </c>
      <c r="AU123" t="s">
        <v>1787</v>
      </c>
      <c r="AV123" t="s">
        <v>3663</v>
      </c>
      <c r="AW123" t="s">
        <v>3664</v>
      </c>
      <c r="AX123" t="s">
        <v>1581</v>
      </c>
      <c r="AY123" t="s">
        <v>1275</v>
      </c>
      <c r="AZ123" t="s">
        <v>992</v>
      </c>
      <c r="BA123" t="s">
        <v>656</v>
      </c>
      <c r="BB123" t="s">
        <v>993</v>
      </c>
      <c r="BC123" t="s">
        <v>3665</v>
      </c>
      <c r="BD123" t="s">
        <v>1276</v>
      </c>
      <c r="BE123" t="s">
        <v>760</v>
      </c>
      <c r="BF123" t="s">
        <v>657</v>
      </c>
      <c r="BG123" t="s">
        <v>994</v>
      </c>
      <c r="BH123" t="s">
        <v>3666</v>
      </c>
      <c r="BI123" t="s">
        <v>4314</v>
      </c>
      <c r="BJ123" t="s">
        <v>1581</v>
      </c>
      <c r="BK123" t="s">
        <v>3667</v>
      </c>
      <c r="BL123" t="s">
        <v>4315</v>
      </c>
      <c r="BM123" t="s">
        <v>3665</v>
      </c>
      <c r="BN123" t="s">
        <v>63</v>
      </c>
      <c r="BO123" t="s">
        <v>63</v>
      </c>
      <c r="BP123" t="s">
        <v>63</v>
      </c>
      <c r="BQ123">
        <v>-12.91</v>
      </c>
      <c r="BR123">
        <v>0.56999999999999995</v>
      </c>
      <c r="BS123">
        <v>-5.63</v>
      </c>
      <c r="BT123" t="s">
        <v>1409</v>
      </c>
      <c r="BU123" t="s">
        <v>1830</v>
      </c>
      <c r="BV123">
        <v>65.38</v>
      </c>
      <c r="BW123">
        <v>64.34</v>
      </c>
      <c r="BX123">
        <v>60.01</v>
      </c>
      <c r="BY123">
        <v>1.1599999999999999</v>
      </c>
      <c r="BZ123">
        <v>0.93</v>
      </c>
      <c r="CA123">
        <v>-9.5399999999999991</v>
      </c>
      <c r="CB123">
        <v>4.95</v>
      </c>
      <c r="CC123">
        <v>-4.13</v>
      </c>
      <c r="CD123" t="s">
        <v>4316</v>
      </c>
      <c r="CE123" t="s">
        <v>421</v>
      </c>
      <c r="CF123" s="9">
        <v>-0.23783783783783785</v>
      </c>
      <c r="CG123" s="10">
        <v>9.8908030018761722E-2</v>
      </c>
      <c r="CH123" s="9">
        <v>3.5191997885704041E-2</v>
      </c>
      <c r="CI123" s="9">
        <v>7.1268744766712189E-2</v>
      </c>
      <c r="CJ123" s="9">
        <v>0.39605864882469177</v>
      </c>
      <c r="CK123" s="9">
        <v>0.31927713751792908</v>
      </c>
      <c r="CL123" s="9">
        <v>0.73582816123962402</v>
      </c>
      <c r="CM123" s="10">
        <v>0.24500957131385803</v>
      </c>
      <c r="CN123" s="10">
        <v>1.1038385629653931</v>
      </c>
      <c r="CO123" s="10">
        <v>-0.66167664527893066</v>
      </c>
      <c r="CP123" s="10">
        <v>0.32525253295898438</v>
      </c>
      <c r="CQ123" s="10">
        <v>0.43233945965766907</v>
      </c>
      <c r="CR123">
        <v>-46.70445465742057</v>
      </c>
      <c r="CS123">
        <v>-1.4992204139491521</v>
      </c>
      <c r="CT123">
        <v>0</v>
      </c>
      <c r="CU123" s="9">
        <v>0.31152493804693221</v>
      </c>
      <c r="CV123" s="10">
        <v>0.28895269632339476</v>
      </c>
      <c r="CW123">
        <v>0.06</v>
      </c>
      <c r="CX123">
        <v>145.67880554515307</v>
      </c>
      <c r="CY123">
        <v>88775885.768719435</v>
      </c>
      <c r="CZ123">
        <v>0.31152493804693221</v>
      </c>
      <c r="DA123">
        <v>39.660149846093212</v>
      </c>
      <c r="DB123">
        <v>326089665.57583398</v>
      </c>
      <c r="DC123">
        <v>0.29594869114458561</v>
      </c>
      <c r="DD123">
        <v>15.024502445556244</v>
      </c>
      <c r="DE123">
        <v>860778255.17776716</v>
      </c>
      <c r="DF123">
        <v>0.27414194548130033</v>
      </c>
      <c r="DG123">
        <v>6.5502442800748311</v>
      </c>
      <c r="DH123">
        <v>1974394304.5513799</v>
      </c>
      <c r="DI123">
        <v>0.24921995043754577</v>
      </c>
      <c r="DJ123">
        <v>1.5471969675536617</v>
      </c>
      <c r="DK123">
        <v>8358835540.150095</v>
      </c>
      <c r="DL123">
        <v>0.21806745663285254</v>
      </c>
      <c r="DM123">
        <v>71750400</v>
      </c>
      <c r="DN123">
        <v>0.31152493804693221</v>
      </c>
      <c r="DO123">
        <v>12932765000</v>
      </c>
      <c r="DP123">
        <v>4699142500</v>
      </c>
      <c r="DQ123">
        <v>4969</v>
      </c>
      <c r="DR123">
        <v>-0.54936277588477012</v>
      </c>
      <c r="DS123">
        <v>-0.19004466630463304</v>
      </c>
      <c r="DT123" s="11">
        <v>1.0000000000000011E-2</v>
      </c>
      <c r="DU123">
        <v>-1.2916666666666667</v>
      </c>
      <c r="DV123">
        <v>-1.2816666666666667</v>
      </c>
      <c r="DW123">
        <v>4.8343434343434346</v>
      </c>
      <c r="DX123">
        <v>0.48601333333333357</v>
      </c>
      <c r="DY123">
        <v>4.1468555690235691</v>
      </c>
      <c r="DZ123">
        <v>3864</v>
      </c>
      <c r="EA123">
        <v>4.035765138579742</v>
      </c>
      <c r="EB123">
        <v>4</v>
      </c>
      <c r="EC123">
        <v>3.0826695028191301E-2</v>
      </c>
      <c r="ED123">
        <v>0.17513840823531152</v>
      </c>
      <c r="EE123" s="12">
        <v>1.8200000000000001E-2</v>
      </c>
      <c r="EF123">
        <v>8.1100000000000005E-2</v>
      </c>
      <c r="EG123">
        <v>31.176013333333334</v>
      </c>
      <c r="EH123" t="s">
        <v>1099</v>
      </c>
      <c r="EI123">
        <v>0</v>
      </c>
      <c r="EJ123">
        <v>0</v>
      </c>
      <c r="EK123" s="14">
        <v>45504</v>
      </c>
      <c r="EL123" s="15">
        <v>0.22</v>
      </c>
      <c r="EM123" s="15">
        <v>2.2999999999999998</v>
      </c>
      <c r="EN123">
        <v>-4.42</v>
      </c>
      <c r="EO123">
        <v>0.44</v>
      </c>
      <c r="EP123">
        <v>6.29</v>
      </c>
    </row>
    <row r="124" spans="1:146" ht="108" hidden="1" x14ac:dyDescent="0.25">
      <c r="A124" s="7"/>
      <c r="B124" s="7"/>
      <c r="C124" s="7" t="str">
        <f>""&amp;CHAR(10)&amp;Basic_Fundamental_Information_Constructure(F124)&amp;CHAR(10)&amp;Basic_Fundamental_Information_Concatenate("")</f>
        <v xml:space="preserve">
市值30.920773亿, 利润8115.37万; PE37.82; 平均PE37.28; 平均PEG4.63, PB2.28; ROIC4.7367%; ROE5.17%; 股利率1.0349%; 毛利52.9%; 净利14.9667%; 上一年度营收增18.5%, 利润增31.08%; 当季营收增7.84%, 利润增4.21%; 过往5年营收增8.04%, 利润增3.17%
Income profile:
</v>
      </c>
      <c r="D124" t="s">
        <v>658</v>
      </c>
      <c r="E124" t="s">
        <v>4317</v>
      </c>
      <c r="F124">
        <v>7.73</v>
      </c>
      <c r="G124">
        <v>4.32</v>
      </c>
      <c r="H124" t="s">
        <v>4318</v>
      </c>
      <c r="I124">
        <v>3092077300</v>
      </c>
      <c r="J124">
        <v>37.82</v>
      </c>
      <c r="K124">
        <v>2.2799999999999998</v>
      </c>
      <c r="L124" t="s">
        <v>1277</v>
      </c>
      <c r="M124" t="s">
        <v>358</v>
      </c>
      <c r="N124" t="s">
        <v>1757</v>
      </c>
      <c r="O124" t="s">
        <v>264</v>
      </c>
      <c r="P124">
        <v>7.95</v>
      </c>
      <c r="Q124" t="s">
        <v>1079</v>
      </c>
      <c r="R124">
        <v>14745398</v>
      </c>
      <c r="S124" s="5">
        <v>4.2099999999999999E-2</v>
      </c>
      <c r="T124" t="s">
        <v>3682</v>
      </c>
      <c r="U124">
        <v>400010000</v>
      </c>
      <c r="V124">
        <v>400010000</v>
      </c>
      <c r="W124">
        <v>1.26</v>
      </c>
      <c r="X124">
        <v>0.06</v>
      </c>
      <c r="Y124">
        <v>13.4</v>
      </c>
      <c r="Z124" t="s">
        <v>316</v>
      </c>
      <c r="AA124" t="s">
        <v>3668</v>
      </c>
      <c r="AB124" t="s">
        <v>3669</v>
      </c>
      <c r="AC124" t="s">
        <v>3670</v>
      </c>
      <c r="AD124" t="s">
        <v>63</v>
      </c>
      <c r="AE124">
        <v>-1331180</v>
      </c>
      <c r="AF124" t="s">
        <v>3671</v>
      </c>
      <c r="AG124" t="s">
        <v>3672</v>
      </c>
      <c r="AH124" t="s">
        <v>3673</v>
      </c>
      <c r="AI124" t="s">
        <v>392</v>
      </c>
      <c r="AJ124" t="s">
        <v>3674</v>
      </c>
      <c r="AK124" t="s">
        <v>3675</v>
      </c>
      <c r="AL124" t="s">
        <v>3676</v>
      </c>
      <c r="AM124" t="s">
        <v>63</v>
      </c>
      <c r="AN124" t="s">
        <v>3677</v>
      </c>
      <c r="AO124" t="s">
        <v>63</v>
      </c>
      <c r="AP124" t="s">
        <v>3678</v>
      </c>
      <c r="AQ124" t="s">
        <v>207</v>
      </c>
      <c r="AR124" t="s">
        <v>63</v>
      </c>
      <c r="AS124" t="s">
        <v>345</v>
      </c>
      <c r="AT124" t="s">
        <v>63</v>
      </c>
      <c r="AU124" t="s">
        <v>3679</v>
      </c>
      <c r="AV124" t="s">
        <v>3680</v>
      </c>
      <c r="AW124" t="s">
        <v>3681</v>
      </c>
      <c r="AX124" t="s">
        <v>1473</v>
      </c>
      <c r="AY124" t="s">
        <v>527</v>
      </c>
      <c r="AZ124" t="s">
        <v>248</v>
      </c>
      <c r="BA124" t="s">
        <v>297</v>
      </c>
      <c r="BB124" t="s">
        <v>237</v>
      </c>
      <c r="BC124" t="s">
        <v>1582</v>
      </c>
      <c r="BD124" t="s">
        <v>276</v>
      </c>
      <c r="BE124" t="s">
        <v>995</v>
      </c>
      <c r="BF124" t="s">
        <v>659</v>
      </c>
      <c r="BG124" t="s">
        <v>996</v>
      </c>
      <c r="BH124" t="s">
        <v>1079</v>
      </c>
      <c r="BI124" t="s">
        <v>316</v>
      </c>
      <c r="BJ124" t="s">
        <v>1473</v>
      </c>
      <c r="BK124" t="s">
        <v>3682</v>
      </c>
      <c r="BL124" t="s">
        <v>4319</v>
      </c>
      <c r="BM124" t="s">
        <v>1582</v>
      </c>
      <c r="BN124">
        <v>2.12</v>
      </c>
      <c r="BO124">
        <v>4.3099999999999996</v>
      </c>
      <c r="BP124">
        <v>7.78</v>
      </c>
      <c r="BQ124">
        <v>2.39</v>
      </c>
      <c r="BR124">
        <v>4.82</v>
      </c>
      <c r="BS124">
        <v>8.3000000000000007</v>
      </c>
      <c r="BT124" t="s">
        <v>1422</v>
      </c>
      <c r="BU124" t="s">
        <v>1848</v>
      </c>
      <c r="BV124">
        <v>53.27</v>
      </c>
      <c r="BW124">
        <v>57.4</v>
      </c>
      <c r="BX124">
        <v>48.03</v>
      </c>
      <c r="BY124">
        <v>15.09</v>
      </c>
      <c r="BZ124">
        <v>13.64</v>
      </c>
      <c r="CA124">
        <v>16.170000000000002</v>
      </c>
      <c r="CB124">
        <v>5.75</v>
      </c>
      <c r="CC124">
        <v>-5.15</v>
      </c>
      <c r="CD124" t="s">
        <v>4320</v>
      </c>
      <c r="CE124" t="s">
        <v>437</v>
      </c>
      <c r="CF124" s="9">
        <v>7.8431372549019759E-2</v>
      </c>
      <c r="CG124" s="10">
        <v>4.2062868369351671E-2</v>
      </c>
      <c r="CH124" s="9">
        <v>0.1850220263004303</v>
      </c>
      <c r="CI124" s="9">
        <v>-0.28840124607086182</v>
      </c>
      <c r="CJ124" s="9">
        <v>0.28888890147209167</v>
      </c>
      <c r="CK124" s="9">
        <v>1.2269938364624977E-2</v>
      </c>
      <c r="CL124" s="9">
        <v>0.20443350076675415</v>
      </c>
      <c r="CM124" s="10">
        <v>0.31078046560287476</v>
      </c>
      <c r="CN124" s="10">
        <v>-0.39890778064727783</v>
      </c>
      <c r="CO124" s="10">
        <v>0.12928572297096252</v>
      </c>
      <c r="CP124" s="10">
        <v>0.16669304668903351</v>
      </c>
      <c r="CQ124" s="10">
        <v>-4.9565110355615616E-2</v>
      </c>
      <c r="CR124">
        <v>37.276069490243607</v>
      </c>
      <c r="CS124">
        <v>4.6338703984891998</v>
      </c>
      <c r="CT124">
        <v>1.0349288486416559</v>
      </c>
      <c r="CU124" s="9">
        <v>8.0442624166607857E-2</v>
      </c>
      <c r="CV124" s="10">
        <v>3.165726885199547E-2</v>
      </c>
      <c r="CW124">
        <v>0.06</v>
      </c>
      <c r="CX124">
        <v>25.617847161499668</v>
      </c>
      <c r="CY124">
        <v>82718789.234744936</v>
      </c>
      <c r="CZ124">
        <v>8.0442624166607857E-2</v>
      </c>
      <c r="DA124">
        <v>8.4397741906445276</v>
      </c>
      <c r="DB124">
        <v>251082227.09903696</v>
      </c>
      <c r="DC124">
        <v>7.6420492958277464E-2</v>
      </c>
      <c r="DD124">
        <v>4.1997981663701172</v>
      </c>
      <c r="DE124">
        <v>504566461.5429644</v>
      </c>
      <c r="DF124">
        <v>7.0789509266614911E-2</v>
      </c>
      <c r="DG124">
        <v>2.5528004975464476</v>
      </c>
      <c r="DH124">
        <v>830099062.59290206</v>
      </c>
      <c r="DI124">
        <v>6.4354099333286285E-2</v>
      </c>
      <c r="DJ124">
        <v>1.3540146215837348</v>
      </c>
      <c r="DK124">
        <v>1565032804.0929153</v>
      </c>
      <c r="DL124">
        <v>5.6309836916625493E-2</v>
      </c>
      <c r="DM124">
        <v>81153700</v>
      </c>
      <c r="DN124">
        <v>8.0442624166607857E-2</v>
      </c>
      <c r="DO124">
        <v>2119077300</v>
      </c>
      <c r="DP124">
        <v>397330440</v>
      </c>
      <c r="DQ124">
        <v>4984</v>
      </c>
      <c r="DR124">
        <v>-2.0112516175880973E-3</v>
      </c>
      <c r="DS124">
        <v>1.0405599517356201E-2</v>
      </c>
      <c r="DT124" s="11">
        <v>-0.19000000000000003</v>
      </c>
      <c r="DU124">
        <v>0.13333333333333333</v>
      </c>
      <c r="DV124">
        <v>-5.6666666666666698E-2</v>
      </c>
      <c r="DW124">
        <v>4.8956521739130432</v>
      </c>
      <c r="DX124">
        <v>0.43911259259259383</v>
      </c>
      <c r="DY124">
        <v>4.1514660611916261</v>
      </c>
      <c r="DZ124">
        <v>1928</v>
      </c>
      <c r="EA124">
        <v>4.0942956293244661</v>
      </c>
      <c r="EB124">
        <v>4</v>
      </c>
      <c r="EC124">
        <v>5.7074073148171298E-2</v>
      </c>
      <c r="ED124">
        <v>0.33749156271093222</v>
      </c>
      <c r="EE124" s="12">
        <v>1.5009999999999999E-2</v>
      </c>
      <c r="EF124">
        <v>2.8200000000000003E-2</v>
      </c>
      <c r="EG124">
        <v>27.169112592592594</v>
      </c>
      <c r="EH124" t="s">
        <v>1099</v>
      </c>
      <c r="EI124">
        <v>0</v>
      </c>
      <c r="EJ124">
        <v>0</v>
      </c>
      <c r="EK124" s="14">
        <v>45504</v>
      </c>
      <c r="EL124" s="15">
        <v>-5.68</v>
      </c>
      <c r="EM124" s="15">
        <v>-0.41</v>
      </c>
      <c r="EN124">
        <v>0.55000000000000004</v>
      </c>
      <c r="EO124">
        <v>0.68</v>
      </c>
      <c r="EP124">
        <v>4.32</v>
      </c>
    </row>
    <row r="125" spans="1:146" ht="108" hidden="1" x14ac:dyDescent="0.25">
      <c r="A125" s="7"/>
      <c r="B125" s="7"/>
      <c r="C125" s="7" t="str">
        <f>""&amp;CHAR(10)&amp;Basic_Fundamental_Information_Constructure(F125)&amp;CHAR(10)&amp;Basic_Fundamental_Information_Concatenate("")</f>
        <v xml:space="preserve">
市值27.000675亿, 利润8652.65万; PE73.19; 平均PE19.86; 平均PEG2.28, PB2.24; ROIC9.76%; ROE8.6667%; 股利率2.963%; 毛利41.53%; 净利18.7567%; 上一年度营收增6.26%, 利润增-38.63%; 当季营收增60.48%, 利润增-124.69%; 过往5年营收增8.72%, 利润增5.76%
Income profile:
</v>
      </c>
      <c r="D125" t="s">
        <v>151</v>
      </c>
      <c r="E125" t="s">
        <v>152</v>
      </c>
      <c r="F125">
        <v>6.75</v>
      </c>
      <c r="G125">
        <v>4.9800000000000004</v>
      </c>
      <c r="H125" t="s">
        <v>4321</v>
      </c>
      <c r="I125">
        <v>2700067500</v>
      </c>
      <c r="J125">
        <v>73.19</v>
      </c>
      <c r="K125">
        <v>2.2400000000000002</v>
      </c>
      <c r="L125" t="s">
        <v>1277</v>
      </c>
      <c r="M125" t="s">
        <v>339</v>
      </c>
      <c r="N125" t="s">
        <v>1741</v>
      </c>
      <c r="O125" t="s">
        <v>326</v>
      </c>
      <c r="P125">
        <v>60.37</v>
      </c>
      <c r="Q125" t="s">
        <v>236</v>
      </c>
      <c r="R125">
        <v>-9828320</v>
      </c>
      <c r="S125" s="5">
        <v>-1.2470000000000001</v>
      </c>
      <c r="T125" t="s">
        <v>3693</v>
      </c>
      <c r="U125">
        <v>400010000</v>
      </c>
      <c r="V125">
        <v>400010000</v>
      </c>
      <c r="W125">
        <v>1.35</v>
      </c>
      <c r="X125">
        <v>0.17</v>
      </c>
      <c r="Y125">
        <v>-3.72</v>
      </c>
      <c r="Z125" t="s">
        <v>541</v>
      </c>
      <c r="AA125" t="s">
        <v>794</v>
      </c>
      <c r="AB125" t="s">
        <v>3683</v>
      </c>
      <c r="AC125" t="s">
        <v>3684</v>
      </c>
      <c r="AD125" t="s">
        <v>63</v>
      </c>
      <c r="AE125">
        <v>49146567</v>
      </c>
      <c r="AF125" t="s">
        <v>3685</v>
      </c>
      <c r="AG125">
        <v>3391.8</v>
      </c>
      <c r="AH125" t="s">
        <v>3686</v>
      </c>
      <c r="AI125" t="s">
        <v>1298</v>
      </c>
      <c r="AJ125" t="s">
        <v>3687</v>
      </c>
      <c r="AK125" t="s">
        <v>63</v>
      </c>
      <c r="AL125" t="s">
        <v>3688</v>
      </c>
      <c r="AM125" t="s">
        <v>63</v>
      </c>
      <c r="AN125">
        <v>0</v>
      </c>
      <c r="AO125" t="s">
        <v>482</v>
      </c>
      <c r="AP125" t="s">
        <v>63</v>
      </c>
      <c r="AQ125" t="s">
        <v>3689</v>
      </c>
      <c r="AR125" t="s">
        <v>63</v>
      </c>
      <c r="AS125" t="s">
        <v>343</v>
      </c>
      <c r="AT125" t="s">
        <v>63</v>
      </c>
      <c r="AU125" t="s">
        <v>3690</v>
      </c>
      <c r="AV125" t="s">
        <v>3691</v>
      </c>
      <c r="AW125" t="s">
        <v>3692</v>
      </c>
      <c r="AX125" t="s">
        <v>194</v>
      </c>
      <c r="AY125" t="s">
        <v>936</v>
      </c>
      <c r="AZ125" t="s">
        <v>536</v>
      </c>
      <c r="BA125" t="s">
        <v>660</v>
      </c>
      <c r="BB125" t="s">
        <v>662</v>
      </c>
      <c r="BC125" t="s">
        <v>408</v>
      </c>
      <c r="BD125" t="s">
        <v>301</v>
      </c>
      <c r="BE125" t="s">
        <v>400</v>
      </c>
      <c r="BF125" t="s">
        <v>235</v>
      </c>
      <c r="BG125" t="s">
        <v>997</v>
      </c>
      <c r="BH125" t="s">
        <v>236</v>
      </c>
      <c r="BI125" t="s">
        <v>453</v>
      </c>
      <c r="BJ125" t="s">
        <v>194</v>
      </c>
      <c r="BK125" t="s">
        <v>3693</v>
      </c>
      <c r="BL125" t="s">
        <v>4322</v>
      </c>
      <c r="BM125" t="s">
        <v>408</v>
      </c>
      <c r="BN125">
        <v>6.9</v>
      </c>
      <c r="BO125">
        <v>10.68</v>
      </c>
      <c r="BP125">
        <v>11.7</v>
      </c>
      <c r="BQ125">
        <v>3.33</v>
      </c>
      <c r="BR125">
        <v>10.89</v>
      </c>
      <c r="BS125">
        <v>11.78</v>
      </c>
      <c r="BT125" t="s">
        <v>1413</v>
      </c>
      <c r="BU125" t="s">
        <v>1848</v>
      </c>
      <c r="BV125">
        <v>37.42</v>
      </c>
      <c r="BW125">
        <v>41.16</v>
      </c>
      <c r="BX125">
        <v>46.01</v>
      </c>
      <c r="BY125">
        <v>12.41</v>
      </c>
      <c r="BZ125">
        <v>21.5</v>
      </c>
      <c r="CA125">
        <v>22.36</v>
      </c>
      <c r="CB125">
        <v>9.2200000000000006</v>
      </c>
      <c r="CC125">
        <v>-8.16</v>
      </c>
      <c r="CD125" t="s">
        <v>4323</v>
      </c>
      <c r="CE125" t="s">
        <v>305</v>
      </c>
      <c r="CF125" s="9">
        <v>0.60479041916167686</v>
      </c>
      <c r="CG125" s="10">
        <v>-1.2468899858070512</v>
      </c>
      <c r="CH125" s="9">
        <v>6.2595419585704803E-2</v>
      </c>
      <c r="CI125" s="9">
        <v>3.0627872329205275E-3</v>
      </c>
      <c r="CJ125" s="9">
        <v>3.6507938057184219E-2</v>
      </c>
      <c r="CK125" s="9">
        <v>5.5276382714509964E-2</v>
      </c>
      <c r="CL125" s="9">
        <v>0.27837258577346802</v>
      </c>
      <c r="CM125" s="10">
        <v>-0.38633692264556885</v>
      </c>
      <c r="CN125" s="10">
        <v>-3.4246575087308884E-2</v>
      </c>
      <c r="CO125" s="10">
        <v>-0.27363184094429016</v>
      </c>
      <c r="CP125" s="10">
        <v>0.34000000357627869</v>
      </c>
      <c r="CQ125" s="10">
        <v>0.64215666055679321</v>
      </c>
      <c r="CR125">
        <v>19.856605796660201</v>
      </c>
      <c r="CS125">
        <v>2.2780997248350721</v>
      </c>
      <c r="CT125">
        <v>2.9629629629629628</v>
      </c>
      <c r="CU125" s="9">
        <v>8.7163022672757509E-2</v>
      </c>
      <c r="CV125" s="10">
        <v>5.7588265091180799E-2</v>
      </c>
      <c r="CW125">
        <v>0.06</v>
      </c>
      <c r="CX125">
        <v>21.230416489420705</v>
      </c>
      <c r="CY125">
        <v>88743784.227636173</v>
      </c>
      <c r="CZ125">
        <v>8.7163022672757509E-2</v>
      </c>
      <c r="DA125">
        <v>6.9545943967390658</v>
      </c>
      <c r="DB125">
        <v>270909760.15559137</v>
      </c>
      <c r="DC125">
        <v>8.2804871539119626E-2</v>
      </c>
      <c r="DD125">
        <v>3.4345939845844757</v>
      </c>
      <c r="DE125">
        <v>548556105.45417595</v>
      </c>
      <c r="DF125">
        <v>7.6703459952026612E-2</v>
      </c>
      <c r="DG125">
        <v>2.0700036280709591</v>
      </c>
      <c r="DH125">
        <v>910175940.97444499</v>
      </c>
      <c r="DI125">
        <v>6.9730418138206005E-2</v>
      </c>
      <c r="DJ125">
        <v>1.0778296071839</v>
      </c>
      <c r="DK125">
        <v>1748019805.2107687</v>
      </c>
      <c r="DL125">
        <v>6.1014115870930252E-2</v>
      </c>
      <c r="DM125">
        <v>86526500</v>
      </c>
      <c r="DN125">
        <v>8.7163022672757509E-2</v>
      </c>
      <c r="DO125">
        <v>1884067500</v>
      </c>
      <c r="DP125">
        <v>640061140</v>
      </c>
      <c r="DQ125">
        <v>4991</v>
      </c>
      <c r="DR125">
        <v>0.51762739648891931</v>
      </c>
      <c r="DS125">
        <v>-1.304478250898232</v>
      </c>
      <c r="DT125" s="11">
        <v>-0.34</v>
      </c>
      <c r="DU125">
        <v>-0.88166666666666671</v>
      </c>
      <c r="DV125">
        <v>-1.2216666666666667</v>
      </c>
      <c r="DW125">
        <v>5.8850325379609547</v>
      </c>
      <c r="DX125">
        <v>0.50232831858407423</v>
      </c>
      <c r="DY125">
        <v>5.1082645422609563</v>
      </c>
      <c r="DZ125">
        <v>3819</v>
      </c>
      <c r="EA125">
        <v>5.0273204766981934</v>
      </c>
      <c r="EB125">
        <v>5</v>
      </c>
      <c r="EC125">
        <v>3.4556886077848056E-2</v>
      </c>
      <c r="ED125">
        <v>0.28249293767655803</v>
      </c>
      <c r="EE125" s="12">
        <v>-1.0504100000000001</v>
      </c>
      <c r="EF125">
        <v>-1.00061</v>
      </c>
      <c r="EG125">
        <v>38.122328318584074</v>
      </c>
      <c r="EH125" t="s">
        <v>1285</v>
      </c>
      <c r="EI125">
        <v>1</v>
      </c>
      <c r="EJ125">
        <v>0</v>
      </c>
      <c r="EK125" s="14">
        <v>45504</v>
      </c>
      <c r="EL125" s="15">
        <v>-2.98</v>
      </c>
      <c r="EM125" s="15">
        <v>1.62</v>
      </c>
      <c r="EN125">
        <v>1.27</v>
      </c>
      <c r="EO125">
        <v>0.16</v>
      </c>
      <c r="EP125">
        <v>4.9800000000000004</v>
      </c>
    </row>
    <row r="126" spans="1:146" ht="192" hidden="1" x14ac:dyDescent="0.25">
      <c r="A126" s="7" t="s">
        <v>1096</v>
      </c>
      <c r="B126" s="7" t="s">
        <v>1097</v>
      </c>
      <c r="C126" s="7" t="str">
        <f>"公司主营业务为向银行、保险公司等金融机构和其他行业终端客户提供科技服务，主要从事咨询规划、设计开发、运维等软件开发服务，并且向一级软件承包商提供软件项目分包服务。"&amp;CHAR(10)&amp;Basic_Fundamental_Information_Constructure(F126)&amp;CHAR(10)&amp;Basic_Fundamental_Information_Concatenate("金融-保险行业 4.19亿 39.02% 利润占比42.77% 35.70%
金融-银行及其他金融行业 2.77亿 25.82% 利润占比29.33% 36.99%
企服行业 2.65亿 24.64% 利润占比22.39% 29.59%
海外行业 1.12亿 10.40% 利润占比5.29% 16.56%
其他业务 141.19万 0.13% 利润占比0.22% 55.24%")</f>
        <v>公司主营业务为向银行、保险公司等金融机构和其他行业终端客户提供科技服务，主要从事咨询规划、设计开发、运维等软件开发服务，并且向一级软件承包商提供软件项目分包服务。
市值30.94809亿, 利润6861.52万; PE40.48; 平均PE48.92; 平均PEG4.18, PB2.28; ROIC6.21%; ROE3.9%; 股利率.674%; 毛利25.9767%; 净利4.19%; 上一年度营收增27.98%, 利润增232.11%; 当季营收增36.59%, 利润增107.78%; 过往5年营收增11.72%, 利润增40.35%
Income profile:
金融-保险行业 4.19亿 39.02% 利润占比42.77% 35.70%
金融-银行及其他金融行业 2.77亿 25.82% 利润占比29.33% 36.99%
企服行业 2.65亿 24.64% 利润占比22.39% 29.59%
海外行业 1.12亿 10.40% 利润占比5.29% 16.56%
其他业务 141.19万 0.13% 利润占比0.22% 55.24%</v>
      </c>
      <c r="D126" t="s">
        <v>998</v>
      </c>
      <c r="E126" t="s">
        <v>999</v>
      </c>
      <c r="F126">
        <v>11.87</v>
      </c>
      <c r="G126">
        <v>6.27</v>
      </c>
      <c r="H126" t="s">
        <v>4324</v>
      </c>
      <c r="I126">
        <v>3094809000</v>
      </c>
      <c r="J126">
        <v>40.479999999999997</v>
      </c>
      <c r="K126">
        <v>2.2799999999999998</v>
      </c>
      <c r="L126" t="s">
        <v>1277</v>
      </c>
      <c r="M126" t="s">
        <v>291</v>
      </c>
      <c r="N126" t="s">
        <v>783</v>
      </c>
      <c r="O126" t="s">
        <v>1313</v>
      </c>
      <c r="P126">
        <v>36.76</v>
      </c>
      <c r="Q126" t="s">
        <v>3702</v>
      </c>
      <c r="R126">
        <v>15117190</v>
      </c>
      <c r="S126" s="5">
        <v>1.0780000000000001</v>
      </c>
      <c r="T126" t="s">
        <v>3703</v>
      </c>
      <c r="U126">
        <v>260725270</v>
      </c>
      <c r="V126">
        <v>260725270</v>
      </c>
      <c r="W126">
        <v>1.88</v>
      </c>
      <c r="X126">
        <v>0.15</v>
      </c>
      <c r="Y126">
        <v>3.12</v>
      </c>
      <c r="Z126" t="s">
        <v>578</v>
      </c>
      <c r="AA126" t="s">
        <v>682</v>
      </c>
      <c r="AB126" t="s">
        <v>3694</v>
      </c>
      <c r="AC126" t="s">
        <v>3695</v>
      </c>
      <c r="AD126" t="s">
        <v>63</v>
      </c>
      <c r="AE126">
        <v>10581352</v>
      </c>
      <c r="AF126" t="s">
        <v>3696</v>
      </c>
      <c r="AG126">
        <v>269.64999999999998</v>
      </c>
      <c r="AH126" t="s">
        <v>3697</v>
      </c>
      <c r="AI126" t="s">
        <v>398</v>
      </c>
      <c r="AJ126" t="s">
        <v>3698</v>
      </c>
      <c r="AK126" t="s">
        <v>63</v>
      </c>
      <c r="AL126" t="s">
        <v>3699</v>
      </c>
      <c r="AM126" t="s">
        <v>63</v>
      </c>
      <c r="AN126">
        <v>0</v>
      </c>
      <c r="AO126" t="s">
        <v>1003</v>
      </c>
      <c r="AP126" t="s">
        <v>63</v>
      </c>
      <c r="AQ126" t="s">
        <v>3700</v>
      </c>
      <c r="AR126" t="s">
        <v>63</v>
      </c>
      <c r="AS126" t="s">
        <v>881</v>
      </c>
      <c r="AT126" t="s">
        <v>491</v>
      </c>
      <c r="AU126" t="s">
        <v>1349</v>
      </c>
      <c r="AV126" t="s">
        <v>3701</v>
      </c>
      <c r="AW126" t="s">
        <v>428</v>
      </c>
      <c r="AX126" t="s">
        <v>836</v>
      </c>
      <c r="AY126" t="s">
        <v>1194</v>
      </c>
      <c r="AZ126" t="s">
        <v>307</v>
      </c>
      <c r="BA126" t="s">
        <v>193</v>
      </c>
      <c r="BB126" t="s">
        <v>748</v>
      </c>
      <c r="BC126" t="s">
        <v>1583</v>
      </c>
      <c r="BD126" t="s">
        <v>408</v>
      </c>
      <c r="BE126" t="s">
        <v>1000</v>
      </c>
      <c r="BF126" t="s">
        <v>1001</v>
      </c>
      <c r="BG126" t="s">
        <v>1002</v>
      </c>
      <c r="BH126" t="s">
        <v>3702</v>
      </c>
      <c r="BI126" t="s">
        <v>413</v>
      </c>
      <c r="BJ126" t="s">
        <v>836</v>
      </c>
      <c r="BK126" t="s">
        <v>3703</v>
      </c>
      <c r="BL126" t="s">
        <v>4325</v>
      </c>
      <c r="BM126" t="s">
        <v>1583</v>
      </c>
      <c r="BN126">
        <v>3.43</v>
      </c>
      <c r="BO126" t="s">
        <v>63</v>
      </c>
      <c r="BP126">
        <v>8.99</v>
      </c>
      <c r="BQ126">
        <v>3.39</v>
      </c>
      <c r="BR126">
        <v>-4.5</v>
      </c>
      <c r="BS126">
        <v>12.81</v>
      </c>
      <c r="BT126" t="s">
        <v>1422</v>
      </c>
      <c r="BU126" t="s">
        <v>1848</v>
      </c>
      <c r="BV126">
        <v>26.29</v>
      </c>
      <c r="BW126">
        <v>20.04</v>
      </c>
      <c r="BX126">
        <v>31.6</v>
      </c>
      <c r="BY126">
        <v>4.72</v>
      </c>
      <c r="BZ126">
        <v>-3.45</v>
      </c>
      <c r="CA126">
        <v>11.3</v>
      </c>
      <c r="CB126">
        <v>7.52</v>
      </c>
      <c r="CC126">
        <v>-13.92</v>
      </c>
      <c r="CD126" t="s">
        <v>4326</v>
      </c>
      <c r="CE126" t="s">
        <v>451</v>
      </c>
      <c r="CF126" s="9">
        <v>0.36593059936908517</v>
      </c>
      <c r="CG126" s="10">
        <v>1.0777643388265044</v>
      </c>
      <c r="CH126" s="9">
        <v>0.27984780073165894</v>
      </c>
      <c r="CI126" s="9">
        <v>2.5741079822182655E-2</v>
      </c>
      <c r="CJ126" s="9">
        <v>0.19366852939128876</v>
      </c>
      <c r="CK126" s="9">
        <v>-3.9355993270874023E-2</v>
      </c>
      <c r="CL126" s="9">
        <v>0.12588116526603699</v>
      </c>
      <c r="CM126" s="10">
        <v>2.3210678100585937</v>
      </c>
      <c r="CN126" s="10">
        <v>-1.3683631420135498</v>
      </c>
      <c r="CO126" s="10">
        <v>0.72772097587585449</v>
      </c>
      <c r="CP126" s="10">
        <v>2.5540959089994431E-2</v>
      </c>
      <c r="CQ126" s="10">
        <v>0.31128418445587158</v>
      </c>
      <c r="CR126">
        <v>48.923173231128438</v>
      </c>
      <c r="CS126">
        <v>4.175881524940511</v>
      </c>
      <c r="CT126">
        <v>0.67396798652064038</v>
      </c>
      <c r="CU126" s="9">
        <v>0.11715651638805866</v>
      </c>
      <c r="CV126" s="10">
        <v>0.40345015749335289</v>
      </c>
      <c r="CW126">
        <v>0.06</v>
      </c>
      <c r="CX126">
        <v>35.812879741456541</v>
      </c>
      <c r="CY126">
        <v>72315016.795537651</v>
      </c>
      <c r="CZ126">
        <v>0.11715651638805866</v>
      </c>
      <c r="DA126">
        <v>11.438076422595051</v>
      </c>
      <c r="DB126">
        <v>226419976.95381972</v>
      </c>
      <c r="DC126">
        <v>0.11129869056865573</v>
      </c>
      <c r="DD126">
        <v>5.4589894743980976</v>
      </c>
      <c r="DE126">
        <v>474411795.83617896</v>
      </c>
      <c r="DF126">
        <v>0.10309773442149162</v>
      </c>
      <c r="DG126">
        <v>3.1643061059872859</v>
      </c>
      <c r="DH126">
        <v>818444522.51308393</v>
      </c>
      <c r="DI126">
        <v>9.3725213110446931E-2</v>
      </c>
      <c r="DJ126">
        <v>1.5102795247954564</v>
      </c>
      <c r="DK126">
        <v>1714787863.7570412</v>
      </c>
      <c r="DL126">
        <v>8.2009561471641054E-2</v>
      </c>
      <c r="DM126">
        <v>68615200</v>
      </c>
      <c r="DN126">
        <v>0.11715651638805866</v>
      </c>
      <c r="DO126">
        <v>2589809000</v>
      </c>
      <c r="DP126">
        <v>1250287900</v>
      </c>
      <c r="DQ126">
        <v>4993</v>
      </c>
      <c r="DR126">
        <v>0.24877408298102652</v>
      </c>
      <c r="DS126">
        <v>0.67431418133315146</v>
      </c>
      <c r="DT126" s="11">
        <v>-0.14000000000000001</v>
      </c>
      <c r="DU126">
        <v>0.17000000000000004</v>
      </c>
      <c r="DV126">
        <v>3.0000000000000027E-2</v>
      </c>
      <c r="DW126">
        <v>7.3507462686567164</v>
      </c>
      <c r="DX126">
        <v>0.4800385026737965</v>
      </c>
      <c r="DY126">
        <v>7.0491179822811079</v>
      </c>
      <c r="DZ126">
        <v>1717</v>
      </c>
      <c r="EA126">
        <v>7.0326074937187233</v>
      </c>
      <c r="EB126">
        <v>7</v>
      </c>
      <c r="EC126">
        <v>0.10043982311342509</v>
      </c>
      <c r="ED126">
        <v>0.71723005598958633</v>
      </c>
      <c r="EE126" s="12">
        <v>8.4510000000000002E-2</v>
      </c>
      <c r="EF126">
        <v>2.1810000000000013E-2</v>
      </c>
      <c r="EG126">
        <v>34.140038502673796</v>
      </c>
      <c r="EH126">
        <v>-1</v>
      </c>
      <c r="EI126">
        <v>1</v>
      </c>
      <c r="EJ126">
        <v>0</v>
      </c>
      <c r="EK126" s="14">
        <v>45504</v>
      </c>
      <c r="EL126" s="15">
        <v>-3.92</v>
      </c>
      <c r="EM126" s="15">
        <v>0.18</v>
      </c>
      <c r="EN126">
        <v>1.36</v>
      </c>
      <c r="EO126">
        <v>-1.1599999999999999</v>
      </c>
      <c r="EP126">
        <v>6.27</v>
      </c>
    </row>
    <row r="127" spans="1:146" ht="96" hidden="1" x14ac:dyDescent="0.25">
      <c r="C127" s="7" t="str">
        <f>""&amp;CHAR(10)&amp;Basic_Fundamental_Information_Constructure(F127)&amp;CHAR(10)&amp;Basic_Fundamental_Information_Concatenate("")</f>
        <v xml:space="preserve">
市值104.6208亿, 利润1.32亿; PE70.57; 平均PE115.97; 平均PEG8.35, PB5.66; ROIC8.2133%; ROE6.745%; 股利率.6406%; 毛利27.1067%; 净利6.7867%; 上一年度营收增6.35%, 利润增47.49%; 当季营收增38.42%, 利润增50.66%; 过往5年营收增13.89%, 利润增51.46%
Income profile:
</v>
      </c>
      <c r="D127" s="5" t="s">
        <v>1588</v>
      </c>
      <c r="E127" t="s">
        <v>1589</v>
      </c>
      <c r="F127">
        <v>64</v>
      </c>
      <c r="G127">
        <v>11.03</v>
      </c>
      <c r="H127" t="s">
        <v>4327</v>
      </c>
      <c r="I127">
        <v>10462080000</v>
      </c>
      <c r="J127">
        <v>70.569999999999993</v>
      </c>
      <c r="K127">
        <v>5.66</v>
      </c>
      <c r="L127" t="s">
        <v>1277</v>
      </c>
      <c r="M127" t="s">
        <v>3704</v>
      </c>
      <c r="N127" t="s">
        <v>1432</v>
      </c>
      <c r="O127" t="s">
        <v>626</v>
      </c>
      <c r="P127" s="5">
        <v>38.619999999999997</v>
      </c>
      <c r="Q127" t="s">
        <v>3716</v>
      </c>
      <c r="R127">
        <v>-15735463</v>
      </c>
      <c r="S127">
        <v>0.50660000000000005</v>
      </c>
      <c r="T127" t="s">
        <v>483</v>
      </c>
      <c r="U127">
        <v>61235200</v>
      </c>
      <c r="V127">
        <v>163470000</v>
      </c>
      <c r="W127">
        <v>1.81</v>
      </c>
      <c r="X127">
        <v>7.0000000000000007E-2</v>
      </c>
      <c r="Y127">
        <v>-6.67</v>
      </c>
      <c r="Z127" t="s">
        <v>213</v>
      </c>
      <c r="AA127" t="s">
        <v>66</v>
      </c>
      <c r="AB127" t="s">
        <v>3705</v>
      </c>
      <c r="AC127" t="s">
        <v>3706</v>
      </c>
      <c r="AD127" t="s">
        <v>63</v>
      </c>
      <c r="AE127">
        <v>-2880318</v>
      </c>
      <c r="AF127" t="s">
        <v>3707</v>
      </c>
      <c r="AG127" t="s">
        <v>63</v>
      </c>
      <c r="AH127" t="s">
        <v>3708</v>
      </c>
      <c r="AI127" t="s">
        <v>751</v>
      </c>
      <c r="AJ127" t="s">
        <v>3709</v>
      </c>
      <c r="AK127" t="s">
        <v>3710</v>
      </c>
      <c r="AL127" t="s">
        <v>3711</v>
      </c>
      <c r="AM127" t="s">
        <v>63</v>
      </c>
      <c r="AN127" t="s">
        <v>3712</v>
      </c>
      <c r="AO127" t="s">
        <v>63</v>
      </c>
      <c r="AP127" t="s">
        <v>3713</v>
      </c>
      <c r="AQ127" t="s">
        <v>1714</v>
      </c>
      <c r="AR127" t="s">
        <v>63</v>
      </c>
      <c r="AS127" t="s">
        <v>3714</v>
      </c>
      <c r="AT127" t="s">
        <v>63</v>
      </c>
      <c r="AU127" t="s">
        <v>1474</v>
      </c>
      <c r="AV127" t="s">
        <v>1301</v>
      </c>
      <c r="AW127" t="s">
        <v>3715</v>
      </c>
      <c r="AX127" t="s">
        <v>356</v>
      </c>
      <c r="AY127" t="s">
        <v>1732</v>
      </c>
      <c r="AZ127" t="s">
        <v>1450</v>
      </c>
      <c r="BA127" t="s">
        <v>1358</v>
      </c>
      <c r="BB127" t="s">
        <v>63</v>
      </c>
      <c r="BC127" t="s">
        <v>1590</v>
      </c>
      <c r="BD127" t="s">
        <v>1591</v>
      </c>
      <c r="BE127" t="s">
        <v>1788</v>
      </c>
      <c r="BF127" t="s">
        <v>1789</v>
      </c>
      <c r="BG127" t="s">
        <v>63</v>
      </c>
      <c r="BH127" t="s">
        <v>3716</v>
      </c>
      <c r="BI127" t="s">
        <v>565</v>
      </c>
      <c r="BJ127" t="s">
        <v>356</v>
      </c>
      <c r="BK127" t="s">
        <v>483</v>
      </c>
      <c r="BL127" t="s">
        <v>4328</v>
      </c>
      <c r="BM127" t="s">
        <v>1590</v>
      </c>
      <c r="BN127">
        <v>-0.99</v>
      </c>
      <c r="BO127">
        <v>10.95</v>
      </c>
      <c r="BP127">
        <v>14.68</v>
      </c>
      <c r="BQ127">
        <v>1.1000000000000001</v>
      </c>
      <c r="BR127">
        <v>12.39</v>
      </c>
      <c r="BS127" t="s">
        <v>63</v>
      </c>
      <c r="BT127" t="s">
        <v>3717</v>
      </c>
      <c r="BU127" t="s">
        <v>1848</v>
      </c>
      <c r="BV127">
        <v>28.21</v>
      </c>
      <c r="BW127">
        <v>27.63</v>
      </c>
      <c r="BX127">
        <v>25.48</v>
      </c>
      <c r="BY127">
        <v>8.14</v>
      </c>
      <c r="BZ127">
        <v>6.02</v>
      </c>
      <c r="CA127">
        <v>6.2</v>
      </c>
      <c r="CB127">
        <v>21.42</v>
      </c>
      <c r="CC127" s="9">
        <v>-9.43</v>
      </c>
      <c r="CD127" s="10" t="s">
        <v>4329</v>
      </c>
      <c r="CE127" s="9" t="s">
        <v>4330</v>
      </c>
      <c r="CF127" s="9">
        <v>0.38418079096045216</v>
      </c>
      <c r="CG127" s="9">
        <v>0.50664642309585539</v>
      </c>
      <c r="CH127" s="9">
        <v>6.3451774418354034E-2</v>
      </c>
      <c r="CI127" s="9">
        <v>-2.6559643447399139E-2</v>
      </c>
      <c r="CJ127" s="10">
        <v>0.20014835894107819</v>
      </c>
      <c r="CK127" s="10">
        <v>0.31867051124572754</v>
      </c>
      <c r="CL127" s="10" t="s">
        <v>63</v>
      </c>
      <c r="CM127" s="10">
        <v>0.47494274377822876</v>
      </c>
      <c r="CN127" s="10">
        <v>-7.6251208782196045E-2</v>
      </c>
      <c r="CO127">
        <v>5.0531928427517414E-3</v>
      </c>
      <c r="CP127">
        <v>1.654589056968689</v>
      </c>
      <c r="CQ127" t="s">
        <v>63</v>
      </c>
      <c r="CR127" s="9">
        <v>115.96562424764801</v>
      </c>
      <c r="CS127" s="10">
        <v>8.3471893848454926</v>
      </c>
      <c r="CT127">
        <v>0.640625</v>
      </c>
      <c r="CU127">
        <v>0.13892775028944016</v>
      </c>
      <c r="CV127">
        <v>0.51458344620186836</v>
      </c>
      <c r="CW127">
        <v>0.06</v>
      </c>
      <c r="CX127">
        <v>73.688027508866242</v>
      </c>
      <c r="CY127">
        <v>141828738.71528876</v>
      </c>
      <c r="CZ127">
        <v>0.13892775028944016</v>
      </c>
      <c r="DA127">
        <v>23.108646056075621</v>
      </c>
      <c r="DB127">
        <v>452258430.66007966</v>
      </c>
      <c r="DC127">
        <v>0.13198136277496814</v>
      </c>
      <c r="DD127">
        <v>10.755318327227869</v>
      </c>
      <c r="DE127">
        <v>971712754.75337005</v>
      </c>
      <c r="DF127">
        <v>0.12225642025470734</v>
      </c>
      <c r="DG127">
        <v>6.054333859420657</v>
      </c>
      <c r="DH127">
        <v>1726214682.3531914</v>
      </c>
      <c r="DI127">
        <v>0.11114220023155214</v>
      </c>
      <c r="DJ127">
        <v>2.7007480593513256</v>
      </c>
      <c r="DK127">
        <v>3869698235.5733595</v>
      </c>
      <c r="DL127">
        <v>9.7249425202608097E-2</v>
      </c>
      <c r="DM127">
        <v>132000000</v>
      </c>
      <c r="DN127">
        <v>0.13892775028944016</v>
      </c>
      <c r="DO127">
        <v>10451080000</v>
      </c>
      <c r="DP127">
        <v>1612806200</v>
      </c>
      <c r="DQ127" s="11">
        <v>5028</v>
      </c>
      <c r="DR127">
        <v>0.245253040671012</v>
      </c>
      <c r="DS127">
        <v>-7.9370231060129637E-3</v>
      </c>
      <c r="DT127">
        <v>-0.22800000000000004</v>
      </c>
      <c r="DU127">
        <v>0.19399999999999995</v>
      </c>
      <c r="DV127">
        <v>-3.4000000000000086E-2</v>
      </c>
      <c r="DW127">
        <v>5.4402427637721757</v>
      </c>
      <c r="DX127">
        <v>0.87010214168039679</v>
      </c>
      <c r="DY127">
        <v>5.1189105133541606</v>
      </c>
      <c r="DZ127">
        <v>1865</v>
      </c>
      <c r="EA127">
        <v>5.0754946740030427</v>
      </c>
      <c r="EB127" s="12">
        <v>5</v>
      </c>
      <c r="EC127" s="12">
        <v>0.15044228298770418</v>
      </c>
      <c r="ED127">
        <v>0.55698293264819232</v>
      </c>
      <c r="EE127">
        <v>18.017710000000001</v>
      </c>
      <c r="EF127">
        <v>18.092600000000001</v>
      </c>
      <c r="EG127">
        <v>60.270102141680397</v>
      </c>
      <c r="EH127" s="14" t="s">
        <v>4331</v>
      </c>
      <c r="EI127">
        <v>1</v>
      </c>
      <c r="EJ127">
        <v>0</v>
      </c>
      <c r="EK127">
        <v>45504</v>
      </c>
      <c r="EL127">
        <v>-2.8</v>
      </c>
      <c r="EM127">
        <v>2.2999999999999998</v>
      </c>
      <c r="EN127">
        <v>1.22</v>
      </c>
      <c r="EO127">
        <v>7.75</v>
      </c>
      <c r="EP127">
        <v>11.03</v>
      </c>
    </row>
    <row r="128" spans="1:146" ht="108" x14ac:dyDescent="0.25">
      <c r="C128" s="7" t="str">
        <f>""&amp;CHAR(10)&amp;Basic_Fundamental_Information_Constructure(F128)&amp;CHAR(10)&amp;Basic_Fundamental_Information_Concatenate("")</f>
        <v xml:space="preserve">
市值20.847824亿, 利润4250.86万; PE52.8; 平均PE56.06; 平均PEG1.95, PB2.11; ROIC20.525%; ROE6.525%; 股利率.218%; 毛利77.1633%; 净利19.2367%; 上一年度营收增23.31%, 利润增-7.96%; 当季营收增18.98%, 利润增-42.82%; 过往5年营收增28.79%, 利润增28.59%
Income profile:
</v>
      </c>
      <c r="D128" s="5" t="s">
        <v>1592</v>
      </c>
      <c r="E128" t="s">
        <v>1593</v>
      </c>
      <c r="F128">
        <v>27.65</v>
      </c>
      <c r="G128">
        <v>2.79</v>
      </c>
      <c r="H128" t="s">
        <v>4332</v>
      </c>
      <c r="I128">
        <v>2084782400</v>
      </c>
      <c r="J128">
        <v>52.8</v>
      </c>
      <c r="K128">
        <v>2.11</v>
      </c>
      <c r="L128" t="s">
        <v>1277</v>
      </c>
      <c r="M128" t="s">
        <v>488</v>
      </c>
      <c r="N128" t="s">
        <v>3718</v>
      </c>
      <c r="O128" t="s">
        <v>3719</v>
      </c>
      <c r="P128" s="5">
        <v>18.98</v>
      </c>
      <c r="Q128" t="s">
        <v>332</v>
      </c>
      <c r="R128">
        <v>-10088622</v>
      </c>
      <c r="S128">
        <v>-0.42820000000000003</v>
      </c>
      <c r="T128" t="s">
        <v>3735</v>
      </c>
      <c r="U128">
        <v>16810687</v>
      </c>
      <c r="V128">
        <v>75399000</v>
      </c>
      <c r="W128">
        <v>1.1599999999999999</v>
      </c>
      <c r="X128">
        <v>0.04</v>
      </c>
      <c r="Y128">
        <v>-23.9</v>
      </c>
      <c r="Z128" t="s">
        <v>3720</v>
      </c>
      <c r="AA128" t="s">
        <v>3721</v>
      </c>
      <c r="AB128" t="s">
        <v>3722</v>
      </c>
      <c r="AC128" t="s">
        <v>3723</v>
      </c>
      <c r="AD128" t="s">
        <v>63</v>
      </c>
      <c r="AE128">
        <v>-2641091</v>
      </c>
      <c r="AF128" t="s">
        <v>3724</v>
      </c>
      <c r="AG128" t="s">
        <v>3725</v>
      </c>
      <c r="AH128" t="s">
        <v>3726</v>
      </c>
      <c r="AI128" t="s">
        <v>466</v>
      </c>
      <c r="AJ128" t="s">
        <v>3727</v>
      </c>
      <c r="AK128" t="s">
        <v>3728</v>
      </c>
      <c r="AL128" t="s">
        <v>3729</v>
      </c>
      <c r="AM128" t="s">
        <v>63</v>
      </c>
      <c r="AN128">
        <v>0</v>
      </c>
      <c r="AO128" t="s">
        <v>63</v>
      </c>
      <c r="AP128" t="s">
        <v>3730</v>
      </c>
      <c r="AQ128" t="s">
        <v>3731</v>
      </c>
      <c r="AR128" t="s">
        <v>63</v>
      </c>
      <c r="AS128" t="s">
        <v>401</v>
      </c>
      <c r="AT128" t="s">
        <v>63</v>
      </c>
      <c r="AU128" t="s">
        <v>3732</v>
      </c>
      <c r="AV128" t="s">
        <v>1347</v>
      </c>
      <c r="AW128" t="s">
        <v>3733</v>
      </c>
      <c r="AX128" t="s">
        <v>208</v>
      </c>
      <c r="AY128" t="s">
        <v>742</v>
      </c>
      <c r="AZ128" t="s">
        <v>455</v>
      </c>
      <c r="BA128" t="s">
        <v>228</v>
      </c>
      <c r="BB128" t="s">
        <v>63</v>
      </c>
      <c r="BC128" t="s">
        <v>3734</v>
      </c>
      <c r="BD128" t="s">
        <v>1790</v>
      </c>
      <c r="BE128" t="s">
        <v>1791</v>
      </c>
      <c r="BF128" t="s">
        <v>1792</v>
      </c>
      <c r="BG128" t="s">
        <v>63</v>
      </c>
      <c r="BH128" t="s">
        <v>332</v>
      </c>
      <c r="BI128" t="s">
        <v>4333</v>
      </c>
      <c r="BJ128" t="s">
        <v>208</v>
      </c>
      <c r="BK128" t="s">
        <v>3735</v>
      </c>
      <c r="BL128" t="s">
        <v>4334</v>
      </c>
      <c r="BM128" t="s">
        <v>3734</v>
      </c>
      <c r="BN128" t="s">
        <v>63</v>
      </c>
      <c r="BO128">
        <v>18.100000000000001</v>
      </c>
      <c r="BP128">
        <v>22.95</v>
      </c>
      <c r="BQ128">
        <v>-5.66</v>
      </c>
      <c r="BR128">
        <v>18.71</v>
      </c>
      <c r="BS128" t="s">
        <v>63</v>
      </c>
      <c r="BT128" t="s">
        <v>3736</v>
      </c>
      <c r="BU128" t="s">
        <v>1830</v>
      </c>
      <c r="BV128">
        <v>75</v>
      </c>
      <c r="BW128">
        <v>77.69</v>
      </c>
      <c r="BX128">
        <v>78.8</v>
      </c>
      <c r="BY128">
        <v>14.62</v>
      </c>
      <c r="BZ128">
        <v>19.559999999999999</v>
      </c>
      <c r="CA128">
        <v>23.53</v>
      </c>
      <c r="CB128">
        <v>13.41</v>
      </c>
      <c r="CC128" s="9">
        <v>-9.4600000000000009</v>
      </c>
      <c r="CD128" s="10" t="s">
        <v>4335</v>
      </c>
      <c r="CE128" s="9" t="s">
        <v>4336</v>
      </c>
      <c r="CF128" s="9">
        <v>0.18983391963198484</v>
      </c>
      <c r="CG128" s="9">
        <v>-0.42815390495604538</v>
      </c>
      <c r="CH128" s="9">
        <v>0.23305085301399231</v>
      </c>
      <c r="CI128" s="9">
        <v>0.16256158053874969</v>
      </c>
      <c r="CJ128" s="10">
        <v>0.33552631735801697</v>
      </c>
      <c r="CK128" s="10">
        <v>0.42056074738502502</v>
      </c>
      <c r="CL128" s="10" t="s">
        <v>63</v>
      </c>
      <c r="CM128" s="10">
        <v>-7.9621531069278717E-2</v>
      </c>
      <c r="CN128" s="10">
        <v>-3.3397652208805084E-2</v>
      </c>
      <c r="CO128">
        <v>0.52362030744552612</v>
      </c>
      <c r="CP128">
        <v>0.73299920558929443</v>
      </c>
      <c r="CQ128" t="s">
        <v>63</v>
      </c>
      <c r="CR128" s="9">
        <v>56.062641818329475</v>
      </c>
      <c r="CS128" s="10">
        <v>1.9471274200010547</v>
      </c>
      <c r="CT128">
        <v>0.21797468354430383</v>
      </c>
      <c r="CU128">
        <v>0.287924874573946</v>
      </c>
      <c r="CV128">
        <v>0.28590008243918419</v>
      </c>
      <c r="CW128">
        <v>0.06</v>
      </c>
      <c r="CX128">
        <v>23.94593661745683</v>
      </c>
      <c r="CY128">
        <v>51648946.531428345</v>
      </c>
      <c r="CZ128">
        <v>0.287924874573946</v>
      </c>
      <c r="DA128">
        <v>6.6439660604222359</v>
      </c>
      <c r="DB128">
        <v>186151221.83833075</v>
      </c>
      <c r="DC128">
        <v>0.2735286308452487</v>
      </c>
      <c r="DD128">
        <v>2.5901258818532988</v>
      </c>
      <c r="DE128">
        <v>477498954.26513082</v>
      </c>
      <c r="DF128">
        <v>0.25337388962507246</v>
      </c>
      <c r="DG128">
        <v>1.1716429278579847</v>
      </c>
      <c r="DH128">
        <v>1055596692.9797496</v>
      </c>
      <c r="DI128">
        <v>0.2303398996591568</v>
      </c>
      <c r="DJ128">
        <v>0.3042355535707898</v>
      </c>
      <c r="DK128">
        <v>4065213238.5054216</v>
      </c>
      <c r="DL128">
        <v>0.2015474122017622</v>
      </c>
      <c r="DM128">
        <v>42508600</v>
      </c>
      <c r="DN128">
        <v>0.287924874573946</v>
      </c>
      <c r="DO128">
        <v>1236782400</v>
      </c>
      <c r="DP128">
        <v>899346830</v>
      </c>
      <c r="DQ128" s="11">
        <v>5035</v>
      </c>
      <c r="DR128">
        <v>-9.8090954941961156E-2</v>
      </c>
      <c r="DS128">
        <v>-0.71405398739522963</v>
      </c>
      <c r="DT128">
        <v>0.15199999999999997</v>
      </c>
      <c r="DU128">
        <v>-0.374</v>
      </c>
      <c r="DV128">
        <v>-0.22200000000000003</v>
      </c>
      <c r="DW128">
        <v>5.7054436987322896</v>
      </c>
      <c r="DX128">
        <v>0.61615194176551014</v>
      </c>
      <c r="DY128">
        <v>5.2653540170843938</v>
      </c>
      <c r="DZ128">
        <v>2332</v>
      </c>
      <c r="EA128">
        <v>5.14420962244054</v>
      </c>
      <c r="EB128" s="12">
        <v>5</v>
      </c>
      <c r="EC128" s="12">
        <v>0.13501240069496942</v>
      </c>
      <c r="ED128">
        <v>0.35893048979429437</v>
      </c>
      <c r="EE128">
        <v>-4.1250999999999998</v>
      </c>
      <c r="EF128">
        <v>-3.0030000000000001</v>
      </c>
      <c r="EG128">
        <v>24.37615194176551</v>
      </c>
      <c r="EH128" s="14" t="s">
        <v>1470</v>
      </c>
      <c r="EI128">
        <v>1</v>
      </c>
      <c r="EJ128">
        <v>0</v>
      </c>
      <c r="EK128">
        <v>45504</v>
      </c>
      <c r="EL128">
        <v>-2.87</v>
      </c>
      <c r="EM128">
        <v>-0.53</v>
      </c>
      <c r="EN128">
        <v>2.02</v>
      </c>
      <c r="EO128">
        <v>12.57</v>
      </c>
      <c r="EP128">
        <v>2.79</v>
      </c>
    </row>
    <row r="129" spans="1:146" ht="108" hidden="1" x14ac:dyDescent="0.25">
      <c r="C129" s="7" t="str">
        <f>""&amp;CHAR(10)&amp;Basic_Fundamental_Information_Constructure(F129)&amp;CHAR(10)&amp;Basic_Fundamental_Information_Concatenate("")</f>
        <v xml:space="preserve">
市值22.176586亿, 利润5413.86万; PE42.73; 平均PE45.06; 平均PEG2.25, PB1.57; ROIC21.36%; ROE18.54%; 股利率2.9542%; 毛利91.8933%; 净利25.0067%; 上一年度营收增15.35%, 利润增-13.02%; 当季营收增4.79%, 利润增-27.06%; 过往5年营收增20.03%, 利润增23.75%
Income profile:
</v>
      </c>
      <c r="D129" s="5" t="s">
        <v>1793</v>
      </c>
      <c r="E129" t="s">
        <v>1794</v>
      </c>
      <c r="F129">
        <v>33.85</v>
      </c>
      <c r="G129">
        <v>3.8</v>
      </c>
      <c r="H129" t="s">
        <v>4337</v>
      </c>
      <c r="I129">
        <v>2217658600</v>
      </c>
      <c r="J129">
        <v>42.73</v>
      </c>
      <c r="K129">
        <v>1.57</v>
      </c>
      <c r="L129" t="s">
        <v>1277</v>
      </c>
      <c r="M129" t="s">
        <v>3737</v>
      </c>
      <c r="N129" t="s">
        <v>3738</v>
      </c>
      <c r="O129" t="s">
        <v>3739</v>
      </c>
      <c r="P129" s="5">
        <v>4.79</v>
      </c>
      <c r="Q129" t="s">
        <v>190</v>
      </c>
      <c r="R129">
        <v>6026418</v>
      </c>
      <c r="S129">
        <v>-0.27060000000000001</v>
      </c>
      <c r="T129" t="s">
        <v>3755</v>
      </c>
      <c r="U129">
        <v>14736730</v>
      </c>
      <c r="V129">
        <v>65514288</v>
      </c>
      <c r="W129">
        <v>1.04</v>
      </c>
      <c r="X129">
        <v>0.04</v>
      </c>
      <c r="Y129">
        <v>10.71</v>
      </c>
      <c r="Z129" t="s">
        <v>3740</v>
      </c>
      <c r="AA129" t="s">
        <v>3741</v>
      </c>
      <c r="AB129" t="s">
        <v>3742</v>
      </c>
      <c r="AC129" t="s">
        <v>3743</v>
      </c>
      <c r="AD129" t="s">
        <v>63</v>
      </c>
      <c r="AE129">
        <v>-3332117</v>
      </c>
      <c r="AF129" t="s">
        <v>3744</v>
      </c>
      <c r="AG129">
        <v>30.5</v>
      </c>
      <c r="AH129" t="s">
        <v>3745</v>
      </c>
      <c r="AI129" t="s">
        <v>291</v>
      </c>
      <c r="AJ129" t="s">
        <v>3746</v>
      </c>
      <c r="AK129" t="s">
        <v>3747</v>
      </c>
      <c r="AL129" t="s">
        <v>3748</v>
      </c>
      <c r="AM129" t="s">
        <v>63</v>
      </c>
      <c r="AN129">
        <v>0</v>
      </c>
      <c r="AO129" t="s">
        <v>63</v>
      </c>
      <c r="AP129" t="s">
        <v>63</v>
      </c>
      <c r="AQ129" t="s">
        <v>3749</v>
      </c>
      <c r="AR129" t="s">
        <v>63</v>
      </c>
      <c r="AS129" t="s">
        <v>3750</v>
      </c>
      <c r="AT129" t="s">
        <v>63</v>
      </c>
      <c r="AU129" t="s">
        <v>3751</v>
      </c>
      <c r="AV129" t="s">
        <v>3752</v>
      </c>
      <c r="AW129" t="s">
        <v>3753</v>
      </c>
      <c r="AX129" t="s">
        <v>480</v>
      </c>
      <c r="AY129" t="s">
        <v>208</v>
      </c>
      <c r="AZ129" t="s">
        <v>270</v>
      </c>
      <c r="BA129" t="s">
        <v>191</v>
      </c>
      <c r="BB129" t="s">
        <v>285</v>
      </c>
      <c r="BC129" t="s">
        <v>3754</v>
      </c>
      <c r="BD129" t="s">
        <v>1795</v>
      </c>
      <c r="BE129" t="s">
        <v>1796</v>
      </c>
      <c r="BF129" t="s">
        <v>1797</v>
      </c>
      <c r="BG129" t="s">
        <v>1798</v>
      </c>
      <c r="BH129" t="s">
        <v>190</v>
      </c>
      <c r="BI129" t="s">
        <v>4338</v>
      </c>
      <c r="BJ129" t="s">
        <v>480</v>
      </c>
      <c r="BK129" t="s">
        <v>3755</v>
      </c>
      <c r="BL129" t="s">
        <v>4339</v>
      </c>
      <c r="BM129" t="s">
        <v>3754</v>
      </c>
      <c r="BN129">
        <v>4.43</v>
      </c>
      <c r="BO129">
        <v>23.32</v>
      </c>
      <c r="BP129">
        <v>36.33</v>
      </c>
      <c r="BQ129">
        <v>13.26</v>
      </c>
      <c r="BR129">
        <v>23.82</v>
      </c>
      <c r="BS129" t="s">
        <v>63</v>
      </c>
      <c r="BT129" t="s">
        <v>3756</v>
      </c>
      <c r="BU129" t="s">
        <v>1848</v>
      </c>
      <c r="BV129">
        <v>91.45</v>
      </c>
      <c r="BW129">
        <v>91.75</v>
      </c>
      <c r="BX129">
        <v>92.48</v>
      </c>
      <c r="BY129">
        <v>19.47</v>
      </c>
      <c r="BZ129">
        <v>25.87</v>
      </c>
      <c r="CA129">
        <v>29.68</v>
      </c>
      <c r="CB129">
        <v>3.83</v>
      </c>
      <c r="CC129" s="9">
        <v>-11.55</v>
      </c>
      <c r="CD129" s="10" t="s">
        <v>4340</v>
      </c>
      <c r="CE129" s="9" t="s">
        <v>4341</v>
      </c>
      <c r="CF129" s="9">
        <v>4.790645601760004E-2</v>
      </c>
      <c r="CG129" s="9">
        <v>-0.27063019667170951</v>
      </c>
      <c r="CH129" s="9">
        <v>0.15352697670459747</v>
      </c>
      <c r="CI129" s="9">
        <v>2.118644118309021E-2</v>
      </c>
      <c r="CJ129" s="10">
        <v>0.26881721615791321</v>
      </c>
      <c r="CK129" s="10">
        <v>0.21568627655506134</v>
      </c>
      <c r="CL129" s="10">
        <v>0.34210526943206787</v>
      </c>
      <c r="CM129" s="10">
        <v>-0.13018903136253357</v>
      </c>
      <c r="CN129" s="10">
        <v>-0.11216693371534348</v>
      </c>
      <c r="CO129">
        <v>0.45690599083900452</v>
      </c>
      <c r="CP129">
        <v>1.5112621784210205</v>
      </c>
      <c r="CQ129">
        <v>-0.53834402561187744</v>
      </c>
      <c r="CR129" s="9">
        <v>45.063340199314396</v>
      </c>
      <c r="CS129" s="10">
        <v>2.2501918512302113</v>
      </c>
      <c r="CT129">
        <v>2.954209748892171</v>
      </c>
      <c r="CU129">
        <v>0.20026443600654603</v>
      </c>
      <c r="CV129">
        <v>0.2374936357140541</v>
      </c>
      <c r="CW129">
        <v>0.06</v>
      </c>
      <c r="CX129">
        <v>14.524418892500005</v>
      </c>
      <c r="CY129">
        <v>61302486.976588666</v>
      </c>
      <c r="CZ129">
        <v>0.20026443600654603</v>
      </c>
      <c r="DA129">
        <v>4.3285334044964783</v>
      </c>
      <c r="DB129">
        <v>205700849.87101418</v>
      </c>
      <c r="DC129">
        <v>0.19025121420621871</v>
      </c>
      <c r="DD129">
        <v>1.8746876455561559</v>
      </c>
      <c r="DE129">
        <v>474950054.80545199</v>
      </c>
      <c r="DF129">
        <v>0.17623270368576052</v>
      </c>
      <c r="DG129">
        <v>0.96778328446438211</v>
      </c>
      <c r="DH129">
        <v>920023123.24786723</v>
      </c>
      <c r="DI129">
        <v>0.16021154880523683</v>
      </c>
      <c r="DJ129">
        <v>0.35057143198172391</v>
      </c>
      <c r="DK129">
        <v>2539804783.769197</v>
      </c>
      <c r="DL129">
        <v>0.14018510520458222</v>
      </c>
      <c r="DM129">
        <v>54138600</v>
      </c>
      <c r="DN129">
        <v>0.20026443600654603</v>
      </c>
      <c r="DO129">
        <v>890383000</v>
      </c>
      <c r="DP129">
        <v>1359446600</v>
      </c>
      <c r="DQ129" s="11">
        <v>5040</v>
      </c>
      <c r="DR129">
        <v>-0.15235797998894599</v>
      </c>
      <c r="DS129">
        <v>-0.50812383238576364</v>
      </c>
      <c r="DT129">
        <v>7.6666666666666591E-2</v>
      </c>
      <c r="DU129">
        <v>4.6666666666666669E-2</v>
      </c>
      <c r="DV129">
        <v>0.12333333333333327</v>
      </c>
      <c r="DW129">
        <v>6.2490247074122234</v>
      </c>
      <c r="DX129">
        <v>0.66469075618603279</v>
      </c>
      <c r="DY129">
        <v>6.0235803378538684</v>
      </c>
      <c r="DZ129">
        <v>1523</v>
      </c>
      <c r="EA129">
        <v>6.0165496302282921</v>
      </c>
      <c r="EB129" s="12">
        <v>6</v>
      </c>
      <c r="EC129" s="12">
        <v>1.2511774530771059E-2</v>
      </c>
      <c r="ED129">
        <v>0.13213300890944582</v>
      </c>
      <c r="EE129">
        <v>-4.0305099999999996</v>
      </c>
      <c r="EF129">
        <v>-4.0075000000000003</v>
      </c>
      <c r="EG129">
        <v>57.094690756186033</v>
      </c>
      <c r="EH129" s="14" t="s">
        <v>1719</v>
      </c>
      <c r="EI129">
        <v>0</v>
      </c>
      <c r="EJ129">
        <v>0</v>
      </c>
      <c r="EK129">
        <v>45504</v>
      </c>
      <c r="EL129">
        <v>-2.8</v>
      </c>
      <c r="EM129">
        <v>-0.43</v>
      </c>
      <c r="EN129">
        <v>0.25</v>
      </c>
      <c r="EO129">
        <v>-0.4</v>
      </c>
      <c r="EP129">
        <v>3.8</v>
      </c>
    </row>
    <row r="130" spans="1:146" ht="96" hidden="1" x14ac:dyDescent="0.25">
      <c r="C130" s="7" t="str">
        <f>""&amp;CHAR(10)&amp;Basic_Fundamental_Information_Constructure(F130)&amp;CHAR(10)&amp;Basic_Fundamental_Information_Concatenate("")</f>
        <v xml:space="preserve">
市值171.532亿, 利润2.96亿; PE53.91; 平均PE68.76; 平均PEG2.25, PB5.64; ROIC42.075%; ROE0%; 股利率0%; 毛利93.48%; 净利44.8167%; 上一年度营收增15.41%, 利润增10.04%; 当季营收增26.72%, 利润增177.16%; 过往5年营收增30.53%, 利润增58.84%
Income profile:
</v>
      </c>
      <c r="D130" t="s">
        <v>3757</v>
      </c>
      <c r="E130" t="s">
        <v>3758</v>
      </c>
      <c r="F130">
        <v>225.7</v>
      </c>
      <c r="G130">
        <v>8.0399999999999991</v>
      </c>
      <c r="H130" t="s">
        <v>4342</v>
      </c>
      <c r="I130">
        <v>17153200000</v>
      </c>
      <c r="J130">
        <v>53.91</v>
      </c>
      <c r="K130">
        <v>5.64</v>
      </c>
      <c r="L130" t="s">
        <v>1277</v>
      </c>
      <c r="M130" t="s">
        <v>335</v>
      </c>
      <c r="N130" t="s">
        <v>1223</v>
      </c>
      <c r="O130" t="s">
        <v>189</v>
      </c>
      <c r="P130" s="5">
        <v>26.79</v>
      </c>
      <c r="Q130" t="s">
        <v>338</v>
      </c>
      <c r="R130">
        <v>93000000</v>
      </c>
      <c r="S130">
        <v>0.65859999999999996</v>
      </c>
      <c r="T130" t="s">
        <v>399</v>
      </c>
      <c r="U130">
        <v>14285053</v>
      </c>
      <c r="V130">
        <v>76000000</v>
      </c>
      <c r="W130">
        <v>1.23</v>
      </c>
      <c r="X130">
        <v>0.09</v>
      </c>
      <c r="Y130">
        <v>32.770000000000003</v>
      </c>
      <c r="Z130" t="s">
        <v>268</v>
      </c>
      <c r="AA130" t="s">
        <v>3759</v>
      </c>
      <c r="AB130" t="s">
        <v>3760</v>
      </c>
      <c r="AC130" t="s">
        <v>3761</v>
      </c>
      <c r="AD130" t="s">
        <v>63</v>
      </c>
      <c r="AE130">
        <v>-5414822</v>
      </c>
      <c r="AF130" t="s">
        <v>175</v>
      </c>
      <c r="AG130">
        <v>7454.49</v>
      </c>
      <c r="AH130" t="s">
        <v>3762</v>
      </c>
      <c r="AI130" t="s">
        <v>3763</v>
      </c>
      <c r="AJ130" t="s">
        <v>3764</v>
      </c>
      <c r="AK130" t="s">
        <v>3765</v>
      </c>
      <c r="AL130" t="s">
        <v>3766</v>
      </c>
      <c r="AM130" t="s">
        <v>63</v>
      </c>
      <c r="AN130" t="s">
        <v>264</v>
      </c>
      <c r="AO130" t="s">
        <v>63</v>
      </c>
      <c r="AP130" t="s">
        <v>63</v>
      </c>
      <c r="AQ130" t="s">
        <v>3767</v>
      </c>
      <c r="AR130" t="s">
        <v>63</v>
      </c>
      <c r="AS130" t="s">
        <v>417</v>
      </c>
      <c r="AT130" t="s">
        <v>63</v>
      </c>
      <c r="AU130" t="s">
        <v>3768</v>
      </c>
      <c r="AV130" t="s">
        <v>3769</v>
      </c>
      <c r="AW130" t="s">
        <v>3770</v>
      </c>
      <c r="AX130" t="s">
        <v>328</v>
      </c>
      <c r="AY130" t="s">
        <v>710</v>
      </c>
      <c r="AZ130" t="s">
        <v>458</v>
      </c>
      <c r="BA130" t="s">
        <v>227</v>
      </c>
      <c r="BB130" t="s">
        <v>63</v>
      </c>
      <c r="BC130" t="s">
        <v>631</v>
      </c>
      <c r="BD130" t="s">
        <v>238</v>
      </c>
      <c r="BE130" t="s">
        <v>255</v>
      </c>
      <c r="BF130" t="s">
        <v>3771</v>
      </c>
      <c r="BG130" t="s">
        <v>63</v>
      </c>
      <c r="BH130" t="s">
        <v>338</v>
      </c>
      <c r="BI130" t="s">
        <v>365</v>
      </c>
      <c r="BJ130" t="s">
        <v>328</v>
      </c>
      <c r="BK130" t="s">
        <v>399</v>
      </c>
      <c r="BL130" t="s">
        <v>4343</v>
      </c>
      <c r="BM130" t="s">
        <v>631</v>
      </c>
      <c r="BN130" t="s">
        <v>63</v>
      </c>
      <c r="BO130">
        <v>24.25</v>
      </c>
      <c r="BP130">
        <v>59.9</v>
      </c>
      <c r="BQ130" t="s">
        <v>63</v>
      </c>
      <c r="BR130" t="s">
        <v>63</v>
      </c>
      <c r="BS130" t="s">
        <v>63</v>
      </c>
      <c r="BT130" t="s">
        <v>63</v>
      </c>
      <c r="BU130" t="s">
        <v>1848</v>
      </c>
      <c r="BV130">
        <v>95.81</v>
      </c>
      <c r="BW130">
        <v>94.06</v>
      </c>
      <c r="BX130">
        <v>90.57</v>
      </c>
      <c r="BY130">
        <v>36.880000000000003</v>
      </c>
      <c r="BZ130">
        <v>38.56</v>
      </c>
      <c r="CA130">
        <v>59.01</v>
      </c>
      <c r="CB130">
        <v>6.84</v>
      </c>
      <c r="CC130" s="9">
        <v>4.01</v>
      </c>
      <c r="CD130" s="10" t="s">
        <v>4344</v>
      </c>
      <c r="CE130" s="9" t="s">
        <v>4345</v>
      </c>
      <c r="CF130" s="9">
        <v>0.26717557251908397</v>
      </c>
      <c r="CG130" s="9">
        <v>1.7716103652267208</v>
      </c>
      <c r="CH130" s="9">
        <v>0.15406976640224457</v>
      </c>
      <c r="CI130" s="9">
        <v>-7.4024222791194916E-2</v>
      </c>
      <c r="CJ130" s="10">
        <v>0.65111112594604492</v>
      </c>
      <c r="CK130" s="10">
        <v>0.49006623029708862</v>
      </c>
      <c r="CL130" s="10" t="s">
        <v>63</v>
      </c>
      <c r="CM130" s="10">
        <v>0.10037174820899963</v>
      </c>
      <c r="CN130" s="10">
        <v>-0.39414414763450623</v>
      </c>
      <c r="CO130">
        <v>1.9798657894134521</v>
      </c>
      <c r="CP130">
        <v>0.66739034652709961</v>
      </c>
      <c r="CQ130" t="s">
        <v>63</v>
      </c>
      <c r="CR130" s="9">
        <v>68.757950784423954</v>
      </c>
      <c r="CS130" s="10">
        <v>2.2521015874377661</v>
      </c>
      <c r="CT130">
        <v>0</v>
      </c>
      <c r="CU130">
        <v>0.3053057249635458</v>
      </c>
      <c r="CV130">
        <v>0.58837093412876129</v>
      </c>
      <c r="CW130">
        <v>0.06</v>
      </c>
      <c r="CX130">
        <v>44.181562099221281</v>
      </c>
      <c r="CY130">
        <v>364500466.5935939</v>
      </c>
      <c r="CZ130">
        <v>0.3053057249635458</v>
      </c>
      <c r="DA130">
        <v>12.088289451776864</v>
      </c>
      <c r="DB130">
        <v>1332214955.9905546</v>
      </c>
      <c r="DC130">
        <v>0.2900404387153685</v>
      </c>
      <c r="DD130">
        <v>4.6141906965755286</v>
      </c>
      <c r="DE130">
        <v>3490146172.7517905</v>
      </c>
      <c r="DF130">
        <v>0.2686690379679203</v>
      </c>
      <c r="DG130">
        <v>2.0313906742029122</v>
      </c>
      <c r="DH130">
        <v>7927672507.5638399</v>
      </c>
      <c r="DI130">
        <v>0.24424457997083665</v>
      </c>
      <c r="DJ130">
        <v>0.49202740427185426</v>
      </c>
      <c r="DK130">
        <v>32730290752.468193</v>
      </c>
      <c r="DL130">
        <v>0.21371400747448205</v>
      </c>
      <c r="DM130">
        <v>296000000</v>
      </c>
      <c r="DN130">
        <v>0.3053057249635458</v>
      </c>
      <c r="DO130">
        <v>16104200000</v>
      </c>
      <c r="DP130">
        <v>1317963300</v>
      </c>
      <c r="DQ130" s="11">
        <v>5067</v>
      </c>
      <c r="DR130">
        <v>-3.8130152444461829E-2</v>
      </c>
      <c r="DS130">
        <v>1.1832394310979595</v>
      </c>
      <c r="DT130">
        <v>0.13199999999999995</v>
      </c>
      <c r="DU130">
        <v>0.82599999999999996</v>
      </c>
      <c r="DV130">
        <v>0.95799999999999996</v>
      </c>
      <c r="DW130">
        <v>5.5862573099415203</v>
      </c>
      <c r="DX130">
        <v>0.54767144228467624</v>
      </c>
      <c r="DY130">
        <v>5.0631231701113393</v>
      </c>
      <c r="DZ130">
        <v>263</v>
      </c>
      <c r="EA130">
        <v>5.0598730930284725</v>
      </c>
      <c r="EB130" s="12">
        <v>5</v>
      </c>
      <c r="EC130" s="12">
        <v>5.5050000000000002E-2</v>
      </c>
      <c r="ED130">
        <v>0.51127763157894734</v>
      </c>
      <c r="EE130">
        <v>-1.06741</v>
      </c>
      <c r="EF130">
        <v>-1.0129999999999999</v>
      </c>
      <c r="EG130">
        <v>44.107671442284676</v>
      </c>
      <c r="EH130" s="14" t="s">
        <v>1284</v>
      </c>
      <c r="EI130">
        <v>1</v>
      </c>
      <c r="EJ130">
        <v>1</v>
      </c>
      <c r="EK130">
        <v>45504</v>
      </c>
      <c r="EL130">
        <v>-4.84</v>
      </c>
      <c r="EM130">
        <v>-2.2599999999999998</v>
      </c>
      <c r="EN130">
        <v>0.71</v>
      </c>
      <c r="EO130">
        <v>0.8</v>
      </c>
      <c r="EP130">
        <v>8.0399999999999991</v>
      </c>
    </row>
    <row r="131" spans="1:146" ht="96" x14ac:dyDescent="0.25">
      <c r="C131" s="7" t="str">
        <f>""&amp;CHAR(10)&amp;Basic_Fundamental_Information_Constructure(F131)&amp;CHAR(10)&amp;Basic_Fundamental_Information_Concatenate("")</f>
        <v xml:space="preserve">
市值25.762062亿, 利润6666.34万; PE37.47; 平均PE62.07; 平均PEG4.83, PB3.24; ROIC19.695%; ROE0%; 股利率.7923%; 毛利88.0267%; 净利36.4167%; 上一年度营收增31.39%, 利润增52.05%; 当季营收增59.56%, 利润增1186.8%; 过往5年营收增12.85%, 利润增29.42%
Income profile:
</v>
      </c>
      <c r="D131" t="s">
        <v>1803</v>
      </c>
      <c r="E131" t="s">
        <v>1804</v>
      </c>
      <c r="F131">
        <v>30.29</v>
      </c>
      <c r="G131">
        <v>3.27</v>
      </c>
      <c r="H131" t="s">
        <v>4346</v>
      </c>
      <c r="I131">
        <v>2576206200</v>
      </c>
      <c r="J131">
        <v>37.47</v>
      </c>
      <c r="K131">
        <v>3.24</v>
      </c>
      <c r="L131" t="s">
        <v>1277</v>
      </c>
      <c r="M131" t="s">
        <v>3772</v>
      </c>
      <c r="N131" t="s">
        <v>3270</v>
      </c>
      <c r="O131" t="s">
        <v>3773</v>
      </c>
      <c r="P131" s="5">
        <v>59.56</v>
      </c>
      <c r="Q131" t="s">
        <v>262</v>
      </c>
      <c r="R131">
        <v>2267337</v>
      </c>
      <c r="S131">
        <v>11.86</v>
      </c>
      <c r="T131" t="s">
        <v>3792</v>
      </c>
      <c r="U131">
        <v>17985065</v>
      </c>
      <c r="V131">
        <v>85051378</v>
      </c>
      <c r="W131">
        <v>1.04</v>
      </c>
      <c r="X131">
        <v>0.04</v>
      </c>
      <c r="Y131">
        <v>7.95</v>
      </c>
      <c r="Z131" t="s">
        <v>3774</v>
      </c>
      <c r="AA131" t="s">
        <v>3775</v>
      </c>
      <c r="AB131" t="s">
        <v>3776</v>
      </c>
      <c r="AC131" t="s">
        <v>3777</v>
      </c>
      <c r="AD131" t="s">
        <v>63</v>
      </c>
      <c r="AE131">
        <v>31501</v>
      </c>
      <c r="AF131" t="s">
        <v>175</v>
      </c>
      <c r="AG131">
        <v>350</v>
      </c>
      <c r="AH131" t="s">
        <v>3778</v>
      </c>
      <c r="AI131" t="s">
        <v>205</v>
      </c>
      <c r="AJ131" t="s">
        <v>3779</v>
      </c>
      <c r="AK131" t="s">
        <v>3780</v>
      </c>
      <c r="AL131" t="s">
        <v>3781</v>
      </c>
      <c r="AM131" t="s">
        <v>63</v>
      </c>
      <c r="AN131">
        <v>0</v>
      </c>
      <c r="AO131" t="s">
        <v>63</v>
      </c>
      <c r="AP131" t="s">
        <v>63</v>
      </c>
      <c r="AQ131" t="s">
        <v>3782</v>
      </c>
      <c r="AR131" t="s">
        <v>63</v>
      </c>
      <c r="AS131" t="s">
        <v>3783</v>
      </c>
      <c r="AT131" t="s">
        <v>63</v>
      </c>
      <c r="AU131" t="s">
        <v>3784</v>
      </c>
      <c r="AV131" t="s">
        <v>3785</v>
      </c>
      <c r="AW131" t="s">
        <v>464</v>
      </c>
      <c r="AX131" t="s">
        <v>322</v>
      </c>
      <c r="AY131" t="s">
        <v>421</v>
      </c>
      <c r="AZ131" t="s">
        <v>3786</v>
      </c>
      <c r="BA131" t="s">
        <v>3787</v>
      </c>
      <c r="BB131" t="s">
        <v>184</v>
      </c>
      <c r="BC131" t="s">
        <v>1805</v>
      </c>
      <c r="BD131" t="s">
        <v>3788</v>
      </c>
      <c r="BE131" t="s">
        <v>3789</v>
      </c>
      <c r="BF131" t="s">
        <v>3790</v>
      </c>
      <c r="BG131" t="s">
        <v>3791</v>
      </c>
      <c r="BH131" t="s">
        <v>262</v>
      </c>
      <c r="BI131" t="s">
        <v>4347</v>
      </c>
      <c r="BJ131" t="s">
        <v>322</v>
      </c>
      <c r="BK131" t="s">
        <v>3792</v>
      </c>
      <c r="BL131" t="s">
        <v>4348</v>
      </c>
      <c r="BM131" t="s">
        <v>1805</v>
      </c>
      <c r="BN131" t="s">
        <v>63</v>
      </c>
      <c r="BO131">
        <v>14.22</v>
      </c>
      <c r="BP131">
        <v>25.17</v>
      </c>
      <c r="BQ131" t="s">
        <v>63</v>
      </c>
      <c r="BR131" t="s">
        <v>63</v>
      </c>
      <c r="BS131" t="s">
        <v>63</v>
      </c>
      <c r="BT131" t="s">
        <v>3793</v>
      </c>
      <c r="BU131" t="s">
        <v>1830</v>
      </c>
      <c r="BV131">
        <v>91.84</v>
      </c>
      <c r="BW131">
        <v>83.72</v>
      </c>
      <c r="BX131">
        <v>88.52</v>
      </c>
      <c r="BY131">
        <v>37.049999999999997</v>
      </c>
      <c r="BZ131">
        <v>31.91</v>
      </c>
      <c r="CA131">
        <v>40.29</v>
      </c>
      <c r="CB131">
        <v>2.4700000000000002</v>
      </c>
      <c r="CC131" s="9">
        <v>-18.600000000000001</v>
      </c>
      <c r="CD131" s="10" t="s">
        <v>4349</v>
      </c>
      <c r="CE131" s="9" t="s">
        <v>4350</v>
      </c>
      <c r="CF131" s="9">
        <v>0.59556594592780676</v>
      </c>
      <c r="CG131" s="9">
        <v>11.867973893303065</v>
      </c>
      <c r="CH131" s="9">
        <v>0.31386861205101013</v>
      </c>
      <c r="CI131" s="9">
        <v>0.14166666567325592</v>
      </c>
      <c r="CJ131" s="10">
        <v>0.46577417850494385</v>
      </c>
      <c r="CK131" s="10">
        <v>0.18621081113815308</v>
      </c>
      <c r="CL131" s="10">
        <v>-0.46498915553092957</v>
      </c>
      <c r="CM131" s="10">
        <v>0.52045416831970215</v>
      </c>
      <c r="CN131" s="10">
        <v>-9.4503752887248993E-2</v>
      </c>
      <c r="CO131">
        <v>0.13212218880653381</v>
      </c>
      <c r="CP131">
        <v>0.5842432975769043</v>
      </c>
      <c r="CQ131">
        <v>0.32872000336647034</v>
      </c>
      <c r="CR131" s="9">
        <v>62.074191515840781</v>
      </c>
      <c r="CS131" s="10">
        <v>4.8304424775965371</v>
      </c>
      <c r="CT131">
        <v>0.79234070650379662</v>
      </c>
      <c r="CU131">
        <v>0.12850622236728668</v>
      </c>
      <c r="CV131">
        <v>0.29420718103647231</v>
      </c>
      <c r="CW131">
        <v>0.06</v>
      </c>
      <c r="CX131">
        <v>25.917556437311809</v>
      </c>
      <c r="CY131">
        <v>70971756.324678645</v>
      </c>
      <c r="CZ131">
        <v>0.12850622236728668</v>
      </c>
      <c r="DA131">
        <v>8.1990860369958813</v>
      </c>
      <c r="DB131">
        <v>224343846.58243635</v>
      </c>
      <c r="DC131">
        <v>0.12208091124892234</v>
      </c>
      <c r="DD131">
        <v>3.8623383186309796</v>
      </c>
      <c r="DE131">
        <v>476243753.97854513</v>
      </c>
      <c r="DF131">
        <v>0.11308547568321227</v>
      </c>
      <c r="DG131">
        <v>2.2050962428003795</v>
      </c>
      <c r="DH131">
        <v>834165178.05319047</v>
      </c>
      <c r="DI131">
        <v>0.10280497789382935</v>
      </c>
      <c r="DJ131">
        <v>1.0164687589074295</v>
      </c>
      <c r="DK131">
        <v>1809612429.1878181</v>
      </c>
      <c r="DL131">
        <v>8.9954355657100665E-2</v>
      </c>
      <c r="DM131">
        <v>66663400</v>
      </c>
      <c r="DN131">
        <v>0.12850622236728668</v>
      </c>
      <c r="DO131">
        <v>1839414500</v>
      </c>
      <c r="DP131">
        <v>771190420</v>
      </c>
      <c r="DQ131" s="11">
        <v>5069</v>
      </c>
      <c r="DR131">
        <v>0.46705972356052006</v>
      </c>
      <c r="DS131">
        <v>11.573766712266591</v>
      </c>
      <c r="DT131">
        <v>-0.12333333333333336</v>
      </c>
      <c r="DU131">
        <v>0.60333333333333328</v>
      </c>
      <c r="DV131">
        <v>0.47999999999999993</v>
      </c>
      <c r="DW131">
        <v>-3.0294047619047619</v>
      </c>
      <c r="DX131">
        <v>0.51402969383344832</v>
      </c>
      <c r="DY131">
        <v>-3.0027649207591502</v>
      </c>
      <c r="DZ131">
        <v>805</v>
      </c>
      <c r="EA131">
        <v>-3.0023291805063868</v>
      </c>
      <c r="EB131" s="12">
        <v>3</v>
      </c>
      <c r="EC131" s="12">
        <v>4.7321984600884423E-2</v>
      </c>
      <c r="ED131">
        <v>0.50326639034584486</v>
      </c>
      <c r="EE131">
        <v>9.1062100000000008</v>
      </c>
      <c r="EF131">
        <v>9.0735100000000006</v>
      </c>
      <c r="EG131">
        <v>42.094029693833448</v>
      </c>
      <c r="EH131" s="14" t="s">
        <v>4351</v>
      </c>
      <c r="EI131">
        <v>0</v>
      </c>
      <c r="EJ131">
        <v>1</v>
      </c>
      <c r="EK131">
        <v>45504</v>
      </c>
      <c r="EL131">
        <v>-2.92</v>
      </c>
      <c r="EM131">
        <v>-1.1200000000000001</v>
      </c>
      <c r="EN131">
        <v>0.99</v>
      </c>
      <c r="EO131">
        <v>-1.08</v>
      </c>
      <c r="EP131">
        <v>3.27</v>
      </c>
    </row>
    <row r="132" spans="1:146" hidden="1" x14ac:dyDescent="0.25">
      <c r="A132" s="7"/>
      <c r="B132" s="7"/>
      <c r="C132" s="7"/>
      <c r="S132" s="5"/>
    </row>
    <row r="133" spans="1:146" hidden="1" x14ac:dyDescent="0.25">
      <c r="S133" s="5"/>
    </row>
    <row r="134" spans="1:146" hidden="1" x14ac:dyDescent="0.25">
      <c r="S134" s="5"/>
    </row>
    <row r="135" spans="1:146" hidden="1" x14ac:dyDescent="0.25">
      <c r="S135" s="5"/>
    </row>
    <row r="136" spans="1:146" hidden="1" x14ac:dyDescent="0.25">
      <c r="S136" s="5"/>
    </row>
    <row r="137" spans="1:146" hidden="1" x14ac:dyDescent="0.25">
      <c r="S137" s="5"/>
    </row>
    <row r="138" spans="1:146" hidden="1" x14ac:dyDescent="0.25">
      <c r="S138" s="6"/>
    </row>
  </sheetData>
  <autoFilter ref="BU1:BU138">
    <filterColumn colId="0">
      <filters>
        <filter val="横向通用软件"/>
      </filters>
    </filterColumn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软件开发&quot;,&quot;&quot;'" altText="更新基本面按钮_x000a_">
                <anchor moveWithCells="1" sizeWithCells="1">
                  <from>
                    <xdr:col>147</xdr:col>
                    <xdr:colOff>304800</xdr:colOff>
                    <xdr:row>0</xdr:row>
                    <xdr:rowOff>95250</xdr:rowOff>
                  </from>
                  <to>
                    <xdr:col>147</xdr:col>
                    <xdr:colOff>1492250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计算机应用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2024-07-31T23:03:50Z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