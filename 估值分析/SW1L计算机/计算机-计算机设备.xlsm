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计算机\"/>
    </mc:Choice>
  </mc:AlternateContent>
  <bookViews>
    <workbookView xWindow="0" yWindow="0" windowWidth="3800" windowHeight="2950"/>
  </bookViews>
  <sheets>
    <sheet name="计算机设备" sheetId="18" r:id="rId1"/>
    <sheet name="估值-增速与年化收益" sheetId="14" r:id="rId2"/>
  </sheets>
  <functionGroups builtInGroupCount="18"/>
  <definedNames>
    <definedName name="_xlnm._FilterDatabase" localSheetId="0" hidden="1">计算机设备!$BU$1:$BU$217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73" i="18"/>
  <c r="C70" i="18"/>
  <c r="C66" i="18"/>
  <c r="C62" i="18"/>
  <c r="C58" i="18"/>
  <c r="C54" i="18"/>
  <c r="C50" i="18"/>
  <c r="C46" i="18"/>
  <c r="C42" i="18"/>
  <c r="C38" i="18"/>
  <c r="C34" i="18"/>
  <c r="C30" i="18"/>
  <c r="C26" i="18"/>
  <c r="C22" i="18"/>
  <c r="C18" i="18"/>
  <c r="C14" i="18"/>
  <c r="C72" i="18"/>
  <c r="C69" i="18"/>
  <c r="C65" i="18"/>
  <c r="C61" i="18"/>
  <c r="C57" i="18"/>
  <c r="C53" i="18"/>
  <c r="C49" i="18"/>
  <c r="C45" i="18"/>
  <c r="C41" i="18"/>
  <c r="C37" i="18"/>
  <c r="C33" i="18"/>
  <c r="C29" i="18"/>
  <c r="C25" i="18"/>
  <c r="C21" i="18"/>
  <c r="C17" i="18"/>
  <c r="C13" i="18"/>
  <c r="C75" i="18"/>
  <c r="C71" i="18"/>
  <c r="C68" i="18"/>
  <c r="C64" i="18"/>
  <c r="C60" i="18"/>
  <c r="C56" i="18"/>
  <c r="C52" i="18"/>
  <c r="C48" i="18"/>
  <c r="C44" i="18"/>
  <c r="C40" i="18"/>
  <c r="C36" i="18"/>
  <c r="C32" i="18"/>
  <c r="C28" i="18"/>
  <c r="C24" i="18"/>
  <c r="C20" i="18"/>
  <c r="C16" i="18"/>
  <c r="C12" i="18"/>
  <c r="C10" i="18"/>
  <c r="C74" i="18"/>
  <c r="C67" i="18"/>
  <c r="C63" i="18"/>
  <c r="C59" i="18"/>
  <c r="C55" i="18"/>
  <c r="C51" i="18"/>
  <c r="C47" i="18"/>
  <c r="C43" i="18"/>
  <c r="C39" i="18"/>
  <c r="C35" i="18"/>
  <c r="C31" i="18"/>
  <c r="C27" i="18"/>
  <c r="C23" i="18"/>
  <c r="C19" i="18"/>
  <c r="C15" i="18"/>
  <c r="C11" i="18"/>
  <c r="C9" i="18"/>
  <c r="C8" i="18"/>
  <c r="C7" i="18"/>
  <c r="C6" i="18"/>
  <c r="C5" i="18"/>
  <c r="C4" i="18"/>
  <c r="C3" i="18"/>
  <c r="C2" i="18"/>
</calcChain>
</file>

<file path=xl/sharedStrings.xml><?xml version="1.0" encoding="utf-8"?>
<sst xmlns="http://schemas.openxmlformats.org/spreadsheetml/2006/main" count="4425" uniqueCount="2911">
  <si>
    <t>&lt;-增速</t>
    <phoneticPr fontId="1" type="noConversion"/>
  </si>
  <si>
    <t>&lt;-估值</t>
    <phoneticPr fontId="1" type="noConversion"/>
  </si>
  <si>
    <t>&lt;-折合年化收益</t>
    <phoneticPr fontId="1" type="noConversion"/>
  </si>
  <si>
    <t>现价</t>
  </si>
  <si>
    <t>市净率</t>
  </si>
  <si>
    <t>--</t>
  </si>
  <si>
    <t>总市值</t>
  </si>
  <si>
    <t>TTM市盈率</t>
  </si>
  <si>
    <t>所属行业</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</si>
  <si>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</si>
  <si>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</si>
  <si>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</si>
  <si>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</si>
  <si>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</si>
  <si>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</si>
  <si>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</si>
  <si>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</si>
  <si>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</si>
  <si>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</si>
  <si>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</si>
  <si>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1.08亿</t>
  </si>
  <si>
    <t>0亿</t>
  </si>
  <si>
    <t>1.00亿</t>
  </si>
  <si>
    <t>2.18亿</t>
  </si>
  <si>
    <t>8.42亿</t>
  </si>
  <si>
    <t>1.01亿</t>
  </si>
  <si>
    <t>1.22亿</t>
  </si>
  <si>
    <t>1.51亿</t>
  </si>
  <si>
    <t>1.29亿</t>
  </si>
  <si>
    <t>1.68亿</t>
  </si>
  <si>
    <t>4.05亿</t>
  </si>
  <si>
    <t>3.76亿</t>
  </si>
  <si>
    <t>2.78亿</t>
  </si>
  <si>
    <t>6.15亿</t>
  </si>
  <si>
    <t>4.70亿</t>
  </si>
  <si>
    <t>1.60亿</t>
  </si>
  <si>
    <t>1.15亿</t>
  </si>
  <si>
    <t>2.17亿</t>
  </si>
  <si>
    <t>2.76亿</t>
  </si>
  <si>
    <t>1.81亿</t>
  </si>
  <si>
    <t>2.24亿</t>
  </si>
  <si>
    <t>2.20亿</t>
  </si>
  <si>
    <t>1.62亿</t>
  </si>
  <si>
    <t>2.36亿</t>
  </si>
  <si>
    <t>1.19亿</t>
  </si>
  <si>
    <t>1.27亿</t>
  </si>
  <si>
    <t>2.74亿</t>
  </si>
  <si>
    <t>2.35亿</t>
  </si>
  <si>
    <t>2.02亿</t>
  </si>
  <si>
    <t>5.86亿</t>
  </si>
  <si>
    <t>2.48亿</t>
  </si>
  <si>
    <t>1.39亿</t>
  </si>
  <si>
    <t>2.00亿</t>
  </si>
  <si>
    <t>1.07亿</t>
  </si>
  <si>
    <t>1.73亿</t>
  </si>
  <si>
    <t>1.34亿</t>
  </si>
  <si>
    <t>3.18亿</t>
  </si>
  <si>
    <t>1.50亿</t>
  </si>
  <si>
    <t>4.06亿</t>
  </si>
  <si>
    <t>1.95亿</t>
  </si>
  <si>
    <t>1.55亿</t>
  </si>
  <si>
    <t>1.09亿</t>
  </si>
  <si>
    <t>13.46亿</t>
  </si>
  <si>
    <t>4.68亿</t>
  </si>
  <si>
    <t>2.92亿</t>
  </si>
  <si>
    <t>1.40亿</t>
  </si>
  <si>
    <t>3.45亿</t>
  </si>
  <si>
    <t>1.49亿</t>
  </si>
  <si>
    <t>1.30亿</t>
  </si>
  <si>
    <t>1.42亿</t>
  </si>
  <si>
    <t>2.09亿</t>
  </si>
  <si>
    <t>2.42亿</t>
  </si>
  <si>
    <t>1.10亿</t>
  </si>
  <si>
    <t>2.85亿</t>
  </si>
  <si>
    <t>1.26亿</t>
  </si>
  <si>
    <t>1.48亿</t>
  </si>
  <si>
    <t>1.86亿</t>
  </si>
  <si>
    <t>3.52亿</t>
  </si>
  <si>
    <t>2.64亿</t>
  </si>
  <si>
    <t>1.03亿</t>
  </si>
  <si>
    <t>2.71亿</t>
  </si>
  <si>
    <t>1.69亿</t>
  </si>
  <si>
    <t>3.55亿</t>
  </si>
  <si>
    <t>4.65亿</t>
  </si>
  <si>
    <t>2.07亿</t>
  </si>
  <si>
    <t>11.63亿</t>
  </si>
  <si>
    <t>1.54亿</t>
  </si>
  <si>
    <t>1.14亿</t>
  </si>
  <si>
    <t>2.50亿</t>
  </si>
  <si>
    <t>2.43亿</t>
  </si>
  <si>
    <t>1.12亿</t>
  </si>
  <si>
    <t>1.79亿</t>
  </si>
  <si>
    <t>1.46亿</t>
  </si>
  <si>
    <t>1.82亿</t>
  </si>
  <si>
    <t>1.13亿</t>
  </si>
  <si>
    <t>1.17亿</t>
  </si>
  <si>
    <t>5.07亿</t>
  </si>
  <si>
    <t>4.56亿</t>
  </si>
  <si>
    <t>1.02亿</t>
  </si>
  <si>
    <t>1.25亿</t>
  </si>
  <si>
    <t>1.44亿</t>
  </si>
  <si>
    <t>3.22亿</t>
  </si>
  <si>
    <t>4.66亿</t>
  </si>
  <si>
    <t>2.68亿</t>
  </si>
  <si>
    <t>26.35亿</t>
  </si>
  <si>
    <t>1.93亿</t>
  </si>
  <si>
    <t>2.65亿</t>
  </si>
  <si>
    <t>4.15亿</t>
  </si>
  <si>
    <t>3.91亿</t>
  </si>
  <si>
    <t>1.06亿</t>
  </si>
  <si>
    <t>1.43亿</t>
  </si>
  <si>
    <t>2.16亿</t>
  </si>
  <si>
    <t>3.25亿</t>
  </si>
  <si>
    <t>1.96亿</t>
  </si>
  <si>
    <t>4.83亿</t>
  </si>
  <si>
    <t>1.31亿</t>
  </si>
  <si>
    <t>1.61亿</t>
  </si>
  <si>
    <t>2.51亿</t>
  </si>
  <si>
    <t>2.08亿</t>
  </si>
  <si>
    <t>2.59亿</t>
  </si>
  <si>
    <t>8.07亿</t>
  </si>
  <si>
    <t>2.13亿</t>
  </si>
  <si>
    <t>2.30亿</t>
  </si>
  <si>
    <t>1.18亿</t>
  </si>
  <si>
    <t>3.81亿</t>
  </si>
  <si>
    <t>2.33亿</t>
  </si>
  <si>
    <t>9.98亿</t>
  </si>
  <si>
    <t>8.98亿</t>
  </si>
  <si>
    <t>1.28亿</t>
  </si>
  <si>
    <t>2.63亿</t>
  </si>
  <si>
    <t>3.64亿</t>
  </si>
  <si>
    <t>6.00亿</t>
  </si>
  <si>
    <t>3.85亿</t>
  </si>
  <si>
    <t>7.50亿</t>
  </si>
  <si>
    <t>3.17亿</t>
  </si>
  <si>
    <t>1.05亿</t>
  </si>
  <si>
    <t>1.23亿</t>
  </si>
  <si>
    <t>1.20亿</t>
  </si>
  <si>
    <t>5.67亿</t>
  </si>
  <si>
    <t>1.85亿</t>
  </si>
  <si>
    <t>1.56亿</t>
  </si>
  <si>
    <t>9.19亿</t>
  </si>
  <si>
    <t>9.67亿</t>
  </si>
  <si>
    <t>2.49亿</t>
  </si>
  <si>
    <t>4.22亿</t>
  </si>
  <si>
    <t>1.58亿</t>
  </si>
  <si>
    <t>3.09亿</t>
  </si>
  <si>
    <t>1.04亿</t>
  </si>
  <si>
    <t>11.79亿</t>
  </si>
  <si>
    <t>1.87亿</t>
  </si>
  <si>
    <t>2.81亿</t>
  </si>
  <si>
    <t>1.52亿</t>
  </si>
  <si>
    <t>4.50亿</t>
  </si>
  <si>
    <t>3.32亿</t>
  </si>
  <si>
    <t>2.39亿</t>
  </si>
  <si>
    <t>2.97亿</t>
  </si>
  <si>
    <t>6.17亿</t>
  </si>
  <si>
    <t>4.04亿</t>
  </si>
  <si>
    <t>2.38亿</t>
  </si>
  <si>
    <t>1.71亿</t>
  </si>
  <si>
    <t>1.94亿</t>
  </si>
  <si>
    <t>5.42亿</t>
  </si>
  <si>
    <t>6.92亿</t>
  </si>
  <si>
    <t>2.28亿</t>
  </si>
  <si>
    <t>3.33亿</t>
  </si>
  <si>
    <t>2.41亿</t>
  </si>
  <si>
    <t>4.20亿</t>
  </si>
  <si>
    <t>1.32亿</t>
  </si>
  <si>
    <t>5.15亿</t>
  </si>
  <si>
    <t>3.71亿</t>
  </si>
  <si>
    <t>1.38亿</t>
  </si>
  <si>
    <t>1.90亿</t>
  </si>
  <si>
    <t>1.21亿</t>
  </si>
  <si>
    <t>2.95亿</t>
  </si>
  <si>
    <t>2.11亿</t>
  </si>
  <si>
    <t>6.14亿</t>
  </si>
  <si>
    <t>1.16亿</t>
  </si>
  <si>
    <t>2.40亿</t>
  </si>
  <si>
    <t>2.86亿</t>
  </si>
  <si>
    <t>4.75亿</t>
  </si>
  <si>
    <t>6.21亿</t>
  </si>
  <si>
    <t>2.14亿</t>
  </si>
  <si>
    <t>1.33亿</t>
  </si>
  <si>
    <t>2.29亿</t>
  </si>
  <si>
    <t>2.25亿</t>
  </si>
  <si>
    <t>5.26亿</t>
  </si>
  <si>
    <t>-1.36亿</t>
  </si>
  <si>
    <t>1.91亿</t>
  </si>
  <si>
    <t>2.80亿</t>
  </si>
  <si>
    <t>3.13亿</t>
  </si>
  <si>
    <t>2.05亿</t>
  </si>
  <si>
    <t>1.97亿</t>
  </si>
  <si>
    <t>3.80亿</t>
  </si>
  <si>
    <t>1.77亿</t>
  </si>
  <si>
    <t>2.72亿</t>
  </si>
  <si>
    <t>7.51亿</t>
  </si>
  <si>
    <t>6.03亿</t>
  </si>
  <si>
    <t>4.49亿</t>
  </si>
  <si>
    <t>4.17亿</t>
  </si>
  <si>
    <t>4.28亿</t>
  </si>
  <si>
    <t>2.98亿</t>
  </si>
  <si>
    <t>3.15亿</t>
  </si>
  <si>
    <t>1.65亿</t>
  </si>
  <si>
    <t>3.56亿</t>
  </si>
  <si>
    <t>11.83亿</t>
  </si>
  <si>
    <t>1.99亿</t>
  </si>
  <si>
    <t>10.21亿</t>
  </si>
  <si>
    <t>3.08亿</t>
  </si>
  <si>
    <t>12.50亿</t>
  </si>
  <si>
    <t>7.89亿</t>
  </si>
  <si>
    <t>2.83亿</t>
  </si>
  <si>
    <t>6.70亿</t>
  </si>
  <si>
    <t>4.31亿</t>
  </si>
  <si>
    <t>2.69亿</t>
  </si>
  <si>
    <t>3.34亿</t>
  </si>
  <si>
    <t>7.00亿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</si>
  <si>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</si>
  <si>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</si>
  <si>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</si>
  <si>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</si>
  <si>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</si>
  <si>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</si>
  <si>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</si>
  <si>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</si>
  <si>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</si>
  <si>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</si>
  <si>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</si>
  <si>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</si>
  <si>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</si>
  <si>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3.65亿</t>
  </si>
  <si>
    <t>4.54亿</t>
  </si>
  <si>
    <t>6.59亿</t>
  </si>
  <si>
    <t>14.49亿</t>
  </si>
  <si>
    <t>12.70亿</t>
  </si>
  <si>
    <t>2.70亿</t>
  </si>
  <si>
    <t>3.07亿</t>
  </si>
  <si>
    <t>-1.16亿</t>
  </si>
  <si>
    <t>3.30亿</t>
  </si>
  <si>
    <t>8.68亿</t>
  </si>
  <si>
    <t>6.51亿</t>
  </si>
  <si>
    <t>9.93亿</t>
  </si>
  <si>
    <t>7.88亿</t>
  </si>
  <si>
    <t>11.94亿</t>
  </si>
  <si>
    <t>13.71亿</t>
  </si>
  <si>
    <t>5.94亿</t>
  </si>
  <si>
    <t>9.35亿</t>
  </si>
  <si>
    <t>6.10亿</t>
  </si>
  <si>
    <t>5.85亿</t>
  </si>
  <si>
    <t>9.57亿</t>
  </si>
  <si>
    <t>14.71亿</t>
  </si>
  <si>
    <t>1.88亿</t>
  </si>
  <si>
    <t>6.36亿</t>
  </si>
  <si>
    <t>-1.13亿</t>
  </si>
  <si>
    <t>10.04亿</t>
  </si>
  <si>
    <t>8.27亿</t>
  </si>
  <si>
    <t>6.54亿</t>
  </si>
  <si>
    <t>6.91亿</t>
  </si>
  <si>
    <t>8.38亿</t>
  </si>
  <si>
    <t>-1.66亿</t>
  </si>
  <si>
    <t>2.84亿</t>
  </si>
  <si>
    <t>9.54亿</t>
  </si>
  <si>
    <t>4.57亿</t>
  </si>
  <si>
    <t>10.46亿</t>
  </si>
  <si>
    <t>12.24亿</t>
  </si>
  <si>
    <t>3.77亿</t>
  </si>
  <si>
    <t>4.69亿</t>
  </si>
  <si>
    <t>6.41亿</t>
  </si>
  <si>
    <t>16.09亿</t>
  </si>
  <si>
    <t>11.21亿</t>
  </si>
  <si>
    <t>7.15亿</t>
  </si>
  <si>
    <t>5.33亿</t>
  </si>
  <si>
    <t>8.22亿</t>
  </si>
  <si>
    <t>11.37亿</t>
  </si>
  <si>
    <t>9.33亿</t>
  </si>
  <si>
    <t>4.34亿</t>
  </si>
  <si>
    <t>8.44亿</t>
  </si>
  <si>
    <t>9.52亿</t>
  </si>
  <si>
    <t>7.79亿</t>
  </si>
  <si>
    <t>9.40亿</t>
  </si>
  <si>
    <t>4.24亿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</si>
  <si>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</si>
  <si>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</si>
  <si>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</si>
  <si>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</si>
  <si>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</si>
  <si>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</si>
  <si>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</si>
  <si>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</si>
  <si>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</si>
  <si>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</si>
  <si>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</si>
  <si>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</si>
  <si>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</si>
  <si>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</si>
  <si>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</si>
  <si>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9.41亿</t>
  </si>
  <si>
    <t>9.37亿</t>
  </si>
  <si>
    <t>11.69亿</t>
  </si>
  <si>
    <t>24.51亿</t>
  </si>
  <si>
    <t>28.69亿</t>
  </si>
  <si>
    <t>11.59亿</t>
  </si>
  <si>
    <t>SZ000066</t>
  </si>
  <si>
    <t>中国长城</t>
  </si>
  <si>
    <t>计算机设备</t>
  </si>
  <si>
    <t>144.46亿</t>
  </si>
  <si>
    <t>9.28亿</t>
  </si>
  <si>
    <t>108.44亿</t>
  </si>
  <si>
    <t>100.09亿</t>
  </si>
  <si>
    <t>11.15亿</t>
  </si>
  <si>
    <t>SZ000977</t>
  </si>
  <si>
    <t>浪潮信息</t>
  </si>
  <si>
    <t>630.38亿</t>
  </si>
  <si>
    <t>14.66亿</t>
  </si>
  <si>
    <t>7.06亿</t>
  </si>
  <si>
    <t>516.53亿</t>
  </si>
  <si>
    <t>469.41亿</t>
  </si>
  <si>
    <t>9.29亿</t>
  </si>
  <si>
    <t>SZ000997</t>
  </si>
  <si>
    <t>新 大 陆</t>
  </si>
  <si>
    <t>56.31亿</t>
  </si>
  <si>
    <t>57.60亿</t>
  </si>
  <si>
    <t>SZ002152</t>
  </si>
  <si>
    <t>广电运通</t>
  </si>
  <si>
    <t>64.11亿</t>
  </si>
  <si>
    <t>16.35亿</t>
  </si>
  <si>
    <t>64.96亿</t>
  </si>
  <si>
    <t>54.59亿</t>
  </si>
  <si>
    <t>7.58亿</t>
  </si>
  <si>
    <t>7.71亿</t>
  </si>
  <si>
    <t>7.78亿</t>
  </si>
  <si>
    <t>SZ002180</t>
  </si>
  <si>
    <t>纳思达</t>
  </si>
  <si>
    <t>232.96亿</t>
  </si>
  <si>
    <t>219.26亿</t>
  </si>
  <si>
    <t>7.44亿</t>
  </si>
  <si>
    <t>9.51亿</t>
  </si>
  <si>
    <t>11.27亿</t>
  </si>
  <si>
    <t>SZ002236</t>
  </si>
  <si>
    <t>大华股份</t>
  </si>
  <si>
    <t>264.66亿</t>
  </si>
  <si>
    <t>39.03亿</t>
  </si>
  <si>
    <t>14.40亿</t>
  </si>
  <si>
    <t>67.82亿</t>
  </si>
  <si>
    <t>261.49亿</t>
  </si>
  <si>
    <t>236.66亿</t>
  </si>
  <si>
    <t>188.44亿</t>
  </si>
  <si>
    <t>31.88亿</t>
  </si>
  <si>
    <t>25.29亿</t>
  </si>
  <si>
    <t>23.79亿</t>
  </si>
  <si>
    <t>SZ002268</t>
  </si>
  <si>
    <t>23.84亿</t>
  </si>
  <si>
    <t>9.24亿</t>
  </si>
  <si>
    <t>21.04亿</t>
  </si>
  <si>
    <t>19.31亿</t>
  </si>
  <si>
    <t>SZ002308</t>
  </si>
  <si>
    <t>威创股份</t>
  </si>
  <si>
    <t>3579.60万</t>
  </si>
  <si>
    <t>11.02亿</t>
  </si>
  <si>
    <t>11.70亿</t>
  </si>
  <si>
    <t>-12.31亿</t>
  </si>
  <si>
    <t>SZ002376</t>
  </si>
  <si>
    <t>新北洋</t>
  </si>
  <si>
    <t>23.96亿</t>
  </si>
  <si>
    <t>SZ002415</t>
  </si>
  <si>
    <t>海康威视</t>
  </si>
  <si>
    <t>635.03亿</t>
  </si>
  <si>
    <t>133.86亿</t>
  </si>
  <si>
    <t>576.58亿</t>
  </si>
  <si>
    <t>498.37亿</t>
  </si>
  <si>
    <t>124.15亿</t>
  </si>
  <si>
    <t>113.52亿</t>
  </si>
  <si>
    <t>SZ002512</t>
  </si>
  <si>
    <t>达华智能</t>
  </si>
  <si>
    <t>21.15亿</t>
  </si>
  <si>
    <t>2011.64万</t>
  </si>
  <si>
    <t>22.83亿</t>
  </si>
  <si>
    <t>4962.47万</t>
  </si>
  <si>
    <t>-17.42亿</t>
  </si>
  <si>
    <t>SZ002528</t>
  </si>
  <si>
    <t>42.71亿</t>
  </si>
  <si>
    <t>SZ002577</t>
  </si>
  <si>
    <t>雷柏科技</t>
  </si>
  <si>
    <t>4651.28万</t>
  </si>
  <si>
    <t>-1.74亿</t>
  </si>
  <si>
    <t>806.82万</t>
  </si>
  <si>
    <t>SZ002835</t>
  </si>
  <si>
    <t>同为股份</t>
  </si>
  <si>
    <t>7065.35万</t>
  </si>
  <si>
    <t>3123.41万</t>
  </si>
  <si>
    <t>396.93万</t>
  </si>
  <si>
    <t>SZ002912</t>
  </si>
  <si>
    <t>中新赛克</t>
  </si>
  <si>
    <t>9.05亿</t>
  </si>
  <si>
    <t>SZ002970</t>
  </si>
  <si>
    <t>锐明技术</t>
  </si>
  <si>
    <t>15.64亿</t>
  </si>
  <si>
    <t>SZ002990</t>
  </si>
  <si>
    <t>盛视科技</t>
  </si>
  <si>
    <t>SZ003004</t>
  </si>
  <si>
    <t>声迅股份</t>
  </si>
  <si>
    <t>6615.07万</t>
  </si>
  <si>
    <t>7333.29万</t>
  </si>
  <si>
    <t>7252.09万</t>
  </si>
  <si>
    <t>SZ300042</t>
  </si>
  <si>
    <t>朗科科技</t>
  </si>
  <si>
    <t>14.91亿</t>
  </si>
  <si>
    <t>7065.22万</t>
  </si>
  <si>
    <t>7185.21万</t>
  </si>
  <si>
    <t>6449.66万</t>
  </si>
  <si>
    <t>SZ300130</t>
  </si>
  <si>
    <t>新国都</t>
  </si>
  <si>
    <t>26.32亿</t>
  </si>
  <si>
    <t>8650.39万</t>
  </si>
  <si>
    <t>30.28亿</t>
  </si>
  <si>
    <t>23.19亿</t>
  </si>
  <si>
    <t>12.37亿</t>
  </si>
  <si>
    <t>SZ300155</t>
  </si>
  <si>
    <t>安居宝</t>
  </si>
  <si>
    <t>7183.57万</t>
  </si>
  <si>
    <t>2727.53万</t>
  </si>
  <si>
    <t>SZ300249</t>
  </si>
  <si>
    <t>依米康</t>
  </si>
  <si>
    <t>327.82万</t>
  </si>
  <si>
    <t>3827.86万</t>
  </si>
  <si>
    <t>SZ300270</t>
  </si>
  <si>
    <t>中威电子</t>
  </si>
  <si>
    <t>-8747.48万</t>
  </si>
  <si>
    <t>-3176.28万</t>
  </si>
  <si>
    <t>SZ300302</t>
  </si>
  <si>
    <t>同有科技</t>
  </si>
  <si>
    <t>3728.31万</t>
  </si>
  <si>
    <t>1122.22万</t>
  </si>
  <si>
    <t>2021.94万</t>
  </si>
  <si>
    <t>SZ300324</t>
  </si>
  <si>
    <t>旋极信息</t>
  </si>
  <si>
    <t>27.98亿</t>
  </si>
  <si>
    <t>-12.45亿</t>
  </si>
  <si>
    <t>33.29亿</t>
  </si>
  <si>
    <t>38.60亿</t>
  </si>
  <si>
    <t>4412.06万</t>
  </si>
  <si>
    <t>SZ300333</t>
  </si>
  <si>
    <t>兆日科技</t>
  </si>
  <si>
    <t>-2003.55万</t>
  </si>
  <si>
    <t>1266.07万</t>
  </si>
  <si>
    <t>1222.07万</t>
  </si>
  <si>
    <t>SZ300368</t>
  </si>
  <si>
    <t>13.59亿</t>
  </si>
  <si>
    <t>8.47亿</t>
  </si>
  <si>
    <t>4460.73万</t>
  </si>
  <si>
    <t>4778.98万</t>
  </si>
  <si>
    <t>SZ300386</t>
  </si>
  <si>
    <t>飞天诚信</t>
  </si>
  <si>
    <t>6269.95万</t>
  </si>
  <si>
    <t>10.72亿</t>
  </si>
  <si>
    <t>8.89亿</t>
  </si>
  <si>
    <t>9023.43万</t>
  </si>
  <si>
    <t>SZ300449</t>
  </si>
  <si>
    <t>汉邦高科</t>
  </si>
  <si>
    <t>4770.24万</t>
  </si>
  <si>
    <t>-5.19亿</t>
  </si>
  <si>
    <t>1098.65万</t>
  </si>
  <si>
    <t>SZ300455</t>
  </si>
  <si>
    <t>11.35亿</t>
  </si>
  <si>
    <t>SZ300462</t>
  </si>
  <si>
    <t>华铭智能</t>
  </si>
  <si>
    <t>5260.76万</t>
  </si>
  <si>
    <t>SZ300479</t>
  </si>
  <si>
    <t>神思电子</t>
  </si>
  <si>
    <t>691.53万</t>
  </si>
  <si>
    <t>1983.86万</t>
  </si>
  <si>
    <t>1032.77万</t>
  </si>
  <si>
    <t>SZ300508</t>
  </si>
  <si>
    <t>维宏股份</t>
  </si>
  <si>
    <t>2908.24万</t>
  </si>
  <si>
    <t>6586.78万</t>
  </si>
  <si>
    <t>-2742.24万</t>
  </si>
  <si>
    <t>SZ300531</t>
  </si>
  <si>
    <t>优博讯</t>
  </si>
  <si>
    <t>5135.64万</t>
  </si>
  <si>
    <t>SZ300546</t>
  </si>
  <si>
    <t>雄帝科技</t>
  </si>
  <si>
    <t>-1530.08万</t>
  </si>
  <si>
    <t>SZ300551</t>
  </si>
  <si>
    <t>古鳌科技</t>
  </si>
  <si>
    <t>2399.10万</t>
  </si>
  <si>
    <t>4496.45万</t>
  </si>
  <si>
    <t>1265.43万</t>
  </si>
  <si>
    <t>SZ300552</t>
  </si>
  <si>
    <t>万集科技</t>
  </si>
  <si>
    <t>16.63亿</t>
  </si>
  <si>
    <t>33.51亿</t>
  </si>
  <si>
    <t>8.72亿</t>
  </si>
  <si>
    <t>657.64万</t>
  </si>
  <si>
    <t>SZ300588</t>
  </si>
  <si>
    <t>熙菱信息</t>
  </si>
  <si>
    <t>5.01亿</t>
  </si>
  <si>
    <t>896.36万</t>
  </si>
  <si>
    <t>2245.49万</t>
  </si>
  <si>
    <t>SZ300645</t>
  </si>
  <si>
    <t>正元智慧</t>
  </si>
  <si>
    <t>8.26亿</t>
  </si>
  <si>
    <t>2763.80万</t>
  </si>
  <si>
    <t>4506.95万</t>
  </si>
  <si>
    <t>5035.38万</t>
  </si>
  <si>
    <t>SZ300659</t>
  </si>
  <si>
    <t>中孚信息</t>
  </si>
  <si>
    <t>4243.52万</t>
  </si>
  <si>
    <t>SZ300691</t>
  </si>
  <si>
    <t>联合光电</t>
  </si>
  <si>
    <t>12.88亿</t>
  </si>
  <si>
    <t>4986.63万</t>
  </si>
  <si>
    <t>7327.21万</t>
  </si>
  <si>
    <t>7231.81万</t>
  </si>
  <si>
    <t>SZ300743</t>
  </si>
  <si>
    <t>天地数码</t>
  </si>
  <si>
    <t>2271.13万</t>
  </si>
  <si>
    <t>2649.08万</t>
  </si>
  <si>
    <t>3183.80万</t>
  </si>
  <si>
    <t>SZ300771</t>
  </si>
  <si>
    <t>智莱科技</t>
  </si>
  <si>
    <t>10.28亿</t>
  </si>
  <si>
    <t>SZ300789</t>
  </si>
  <si>
    <t>唐源电气</t>
  </si>
  <si>
    <t>6456.52万</t>
  </si>
  <si>
    <t>8343.47万</t>
  </si>
  <si>
    <t>8359.55万</t>
  </si>
  <si>
    <t>SZ300790</t>
  </si>
  <si>
    <t>宇瞳光学</t>
  </si>
  <si>
    <t>12.31亿</t>
  </si>
  <si>
    <t>9807.21万</t>
  </si>
  <si>
    <t>SZ300807</t>
  </si>
  <si>
    <t>天迈科技</t>
  </si>
  <si>
    <t>317.01万</t>
  </si>
  <si>
    <t>7454.59万</t>
  </si>
  <si>
    <t>5825.59万</t>
  </si>
  <si>
    <t>SZ300845</t>
  </si>
  <si>
    <t>捷安高科</t>
  </si>
  <si>
    <t>6770.28万</t>
  </si>
  <si>
    <t>8042.00万</t>
  </si>
  <si>
    <t>7285.80万</t>
  </si>
  <si>
    <t>SZ300884</t>
  </si>
  <si>
    <t>狄耐克</t>
  </si>
  <si>
    <t>6298.40万</t>
  </si>
  <si>
    <t>SZ300941</t>
  </si>
  <si>
    <t>创识科技</t>
  </si>
  <si>
    <t>4.07亿</t>
  </si>
  <si>
    <t>6655.22万</t>
  </si>
  <si>
    <t>SZ301042</t>
  </si>
  <si>
    <t>安联锐视</t>
  </si>
  <si>
    <t>8018.86万</t>
  </si>
  <si>
    <t>9186.42万</t>
  </si>
  <si>
    <t>6638.32万</t>
  </si>
  <si>
    <t>SH600100</t>
  </si>
  <si>
    <t>同方股份</t>
  </si>
  <si>
    <t>259.07亿</t>
  </si>
  <si>
    <t>230.40亿</t>
  </si>
  <si>
    <t>248.33亿</t>
  </si>
  <si>
    <t>SH603019</t>
  </si>
  <si>
    <t>中科曙光</t>
  </si>
  <si>
    <t>101.61亿</t>
  </si>
  <si>
    <t>95.26亿</t>
  </si>
  <si>
    <t>90.57亿</t>
  </si>
  <si>
    <t>SH603106</t>
  </si>
  <si>
    <t>恒银科技</t>
  </si>
  <si>
    <t>3243.22万</t>
  </si>
  <si>
    <t>9.75亿</t>
  </si>
  <si>
    <t>-4054.37万</t>
  </si>
  <si>
    <t>8006.64万</t>
  </si>
  <si>
    <t>SH603496</t>
  </si>
  <si>
    <t>恒为科技</t>
  </si>
  <si>
    <t>3639.52万</t>
  </si>
  <si>
    <t>6733.81万</t>
  </si>
  <si>
    <t>SH603508</t>
  </si>
  <si>
    <t>思维列控</t>
  </si>
  <si>
    <t>-5.74亿</t>
  </si>
  <si>
    <t>9.02亿</t>
  </si>
  <si>
    <t>5.41亿</t>
  </si>
  <si>
    <t>SH603516</t>
  </si>
  <si>
    <t>淳中科技</t>
  </si>
  <si>
    <t>8495.37万</t>
  </si>
  <si>
    <t>SH603660</t>
  </si>
  <si>
    <t>苏州科达</t>
  </si>
  <si>
    <t>23.54亿</t>
  </si>
  <si>
    <t>8498.50万</t>
  </si>
  <si>
    <t>25.47亿</t>
  </si>
  <si>
    <t>24.54亿</t>
  </si>
  <si>
    <t>9110.88万</t>
  </si>
  <si>
    <t>SH605118</t>
  </si>
  <si>
    <t>力鼎光电</t>
  </si>
  <si>
    <t>SH688060</t>
  </si>
  <si>
    <t>云涌科技</t>
  </si>
  <si>
    <t>7418.28万</t>
  </si>
  <si>
    <t>6544.61万</t>
  </si>
  <si>
    <t>4127.33万</t>
  </si>
  <si>
    <t>SH688288</t>
  </si>
  <si>
    <t>鸿泉物联</t>
  </si>
  <si>
    <t>8830.66万</t>
  </si>
  <si>
    <t>6968.83万</t>
  </si>
  <si>
    <t>5711.87万</t>
  </si>
  <si>
    <t>4779.57万</t>
  </si>
  <si>
    <t>SH688619</t>
  </si>
  <si>
    <t>罗普特</t>
  </si>
  <si>
    <t>5468.81万</t>
  </si>
  <si>
    <t>1.蓝信科技是我国动车组 DMS 系统、EOAS 系统等产品的核心供应商，蓝信科技是思维列控的子公司；2.国内疫情逐步得到有效控制，铁路系统招标工作全面恢复，同时合同项目验收较上年同期增加，公司整体经营稳中向好。2021 年上半年，公司实现营业收入50,343.16 万元，同比增长 34.39%；实现归属于母公司股东的净利润 9,910.14 万元，同比增长 49.79%；实现归属于母公司股东的扣除非经常性损益的净利润19,072.34 万元，同比增长62.38%</t>
    <phoneticPr fontId="1" type="noConversion"/>
  </si>
  <si>
    <r>
      <t>1.2018 年至 2019 年初，公司以发行股份及支付现金方式购买了蓝信科技 100%股权。重大资产重组完成后，公司确认了较大金额的</t>
    </r>
    <r>
      <rPr>
        <b/>
        <sz val="9"/>
        <color rgb="FFFF0000"/>
        <rFont val="宋体"/>
        <family val="3"/>
        <charset val="134"/>
        <scheme val="minor"/>
      </rPr>
      <t>商誉 22.43 亿元</t>
    </r>
    <r>
      <rPr>
        <sz val="9"/>
        <color theme="1"/>
        <rFont val="宋体"/>
        <family val="2"/>
        <charset val="134"/>
        <scheme val="minor"/>
      </rPr>
      <t>，商誉较高。
2020 年度，受疫情及国铁集团经营政策变化影响，蓝信科技核心产品收入有所下降，且净利润增速不及预期，出现商誉减值迹象。2020 年度，公司已计提商誉减值准备 8.51 亿元，</t>
    </r>
    <r>
      <rPr>
        <sz val="9"/>
        <color rgb="FFFF0000"/>
        <rFont val="宋体"/>
        <family val="3"/>
        <charset val="134"/>
        <scheme val="minor"/>
      </rPr>
      <t>截至本报告期末公司商誉余额为 13.91 亿元</t>
    </r>
    <r>
      <rPr>
        <sz val="9"/>
        <color theme="1"/>
        <rFont val="宋体"/>
        <family val="2"/>
        <charset val="134"/>
        <scheme val="minor"/>
      </rPr>
      <t>。</t>
    </r>
    <phoneticPr fontId="1" type="noConversion"/>
  </si>
  <si>
    <t>代码</t>
  </si>
  <si>
    <t>流通股本</t>
  </si>
  <si>
    <t>净利润[20201231]</t>
  </si>
  <si>
    <t>投入资本回报率roic%[20201231]</t>
  </si>
  <si>
    <t>净资产收益率%[20201231]</t>
  </si>
  <si>
    <t>177.90亿</t>
  </si>
  <si>
    <t>5.98亿</t>
  </si>
  <si>
    <t>670.48亿</t>
  </si>
  <si>
    <t>20.03亿</t>
  </si>
  <si>
    <t>7.04亿</t>
  </si>
  <si>
    <t>8.24亿</t>
  </si>
  <si>
    <t>227.92亿</t>
  </si>
  <si>
    <t>211.16亿</t>
  </si>
  <si>
    <t>1.45亿</t>
  </si>
  <si>
    <t>328.35亿</t>
  </si>
  <si>
    <t>33.78亿</t>
  </si>
  <si>
    <t>6.89亿</t>
  </si>
  <si>
    <t>-3.96亿</t>
  </si>
  <si>
    <t>1.64亿</t>
  </si>
  <si>
    <t>26.46亿</t>
  </si>
  <si>
    <t>814.20亿</t>
  </si>
  <si>
    <t>168.00亿</t>
  </si>
  <si>
    <t>22.41亿</t>
  </si>
  <si>
    <t>-5.14亿</t>
  </si>
  <si>
    <t>3.66亿</t>
  </si>
  <si>
    <t>4.87亿</t>
  </si>
  <si>
    <t>4296.42万</t>
  </si>
  <si>
    <t>9031.66万</t>
  </si>
  <si>
    <t>6.94亿</t>
  </si>
  <si>
    <t>5626.83万</t>
  </si>
  <si>
    <t>8.04亿</t>
  </si>
  <si>
    <t>17.13亿</t>
  </si>
  <si>
    <t>3136.34万</t>
  </si>
  <si>
    <t>4001.33万</t>
  </si>
  <si>
    <t>19.13亿</t>
  </si>
  <si>
    <t>6885.05万</t>
  </si>
  <si>
    <t>36.12亿</t>
  </si>
  <si>
    <t>2.01亿</t>
  </si>
  <si>
    <t>7.59亿</t>
  </si>
  <si>
    <t>2765.95万</t>
  </si>
  <si>
    <t>3020.01万</t>
  </si>
  <si>
    <t>-5123.72万</t>
  </si>
  <si>
    <t>-1207.74万</t>
  </si>
  <si>
    <t>31.72亿</t>
  </si>
  <si>
    <t>2657.96万</t>
  </si>
  <si>
    <t>15.93亿</t>
  </si>
  <si>
    <t>2.82亿</t>
  </si>
  <si>
    <t>-4887.12万</t>
  </si>
  <si>
    <t>-7.54亿</t>
  </si>
  <si>
    <t>-1.65亿</t>
  </si>
  <si>
    <t>4.13亿</t>
  </si>
  <si>
    <t>5910.94万</t>
  </si>
  <si>
    <t>14.17亿</t>
  </si>
  <si>
    <t>4.73亿</t>
  </si>
  <si>
    <t>1545.01万</t>
  </si>
  <si>
    <t>9.45亿</t>
  </si>
  <si>
    <t>4258.81万</t>
  </si>
  <si>
    <t>-8545.86万</t>
  </si>
  <si>
    <t>2.89亿</t>
  </si>
  <si>
    <t>9.48亿</t>
  </si>
  <si>
    <t>5841.34万</t>
  </si>
  <si>
    <t>7426.47万</t>
  </si>
  <si>
    <t>2600.09万</t>
  </si>
  <si>
    <t>12.58亿</t>
  </si>
  <si>
    <t>6653.08万</t>
  </si>
  <si>
    <t>3.42亿</t>
  </si>
  <si>
    <t>20.62亿</t>
  </si>
  <si>
    <t>-3726.75万</t>
  </si>
  <si>
    <t>3566.52万</t>
  </si>
  <si>
    <t>9.42亿</t>
  </si>
  <si>
    <t>7228.57万</t>
  </si>
  <si>
    <t>SZ301117</t>
  </si>
  <si>
    <t>佳缘科技</t>
  </si>
  <si>
    <t>9250.09万</t>
  </si>
  <si>
    <t>5265.34万</t>
  </si>
  <si>
    <t>3167.38万</t>
  </si>
  <si>
    <t>2128.80万</t>
  </si>
  <si>
    <t>1901.73万</t>
  </si>
  <si>
    <t>6.78亿</t>
  </si>
  <si>
    <t>5344.03万</t>
  </si>
  <si>
    <t>10.64亿</t>
  </si>
  <si>
    <t>8310.54万</t>
  </si>
  <si>
    <t>26.13亿</t>
  </si>
  <si>
    <t>6313.57万</t>
  </si>
  <si>
    <t>5249.96万</t>
  </si>
  <si>
    <t>22.54亿</t>
  </si>
  <si>
    <t>2957.26万</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</si>
  <si>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</si>
  <si>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</si>
  <si>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</si>
  <si>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</si>
  <si>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</si>
  <si>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</si>
  <si>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</si>
  <si>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</si>
  <si>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</si>
  <si>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</si>
  <si>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</si>
  <si>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</si>
  <si>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</si>
  <si>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</si>
  <si>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</si>
  <si>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</si>
  <si>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</si>
  <si>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策略1利润单季最佳增速</t>
    <phoneticPr fontId="1" type="noConversion"/>
  </si>
  <si>
    <t>利润成长策略</t>
    <phoneticPr fontId="1" type="noConversion"/>
  </si>
  <si>
    <t>量价齐升策略</t>
    <phoneticPr fontId="1" type="noConversion"/>
  </si>
  <si>
    <t>N-1</t>
    <phoneticPr fontId="1" type="noConversion"/>
  </si>
  <si>
    <t>N</t>
    <phoneticPr fontId="1" type="noConversion"/>
  </si>
  <si>
    <t>1-1</t>
  </si>
  <si>
    <t>SZ001229</t>
  </si>
  <si>
    <t>魅视科技</t>
  </si>
  <si>
    <t>9680.90万</t>
  </si>
  <si>
    <t>9998.63万</t>
  </si>
  <si>
    <t>7608.39万</t>
  </si>
  <si>
    <t>5622.97万</t>
  </si>
  <si>
    <t>4222.62万</t>
  </si>
  <si>
    <t/>
  </si>
  <si>
    <t>SZ001309</t>
  </si>
  <si>
    <t>德明利</t>
  </si>
  <si>
    <t>10.80亿</t>
  </si>
  <si>
    <t>9816.89万</t>
  </si>
  <si>
    <t>8.35亿</t>
  </si>
  <si>
    <t>6.46亿</t>
  </si>
  <si>
    <t>7712.18万</t>
  </si>
  <si>
    <t>3670.82万</t>
  </si>
  <si>
    <t>3047.48万</t>
  </si>
  <si>
    <t>SZ001339</t>
  </si>
  <si>
    <t>智微智能</t>
  </si>
  <si>
    <t>27.00亿</t>
  </si>
  <si>
    <t>19.33亿</t>
  </si>
  <si>
    <t>13.97亿</t>
  </si>
  <si>
    <t>12.74亿</t>
  </si>
  <si>
    <t>8851.04万</t>
  </si>
  <si>
    <t>2280.89万</t>
  </si>
  <si>
    <t>亏损</t>
  </si>
  <si>
    <t>扭亏</t>
  </si>
  <si>
    <t>3-1</t>
  </si>
  <si>
    <t>1-0</t>
  </si>
  <si>
    <t>2-0</t>
  </si>
  <si>
    <t>2.94亿</t>
  </si>
  <si>
    <t>2-1</t>
  </si>
  <si>
    <t>4.18亿</t>
  </si>
  <si>
    <t>5.82亿</t>
  </si>
  <si>
    <t>1.83亿</t>
  </si>
  <si>
    <t>-1.47亿</t>
  </si>
  <si>
    <t>4.16亿</t>
  </si>
  <si>
    <t>-1.06亿</t>
  </si>
  <si>
    <t>-1-1</t>
  </si>
  <si>
    <t>3.95亿</t>
  </si>
  <si>
    <t>3.46亿</t>
  </si>
  <si>
    <t>SZ301318</t>
  </si>
  <si>
    <t>维海德</t>
  </si>
  <si>
    <t>5096.35万</t>
  </si>
  <si>
    <t>4962.82万</t>
  </si>
  <si>
    <t>1.72亿</t>
  </si>
  <si>
    <t>SZ301330</t>
  </si>
  <si>
    <t>熵基科技</t>
  </si>
  <si>
    <t>19.55亿</t>
  </si>
  <si>
    <t>18.01亿</t>
  </si>
  <si>
    <t>17.51亿</t>
  </si>
  <si>
    <t>16.55亿</t>
  </si>
  <si>
    <t>4.27亿</t>
  </si>
  <si>
    <t>SZ301339</t>
  </si>
  <si>
    <t>5.93亿</t>
  </si>
  <si>
    <t>14.31亿</t>
  </si>
  <si>
    <t>8638.15万</t>
  </si>
  <si>
    <t>4.88亿</t>
  </si>
  <si>
    <t>400.10万</t>
  </si>
  <si>
    <t>2.66亿</t>
  </si>
  <si>
    <t>1.89亿</t>
  </si>
  <si>
    <t>通行宝</t>
  </si>
  <si>
    <t>2.04亿</t>
  </si>
  <si>
    <t>开始亏损</t>
  </si>
  <si>
    <t>8.79亿</t>
  </si>
  <si>
    <t>4.38亿</t>
  </si>
  <si>
    <t>5.25亿</t>
  </si>
  <si>
    <t>12.25亿</t>
  </si>
  <si>
    <t>6.05亿</t>
  </si>
  <si>
    <t>15.20亿</t>
  </si>
  <si>
    <t>2.73亿</t>
  </si>
  <si>
    <t>15.29亿</t>
  </si>
  <si>
    <t>3.49亿</t>
  </si>
  <si>
    <t>3.88亿</t>
  </si>
  <si>
    <t>5.95亿</t>
  </si>
  <si>
    <t>2.44亿</t>
  </si>
  <si>
    <t>4.37亿</t>
  </si>
  <si>
    <t>3.40亿</t>
  </si>
  <si>
    <t>4.51亿</t>
  </si>
  <si>
    <t>1.74亿</t>
  </si>
  <si>
    <t>2.12亿</t>
  </si>
  <si>
    <t>4.36亿</t>
  </si>
  <si>
    <t>4.35亿</t>
  </si>
  <si>
    <t>1.57亿</t>
  </si>
  <si>
    <t>2.52亿</t>
  </si>
  <si>
    <t>9.71亿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</si>
  <si>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</si>
  <si>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</si>
  <si>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</si>
  <si>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</si>
  <si>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</si>
  <si>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</si>
  <si>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</si>
  <si>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</si>
  <si>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</si>
  <si>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</si>
  <si>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</si>
  <si>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</si>
  <si>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</si>
  <si>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</si>
  <si>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</si>
  <si>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</si>
  <si>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</si>
  <si>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</si>
  <si>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</si>
  <si>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</si>
  <si>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</si>
  <si>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</si>
  <si>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</si>
  <si>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</si>
  <si>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</si>
  <si>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</si>
  <si>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</si>
  <si>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</si>
  <si>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</si>
  <si>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</si>
  <si>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</si>
  <si>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</si>
  <si>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股利率</t>
    <phoneticPr fontId="1" type="noConversion"/>
  </si>
  <si>
    <t>过往利润增速均值</t>
    <phoneticPr fontId="1" type="noConversion"/>
  </si>
  <si>
    <t>1年自由现金流折现</t>
    <phoneticPr fontId="1" type="noConversion"/>
  </si>
  <si>
    <t>1增速</t>
    <phoneticPr fontId="1" type="noConversion"/>
  </si>
  <si>
    <t>3年自由现金流折现</t>
    <phoneticPr fontId="1" type="noConversion"/>
  </si>
  <si>
    <t>承担负债现期溢价</t>
    <phoneticPr fontId="1" type="noConversion"/>
  </si>
  <si>
    <t>N-4</t>
    <phoneticPr fontId="1" type="noConversion"/>
  </si>
  <si>
    <t>N-3</t>
    <phoneticPr fontId="1" type="noConversion"/>
  </si>
  <si>
    <t>市销率</t>
    <phoneticPr fontId="1" type="noConversion"/>
  </si>
  <si>
    <t>扣非对比净利润</t>
    <phoneticPr fontId="1" type="noConversion"/>
  </si>
  <si>
    <t>过往营收增速均值</t>
    <phoneticPr fontId="1" type="noConversion"/>
  </si>
  <si>
    <t>折现率</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</si>
  <si>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</si>
  <si>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</si>
  <si>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</si>
  <si>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</si>
  <si>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</si>
  <si>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</si>
  <si>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清算价格</t>
    <phoneticPr fontId="1" type="noConversion"/>
  </si>
  <si>
    <t>原始顺序</t>
    <phoneticPr fontId="1" type="noConversion"/>
  </si>
  <si>
    <t>策略1营收单季最佳增速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</si>
  <si>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</si>
  <si>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</si>
  <si>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</si>
  <si>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</si>
  <si>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</si>
  <si>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</si>
  <si>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</si>
  <si>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</si>
  <si>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</si>
  <si>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</si>
  <si>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</si>
  <si>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</si>
  <si>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</si>
  <si>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</si>
  <si>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</si>
  <si>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N-2</t>
    <phoneticPr fontId="1" type="noConversion"/>
  </si>
  <si>
    <t>10派2.5元(含税)</t>
  </si>
  <si>
    <t>10派1.5元(含税)</t>
  </si>
  <si>
    <t>10派1元(含税)</t>
  </si>
  <si>
    <t>不分配不转增</t>
  </si>
  <si>
    <t>10派0.5元(含税)</t>
  </si>
  <si>
    <t>10派2元(含税)</t>
  </si>
  <si>
    <t>10派0.4元(含税)</t>
  </si>
  <si>
    <t>1.53亿</t>
  </si>
  <si>
    <t>10派0.6元(含税)</t>
  </si>
  <si>
    <t>SZ301391</t>
  </si>
  <si>
    <t>卡莱特</t>
  </si>
  <si>
    <t>6378.94万</t>
  </si>
  <si>
    <t>6278.84万</t>
  </si>
  <si>
    <t>2400.14万</t>
  </si>
  <si>
    <t>SH688489</t>
  </si>
  <si>
    <t>三未信安</t>
  </si>
  <si>
    <t>7469.51万</t>
  </si>
  <si>
    <t>5230.55万</t>
  </si>
  <si>
    <t>2047.86万</t>
  </si>
  <si>
    <t>1184.51万</t>
  </si>
  <si>
    <t>1.24亿</t>
  </si>
  <si>
    <t>1.84亿</t>
  </si>
  <si>
    <t>SH688307</t>
  </si>
  <si>
    <t>中润光学</t>
  </si>
  <si>
    <t>n/a</t>
  </si>
  <si>
    <t>SH688475</t>
  </si>
  <si>
    <t>萤石网络</t>
  </si>
  <si>
    <t>42.38亿</t>
  </si>
  <si>
    <t>30.79亿</t>
  </si>
  <si>
    <t>23.64亿</t>
  </si>
  <si>
    <t>3.26亿</t>
  </si>
  <si>
    <t>140.27亿</t>
  </si>
  <si>
    <t>-3.82亿</t>
  </si>
  <si>
    <t>70.32亿</t>
  </si>
  <si>
    <t>63.57亿</t>
  </si>
  <si>
    <t>8478.54万</t>
  </si>
  <si>
    <t>10派4元(含税)</t>
  </si>
  <si>
    <t>11.91亿</t>
  </si>
  <si>
    <t>30.33亿</t>
  </si>
  <si>
    <t>75.26亿</t>
  </si>
  <si>
    <t>-1-0</t>
  </si>
  <si>
    <t>305.65亿</t>
  </si>
  <si>
    <t>23.24亿</t>
  </si>
  <si>
    <t>10派2.41元(含税)</t>
  </si>
  <si>
    <t>电科网安</t>
  </si>
  <si>
    <t>34.38亿</t>
  </si>
  <si>
    <t>29.55亿</t>
  </si>
  <si>
    <t>4192.64万</t>
  </si>
  <si>
    <t>22.77亿</t>
  </si>
  <si>
    <t>-2566.81万</t>
  </si>
  <si>
    <t>831.66亿</t>
  </si>
  <si>
    <t>12.76亿</t>
  </si>
  <si>
    <t>17.42亿</t>
  </si>
  <si>
    <t>-3.27亿</t>
  </si>
  <si>
    <t>5.97亿</t>
  </si>
  <si>
    <t>4.47亿</t>
  </si>
  <si>
    <t>3724.20万</t>
  </si>
  <si>
    <t>9.32亿</t>
  </si>
  <si>
    <t>-1.22亿</t>
  </si>
  <si>
    <t>7.10亿</t>
  </si>
  <si>
    <t>13.84亿</t>
  </si>
  <si>
    <t>21.74亿</t>
  </si>
  <si>
    <t>9.89亿</t>
  </si>
  <si>
    <t>3.31亿</t>
  </si>
  <si>
    <t>3650.57万</t>
  </si>
  <si>
    <t>4.32亿</t>
  </si>
  <si>
    <t>17.72亿</t>
  </si>
  <si>
    <t>6213.40万</t>
  </si>
  <si>
    <t>43.17亿</t>
  </si>
  <si>
    <t>12.54亿</t>
  </si>
  <si>
    <t>24.53亿</t>
  </si>
  <si>
    <t>-5.90亿</t>
  </si>
  <si>
    <t>14.09亿</t>
  </si>
  <si>
    <t>8.02亿</t>
  </si>
  <si>
    <t>4.99亿</t>
  </si>
  <si>
    <t>5.77亿</t>
  </si>
  <si>
    <t>-2.82亿</t>
  </si>
  <si>
    <t>1581.25万</t>
  </si>
  <si>
    <t>6249.36万</t>
  </si>
  <si>
    <t>-1.21亿</t>
  </si>
  <si>
    <t>航天智装</t>
  </si>
  <si>
    <t>13.48亿</t>
  </si>
  <si>
    <t>8630.08万</t>
  </si>
  <si>
    <t>10派0.15元(含税)</t>
  </si>
  <si>
    <t>6.24亿</t>
  </si>
  <si>
    <t>6075.99万</t>
  </si>
  <si>
    <t>3.01亿</t>
  </si>
  <si>
    <t>5060.21万</t>
  </si>
  <si>
    <t>7.05亿</t>
  </si>
  <si>
    <t>14.11亿</t>
  </si>
  <si>
    <t>-6180.15万</t>
  </si>
  <si>
    <t>8.73亿</t>
  </si>
  <si>
    <t>-2898.81万</t>
  </si>
  <si>
    <t>-6087.34万</t>
  </si>
  <si>
    <t>10.65亿</t>
  </si>
  <si>
    <t>7121.34万</t>
  </si>
  <si>
    <t>-1.40亿</t>
  </si>
  <si>
    <t>6.44亿</t>
  </si>
  <si>
    <t>-4.47亿</t>
  </si>
  <si>
    <t>15.05亿</t>
  </si>
  <si>
    <t>5590.36万</t>
  </si>
  <si>
    <t>3662.71万</t>
  </si>
  <si>
    <t>12.82万</t>
  </si>
  <si>
    <t>10派3元(含税)</t>
  </si>
  <si>
    <t>9122.73万</t>
  </si>
  <si>
    <t>18.46亿</t>
  </si>
  <si>
    <t>3.29亿</t>
  </si>
  <si>
    <t>-851.05万</t>
  </si>
  <si>
    <t>4476.90万</t>
  </si>
  <si>
    <t>1.11亿</t>
  </si>
  <si>
    <t>11.80亿</t>
  </si>
  <si>
    <t>7.95亿</t>
  </si>
  <si>
    <t>19.19亿</t>
  </si>
  <si>
    <t>6.79亿</t>
  </si>
  <si>
    <t>6.06亿</t>
  </si>
  <si>
    <t>10派6元(含税)</t>
  </si>
  <si>
    <t>SZ301503</t>
  </si>
  <si>
    <t>智迪科技</t>
  </si>
  <si>
    <t>5929.32万</t>
  </si>
  <si>
    <t>237.61亿</t>
  </si>
  <si>
    <t>-7.72亿</t>
  </si>
  <si>
    <t>-1.52亿</t>
  </si>
  <si>
    <t>7622.20万</t>
  </si>
  <si>
    <t>10.67亿</t>
  </si>
  <si>
    <t>15.77亿</t>
  </si>
  <si>
    <t>-5.83亿</t>
  </si>
  <si>
    <t>1675.70万</t>
  </si>
  <si>
    <t>4111.51万</t>
  </si>
  <si>
    <t>3.96亿</t>
  </si>
  <si>
    <t>3595.04万</t>
  </si>
  <si>
    <t>2664.81万</t>
  </si>
  <si>
    <t>2259.57万</t>
  </si>
  <si>
    <t>43.06亿</t>
  </si>
  <si>
    <t>7.19亿</t>
  </si>
  <si>
    <t>6.88亿</t>
  </si>
  <si>
    <t>50.12亿</t>
  </si>
  <si>
    <t>-6.33亿</t>
  </si>
  <si>
    <t>3.06亿</t>
  </si>
  <si>
    <t>247.98亿</t>
  </si>
  <si>
    <t>13.30亿</t>
  </si>
  <si>
    <t>7.57亿</t>
  </si>
  <si>
    <t>35.32亿</t>
  </si>
  <si>
    <t>5.65亿</t>
  </si>
  <si>
    <t>3.72亿</t>
  </si>
  <si>
    <t>8510.18万</t>
  </si>
  <si>
    <t>3355.86万</t>
  </si>
  <si>
    <t>5.91亿</t>
  </si>
  <si>
    <t>5.37亿</t>
  </si>
  <si>
    <t>-7941.65万</t>
  </si>
  <si>
    <t>-2.20亿</t>
  </si>
  <si>
    <t>4152.11万</t>
  </si>
  <si>
    <t>36.36亿</t>
  </si>
  <si>
    <t>4.74亿</t>
  </si>
  <si>
    <t>258.55亿</t>
  </si>
  <si>
    <t>18.63亿</t>
  </si>
  <si>
    <t>123.00亿</t>
  </si>
  <si>
    <t>3.51亿</t>
  </si>
  <si>
    <t>5.68亿</t>
  </si>
  <si>
    <t>9.17亿</t>
  </si>
  <si>
    <t>4.02亿</t>
  </si>
  <si>
    <t>13.33亿</t>
  </si>
  <si>
    <t>152.31亿</t>
  </si>
  <si>
    <t>335.10亿</t>
  </si>
  <si>
    <t>222.78亿</t>
  </si>
  <si>
    <t>196.82亿</t>
  </si>
  <si>
    <t>127.77亿</t>
  </si>
  <si>
    <t>34.25亿</t>
  </si>
  <si>
    <t>8.65亿</t>
  </si>
  <si>
    <t>18.15亿</t>
  </si>
  <si>
    <t>-88930818亿</t>
  </si>
  <si>
    <t>747.16万</t>
  </si>
  <si>
    <t>2402367100亿</t>
  </si>
  <si>
    <t>115.26亿</t>
  </si>
  <si>
    <t>15983230000亿</t>
  </si>
  <si>
    <t>6.58亿</t>
  </si>
  <si>
    <t>36977677000亿</t>
  </si>
  <si>
    <t>7.21亿</t>
  </si>
  <si>
    <t>10.11亿</t>
  </si>
  <si>
    <t>33.28亿</t>
  </si>
  <si>
    <t>51.87亿</t>
  </si>
  <si>
    <t>140.58亿</t>
  </si>
  <si>
    <t>4.52亿</t>
  </si>
  <si>
    <t>13.25亿</t>
  </si>
  <si>
    <t>-10.12亿</t>
  </si>
  <si>
    <t>31.77亿</t>
  </si>
  <si>
    <t>146.34亿</t>
  </si>
  <si>
    <t>211.72亿</t>
  </si>
  <si>
    <t>140.87亿</t>
  </si>
  <si>
    <t>19.76亿</t>
  </si>
  <si>
    <t>16.93亿</t>
  </si>
  <si>
    <t>2.21亿</t>
  </si>
  <si>
    <t>10.95亿</t>
  </si>
  <si>
    <t>11.44亿</t>
  </si>
  <si>
    <t>1542.24万</t>
  </si>
  <si>
    <t>3.50亿</t>
  </si>
  <si>
    <t>20.01亿</t>
  </si>
  <si>
    <t>4890206亿</t>
  </si>
  <si>
    <t>3042521亿</t>
  </si>
  <si>
    <t>108305303亿</t>
  </si>
  <si>
    <t>2019991800亿</t>
  </si>
  <si>
    <t>1.98亿</t>
  </si>
  <si>
    <t>2902.15万</t>
  </si>
  <si>
    <t>4.55亿</t>
  </si>
  <si>
    <t>9.62亿</t>
  </si>
  <si>
    <t>1080.63万</t>
  </si>
  <si>
    <t>-2-1</t>
  </si>
  <si>
    <t>375.71亿</t>
  </si>
  <si>
    <t>53.38亿</t>
  </si>
  <si>
    <t>15.99亿</t>
  </si>
  <si>
    <t>13.34亿</t>
  </si>
  <si>
    <t>1.80亿</t>
  </si>
  <si>
    <t>11.50亿</t>
  </si>
  <si>
    <t>1026.82万</t>
  </si>
  <si>
    <t>-1.38亿</t>
  </si>
  <si>
    <t>9.87亿</t>
  </si>
  <si>
    <t>3.86亿</t>
  </si>
  <si>
    <t>-9980.35万</t>
  </si>
  <si>
    <t>2057.83万</t>
  </si>
  <si>
    <t>4.67亿</t>
  </si>
  <si>
    <t>5129.59万</t>
  </si>
  <si>
    <t>16.32亿</t>
  </si>
  <si>
    <t>4.42亿</t>
  </si>
  <si>
    <t>3.10亿</t>
  </si>
  <si>
    <t>2.62亿</t>
  </si>
  <si>
    <t>7382.75万</t>
  </si>
  <si>
    <t>-3-1</t>
  </si>
  <si>
    <t>2.22亿</t>
  </si>
  <si>
    <t>7.74亿</t>
  </si>
  <si>
    <t>9.77亿</t>
  </si>
  <si>
    <t>6.25亿</t>
  </si>
  <si>
    <t>6035.55万</t>
  </si>
  <si>
    <t>5.89亿</t>
  </si>
  <si>
    <t>7.73亿</t>
  </si>
  <si>
    <t>1000.00万</t>
  </si>
  <si>
    <t>6029.51万</t>
  </si>
  <si>
    <t>-1859.56万</t>
  </si>
  <si>
    <t>-1.67亿</t>
  </si>
  <si>
    <t>-2013.14万</t>
  </si>
  <si>
    <t>19.60亿</t>
  </si>
  <si>
    <t>2.57亿</t>
  </si>
  <si>
    <t>4.62亿</t>
  </si>
  <si>
    <t>1.75亿</t>
  </si>
  <si>
    <t>3.16亿</t>
  </si>
  <si>
    <t>853.34万</t>
  </si>
  <si>
    <t>-3-0</t>
  </si>
  <si>
    <t>5.03亿</t>
  </si>
  <si>
    <t>-4758.33万</t>
  </si>
  <si>
    <t>8262.65万</t>
  </si>
  <si>
    <t>-2456.59万</t>
  </si>
  <si>
    <t>-2-0</t>
  </si>
  <si>
    <t>2.37亿</t>
  </si>
  <si>
    <t>-4456.17万</t>
  </si>
  <si>
    <t>-7757.84万</t>
  </si>
  <si>
    <t>-1.28亿</t>
  </si>
  <si>
    <t>7077.47万</t>
  </si>
  <si>
    <t>-3565.51万</t>
  </si>
  <si>
    <t>-2138.96万</t>
  </si>
  <si>
    <t>3.44亿</t>
  </si>
  <si>
    <t>-7705.80万</t>
  </si>
  <si>
    <t>5010.36万</t>
  </si>
  <si>
    <t>-2241.23万</t>
  </si>
  <si>
    <t>2.03亿</t>
  </si>
  <si>
    <t>5.24亿</t>
  </si>
  <si>
    <t>2242.49万</t>
  </si>
  <si>
    <t>-1.63亿</t>
  </si>
  <si>
    <t>-125.35万</t>
  </si>
  <si>
    <t>1.47亿</t>
  </si>
  <si>
    <t>-2152.48万</t>
  </si>
  <si>
    <t>4933.03万</t>
  </si>
  <si>
    <t>9.21亿</t>
  </si>
  <si>
    <t>7.14亿</t>
  </si>
  <si>
    <t>6.08亿</t>
  </si>
  <si>
    <t>4939.78万</t>
  </si>
  <si>
    <t>10.75亿</t>
  </si>
  <si>
    <t>427.62万</t>
  </si>
  <si>
    <t>2.91亿</t>
  </si>
  <si>
    <t>3.43亿</t>
  </si>
  <si>
    <t>-2383.56万</t>
  </si>
  <si>
    <t>3.93亿</t>
  </si>
  <si>
    <t>8259.28万</t>
  </si>
  <si>
    <t>-1099.17万</t>
  </si>
  <si>
    <t>5.45亿</t>
  </si>
  <si>
    <t>2.99亿</t>
  </si>
  <si>
    <t>1150.31万</t>
  </si>
  <si>
    <t>2.54亿</t>
  </si>
  <si>
    <t>-1.81亿</t>
  </si>
  <si>
    <t>-2.70亿</t>
  </si>
  <si>
    <t>9.22亿</t>
  </si>
  <si>
    <t>3906.38万</t>
  </si>
  <si>
    <t>4.48亿</t>
  </si>
  <si>
    <t>3.23亿</t>
  </si>
  <si>
    <t>4.41亿</t>
  </si>
  <si>
    <t>2686.81万</t>
  </si>
  <si>
    <t>6.07亿</t>
  </si>
  <si>
    <t>-870.24万</t>
  </si>
  <si>
    <t>-4-1</t>
  </si>
  <si>
    <t>585.00万</t>
  </si>
  <si>
    <t>3.61亿</t>
  </si>
  <si>
    <t>4564.69万</t>
  </si>
  <si>
    <t>14.68亿</t>
  </si>
  <si>
    <t>2693.32万</t>
  </si>
  <si>
    <t>5372.85万</t>
  </si>
  <si>
    <t>1.41亿</t>
  </si>
  <si>
    <t>-3649.23万</t>
  </si>
  <si>
    <t>912.41万</t>
  </si>
  <si>
    <t>5.02亿</t>
  </si>
  <si>
    <t>5071.42万</t>
  </si>
  <si>
    <t>2538.22万</t>
  </si>
  <si>
    <t>4118.10万</t>
  </si>
  <si>
    <t>2752.30万</t>
  </si>
  <si>
    <t>4624.30万</t>
  </si>
  <si>
    <t>20.06亿</t>
  </si>
  <si>
    <t>8875.43万</t>
  </si>
  <si>
    <t>9838.98万</t>
  </si>
  <si>
    <t>3.53亿</t>
  </si>
  <si>
    <t>7029.89万</t>
  </si>
  <si>
    <t>11.09亿</t>
  </si>
  <si>
    <t>7.80亿</t>
  </si>
  <si>
    <t>5.88亿</t>
  </si>
  <si>
    <t>7128.17万</t>
  </si>
  <si>
    <t>3438.65万</t>
  </si>
  <si>
    <t>-573.67万</t>
  </si>
  <si>
    <t>4.10亿</t>
  </si>
  <si>
    <t>3414.35万</t>
  </si>
  <si>
    <t>SZ301589</t>
  </si>
  <si>
    <t>104.93亿</t>
  </si>
  <si>
    <t>130.08亿</t>
  </si>
  <si>
    <t>15.44亿</t>
  </si>
  <si>
    <t>4.03亿</t>
  </si>
  <si>
    <t>1.36亿</t>
  </si>
  <si>
    <t>112.69亿</t>
  </si>
  <si>
    <t>11.76亿</t>
  </si>
  <si>
    <t>54.01亿</t>
  </si>
  <si>
    <t>10派2.2元(含税)</t>
  </si>
  <si>
    <t>3.94亿</t>
  </si>
  <si>
    <t>-4349.01万</t>
  </si>
  <si>
    <t>5.43亿</t>
  </si>
  <si>
    <t>56.89万</t>
  </si>
  <si>
    <t>5.09亿</t>
  </si>
  <si>
    <t>3.19亿</t>
  </si>
  <si>
    <t>1684.78万</t>
  </si>
  <si>
    <t>2875.88万</t>
  </si>
  <si>
    <t>1.70亿</t>
  </si>
  <si>
    <t>660.54万</t>
  </si>
  <si>
    <t>18.87亿</t>
  </si>
  <si>
    <t>10.20亿</t>
  </si>
  <si>
    <t>8.06亿</t>
  </si>
  <si>
    <t>-1.83亿</t>
  </si>
  <si>
    <t>1.59亿</t>
  </si>
  <si>
    <t>7537.76万</t>
  </si>
  <si>
    <t>659.52万</t>
  </si>
  <si>
    <t>21.90亿</t>
  </si>
  <si>
    <t>14.48亿</t>
  </si>
  <si>
    <t>2216.09万</t>
  </si>
  <si>
    <t>2411.72万</t>
  </si>
  <si>
    <t>6075.84万</t>
  </si>
  <si>
    <t>1385416亿</t>
  </si>
  <si>
    <t>6.55万</t>
  </si>
  <si>
    <t>-37441744亿</t>
  </si>
  <si>
    <t>220491350亿</t>
  </si>
  <si>
    <t>3965.99万</t>
  </si>
  <si>
    <t>643952670亿</t>
  </si>
  <si>
    <t>439.30万</t>
  </si>
  <si>
    <t>7005.85万</t>
  </si>
  <si>
    <t>2230.57万</t>
  </si>
  <si>
    <t>8661.69万</t>
  </si>
  <si>
    <t>70.81万</t>
  </si>
  <si>
    <t>2.19亿</t>
  </si>
  <si>
    <t>-3087.85万</t>
  </si>
  <si>
    <t>74.71万</t>
  </si>
  <si>
    <t>570.96万</t>
  </si>
  <si>
    <t>-2376.12万</t>
  </si>
  <si>
    <t>-5836.26万</t>
  </si>
  <si>
    <t>-3117.52万</t>
  </si>
  <si>
    <t>721.33万</t>
  </si>
  <si>
    <t>10.54亿</t>
  </si>
  <si>
    <t>5.40亿</t>
  </si>
  <si>
    <t>22.85亿</t>
  </si>
  <si>
    <t>19.27亿</t>
  </si>
  <si>
    <t>1013.93万</t>
  </si>
  <si>
    <t>6.13亿</t>
  </si>
  <si>
    <t>6991.07万</t>
  </si>
  <si>
    <t>3485.85万</t>
  </si>
  <si>
    <t>-3795.49万</t>
  </si>
  <si>
    <r>
      <t>1. 2016-2021 年我国医疗卫生机构床位数由 741.0 万张增长至 944.8 万张，复合增长率 4.98%。保守假设医护对讲价值 500 元/床，</t>
    </r>
    <r>
      <rPr>
        <sz val="9"/>
        <color rgb="FFFF0000"/>
        <rFont val="宋体"/>
        <family val="3"/>
        <charset val="134"/>
        <scheme val="minor"/>
      </rPr>
      <t>即 2021 年医护对讲市场空间为 47 亿</t>
    </r>
    <r>
      <rPr>
        <sz val="9"/>
        <color theme="1"/>
        <rFont val="宋体"/>
        <family val="2"/>
        <charset val="134"/>
        <scheme val="minor"/>
      </rPr>
      <t>元。</t>
    </r>
    <phoneticPr fontId="1" type="noConversion"/>
  </si>
  <si>
    <t>12.13亿</t>
  </si>
  <si>
    <t>9.15亿</t>
  </si>
  <si>
    <t>诺瓦星云</t>
  </si>
  <si>
    <r>
      <t>1.传统安防、智能家居及车载光学产品均按时间线依次递增,前低后高,其中</t>
    </r>
    <r>
      <rPr>
        <b/>
        <sz val="9"/>
        <color rgb="FFFF0000"/>
        <rFont val="宋体"/>
        <family val="3"/>
        <charset val="134"/>
        <scheme val="minor"/>
      </rPr>
      <t>车载光学增长较快</t>
    </r>
    <r>
      <rPr>
        <sz val="9"/>
        <color theme="1"/>
        <rFont val="宋体"/>
        <family val="2"/>
        <charset val="134"/>
        <scheme val="minor"/>
      </rPr>
      <t xml:space="preserve">。2.中国家用摄像头出货量达到 4040 万台，预计 2020- 2025 年出货量 </t>
    </r>
    <r>
      <rPr>
        <sz val="9"/>
        <color rgb="FFFF0000"/>
        <rFont val="宋体"/>
        <family val="3"/>
        <charset val="134"/>
        <scheme val="minor"/>
      </rPr>
      <t>CAGR 为 15.1%</t>
    </r>
    <r>
      <rPr>
        <sz val="9"/>
        <color theme="1"/>
        <rFont val="宋体"/>
        <family val="2"/>
        <charset val="134"/>
        <scheme val="minor"/>
      </rPr>
      <t>，</t>
    </r>
    <r>
      <rPr>
        <sz val="9"/>
        <color rgb="FFFF0000"/>
        <rFont val="宋体"/>
        <family val="3"/>
        <charset val="134"/>
        <scheme val="minor"/>
      </rPr>
      <t>市场规模 CAGR 为 10.9%</t>
    </r>
    <r>
      <rPr>
        <sz val="9"/>
        <color theme="1"/>
        <rFont val="宋体"/>
        <family val="2"/>
        <charset val="134"/>
        <scheme val="minor"/>
      </rPr>
      <t>；</t>
    </r>
    <r>
      <rPr>
        <sz val="9"/>
        <color theme="1"/>
        <rFont val="宋体"/>
        <family val="3"/>
        <charset val="134"/>
        <scheme val="minor"/>
      </rPr>
      <t>3.中国车载摄像头的市场规模将达到 230 亿元，2021-2025 年均</t>
    </r>
    <r>
      <rPr>
        <b/>
        <sz val="9"/>
        <color rgb="FFFF0000"/>
        <rFont val="宋体"/>
        <family val="3"/>
        <charset val="134"/>
        <scheme val="minor"/>
      </rPr>
      <t>复合增长率为 27.9%</t>
    </r>
    <r>
      <rPr>
        <sz val="9"/>
        <color theme="1"/>
        <rFont val="宋体"/>
        <family val="3"/>
        <charset val="134"/>
        <scheme val="minor"/>
      </rPr>
      <t>。4.宇瞳光学主要</t>
    </r>
    <r>
      <rPr>
        <sz val="9"/>
        <color rgb="FFFF0000"/>
        <rFont val="宋体"/>
        <family val="3"/>
        <charset val="134"/>
        <scheme val="minor"/>
      </rPr>
      <t>布局 AR-HUD</t>
    </r>
    <r>
      <rPr>
        <sz val="9"/>
        <color theme="1"/>
        <rFont val="宋体"/>
        <family val="3"/>
        <charset val="134"/>
        <scheme val="minor"/>
      </rPr>
      <t xml:space="preserve"> 业务。公司 HUD 自由曲面镜已有 18 款产品打样送 样；</t>
    </r>
    <phoneticPr fontId="1" type="noConversion"/>
  </si>
  <si>
    <r>
      <t>1.2019 年前三位供应商监控摄像机镜头的出货量占全球监控摄像机镜头出货 量 66%的市场份额，分别是宇瞳光学(市占率 36.0%)、</t>
    </r>
    <r>
      <rPr>
        <sz val="9"/>
        <color rgb="FFFF0000"/>
        <rFont val="宋体"/>
        <family val="3"/>
        <charset val="134"/>
        <scheme val="minor"/>
      </rPr>
      <t>舜宇光学</t>
    </r>
    <r>
      <rPr>
        <sz val="9"/>
        <color theme="1"/>
        <rFont val="宋体"/>
        <family val="2"/>
        <charset val="134"/>
        <scheme val="minor"/>
      </rPr>
      <t>(市占率 18%)、</t>
    </r>
    <r>
      <rPr>
        <sz val="9"/>
        <color rgb="FFFF0000"/>
        <rFont val="宋体"/>
        <family val="3"/>
        <charset val="134"/>
        <scheme val="minor"/>
      </rPr>
      <t>联合光电</t>
    </r>
    <r>
      <rPr>
        <sz val="9"/>
        <color theme="1"/>
        <rFont val="宋体"/>
        <family val="2"/>
        <charset val="134"/>
        <scheme val="minor"/>
      </rPr>
      <t>(市占率 12%)。2.车载镜头市场日本厂商数 量居多，除中国舜宇光学、韩国世高光、美国 Sunex 外，麦克赛尔、日电产三协、 京瓷和富士胶卷均为日企。国内厂商中，</t>
    </r>
    <r>
      <rPr>
        <b/>
        <sz val="9"/>
        <color rgb="FFFF0000"/>
        <rFont val="宋体"/>
        <family val="3"/>
        <charset val="134"/>
        <scheme val="minor"/>
      </rPr>
      <t>舜宇光学占据车载镜头35%的市场份额， 稳居全球第一</t>
    </r>
    <r>
      <rPr>
        <sz val="9"/>
        <color theme="1"/>
        <rFont val="宋体"/>
        <family val="2"/>
        <charset val="134"/>
        <scheme val="minor"/>
      </rPr>
      <t>，</t>
    </r>
    <r>
      <rPr>
        <sz val="9"/>
        <color theme="1"/>
        <rFont val="宋体"/>
        <family val="3"/>
        <charset val="134"/>
        <scheme val="minor"/>
      </rPr>
      <t>3.毛利下降较大，导致利润下降较大。</t>
    </r>
    <phoneticPr fontId="1" type="noConversion"/>
  </si>
  <si>
    <t>7538.72万</t>
  </si>
  <si>
    <t>3.69亿</t>
  </si>
  <si>
    <t>9.79亿</t>
  </si>
  <si>
    <t>4-0</t>
  </si>
  <si>
    <t>2.34亿</t>
  </si>
  <si>
    <t>3-0</t>
  </si>
  <si>
    <t>2.47亿</t>
  </si>
  <si>
    <t>2.15亿</t>
  </si>
  <si>
    <t>2.61亿</t>
  </si>
  <si>
    <t>4.21亿</t>
  </si>
  <si>
    <t>196.66万</t>
  </si>
  <si>
    <t>1242.03万</t>
  </si>
  <si>
    <t>5546.87万</t>
  </si>
  <si>
    <t>1983.68万</t>
  </si>
  <si>
    <t>202.54亿</t>
  </si>
  <si>
    <t>135.06亿</t>
  </si>
  <si>
    <t>26.63亿</t>
  </si>
  <si>
    <t>-2.50亿</t>
  </si>
  <si>
    <t>28.93亿</t>
  </si>
  <si>
    <t>22.32亿</t>
  </si>
  <si>
    <t>-61840910亿</t>
  </si>
  <si>
    <t>34.55万</t>
  </si>
  <si>
    <t>-266992270亿</t>
  </si>
  <si>
    <t>41.72亿</t>
  </si>
  <si>
    <t>5470196500亿</t>
  </si>
  <si>
    <t>20517489000亿</t>
  </si>
  <si>
    <t>8.81亿</t>
  </si>
  <si>
    <t>50.27亿</t>
  </si>
  <si>
    <t>1340.35万</t>
  </si>
  <si>
    <t>103.36亿</t>
  </si>
  <si>
    <t>82.84亿</t>
  </si>
  <si>
    <t>-10.96亿</t>
  </si>
  <si>
    <t>8.21亿</t>
  </si>
  <si>
    <t>9244.54万</t>
  </si>
  <si>
    <t>134.20亿</t>
  </si>
  <si>
    <t>-9.77亿</t>
  </si>
  <si>
    <t>其他计算机设备</t>
  </si>
  <si>
    <t>8.33亿</t>
  </si>
  <si>
    <t>8328.40万</t>
  </si>
  <si>
    <t>298.35亿</t>
  </si>
  <si>
    <t>186.13亿</t>
  </si>
  <si>
    <t>176.07亿</t>
  </si>
  <si>
    <t>172.40亿</t>
  </si>
  <si>
    <t>161.84亿</t>
  </si>
  <si>
    <t>33385444亿</t>
  </si>
  <si>
    <t>67.64万</t>
  </si>
  <si>
    <t>239876630亿</t>
  </si>
  <si>
    <t>71.17亿</t>
  </si>
  <si>
    <t>10965848000亿</t>
  </si>
  <si>
    <t>5.08亿</t>
  </si>
  <si>
    <t>46230743000亿</t>
  </si>
  <si>
    <t>110.37亿</t>
  </si>
  <si>
    <t>231.23亿</t>
  </si>
  <si>
    <t>77.84亿</t>
  </si>
  <si>
    <t>-34.85亿</t>
  </si>
  <si>
    <t>-7446.13万</t>
  </si>
  <si>
    <t>-13.87亿</t>
  </si>
  <si>
    <t>696.35亿</t>
  </si>
  <si>
    <t>20.86亿</t>
  </si>
  <si>
    <t>658.67亿</t>
  </si>
  <si>
    <t>17.83亿</t>
  </si>
  <si>
    <t>10派1.3元(含税)</t>
  </si>
  <si>
    <t>16.88亿</t>
  </si>
  <si>
    <t>0306000000</t>
  </si>
  <si>
    <t>0918000000</t>
  </si>
  <si>
    <t>01836000000</t>
  </si>
  <si>
    <t>03060000000</t>
  </si>
  <si>
    <t>06120000000</t>
  </si>
  <si>
    <t>878.13万</t>
  </si>
  <si>
    <t>64.92亿</t>
  </si>
  <si>
    <t>69.96亿</t>
  </si>
  <si>
    <t>16.04亿</t>
  </si>
  <si>
    <t>12.95亿</t>
  </si>
  <si>
    <t>8068.99万</t>
  </si>
  <si>
    <t>29383459亿</t>
  </si>
  <si>
    <t>35.24万</t>
  </si>
  <si>
    <t>280340100亿</t>
  </si>
  <si>
    <t>31.31亿</t>
  </si>
  <si>
    <t>986137050亿</t>
  </si>
  <si>
    <t>7176214000亿</t>
  </si>
  <si>
    <t>1002.10万</t>
  </si>
  <si>
    <t>10.53亿</t>
  </si>
  <si>
    <t>6.76亿</t>
  </si>
  <si>
    <t>51.07亿</t>
  </si>
  <si>
    <t>-1.15亿</t>
  </si>
  <si>
    <t>-2.36亿</t>
  </si>
  <si>
    <t>-1.95亿</t>
  </si>
  <si>
    <t>66.61亿</t>
  </si>
  <si>
    <t>76.11亿</t>
  </si>
  <si>
    <t>4789.14万</t>
  </si>
  <si>
    <t>0249000000</t>
  </si>
  <si>
    <t>0747000000</t>
  </si>
  <si>
    <t>01494000000</t>
  </si>
  <si>
    <t>02490000000</t>
  </si>
  <si>
    <t>04980000000</t>
  </si>
  <si>
    <t>222.99万</t>
  </si>
  <si>
    <t>7806.63万</t>
  </si>
  <si>
    <t>2776.49万</t>
  </si>
  <si>
    <t>1436.61万</t>
  </si>
  <si>
    <t>1824.37万</t>
  </si>
  <si>
    <t>682.45万</t>
  </si>
  <si>
    <t>931.35万</t>
  </si>
  <si>
    <t>117.11万</t>
  </si>
  <si>
    <t>880274亿</t>
  </si>
  <si>
    <t>200.61万</t>
  </si>
  <si>
    <t>11909492亿</t>
  </si>
  <si>
    <t>63132840亿</t>
  </si>
  <si>
    <t>395.78万</t>
  </si>
  <si>
    <t>719075140亿</t>
  </si>
  <si>
    <t>1029.87万</t>
  </si>
  <si>
    <t>4863.11万</t>
  </si>
  <si>
    <t>1536.98万</t>
  </si>
  <si>
    <t>6415.13万</t>
  </si>
  <si>
    <t>-72.98万</t>
  </si>
  <si>
    <t>8710.52万</t>
  </si>
  <si>
    <t>1472.97万</t>
  </si>
  <si>
    <t>8148.60万</t>
  </si>
  <si>
    <t>014366100</t>
  </si>
  <si>
    <t>043098300</t>
  </si>
  <si>
    <t>086196600</t>
  </si>
  <si>
    <t>0143661000</t>
  </si>
  <si>
    <t>0287322000</t>
  </si>
  <si>
    <t>575.09万</t>
  </si>
  <si>
    <t>21.65亿</t>
  </si>
  <si>
    <t>13.13亿</t>
  </si>
  <si>
    <t>8.11亿</t>
  </si>
  <si>
    <t>5.90亿</t>
  </si>
  <si>
    <t>1181.91万</t>
  </si>
  <si>
    <t>2086.45万</t>
  </si>
  <si>
    <t>-385440亿</t>
  </si>
  <si>
    <t>175.00万</t>
  </si>
  <si>
    <t>192554240亿</t>
  </si>
  <si>
    <t>232991260亿</t>
  </si>
  <si>
    <t>2.28万</t>
  </si>
  <si>
    <t>3336985700亿</t>
  </si>
  <si>
    <t>1083.71万</t>
  </si>
  <si>
    <t>16.90亿</t>
  </si>
  <si>
    <t>3411.29万</t>
  </si>
  <si>
    <t>7373.00万</t>
  </si>
  <si>
    <t>-8207.28万</t>
  </si>
  <si>
    <t>-8581.89万</t>
  </si>
  <si>
    <t>6749.99万</t>
  </si>
  <si>
    <t>17.76亿</t>
  </si>
  <si>
    <t>2499.85万</t>
  </si>
  <si>
    <t>10转3股派1.3元(含税)</t>
  </si>
  <si>
    <t>3597.94万</t>
  </si>
  <si>
    <t>510.90万</t>
  </si>
  <si>
    <t>12.83亿</t>
  </si>
  <si>
    <t>19.58亿</t>
  </si>
  <si>
    <t>1288.42万</t>
  </si>
  <si>
    <t>1704.31万</t>
  </si>
  <si>
    <t>2263.33万</t>
  </si>
  <si>
    <t>207275亿</t>
  </si>
  <si>
    <t>7941594亿</t>
  </si>
  <si>
    <t>449705040亿</t>
  </si>
  <si>
    <t>3581.56万</t>
  </si>
  <si>
    <t>2479783900亿</t>
  </si>
  <si>
    <t>4150.85万</t>
  </si>
  <si>
    <t>12.29亿</t>
  </si>
  <si>
    <t>-3214.47万</t>
  </si>
  <si>
    <t>1.63亿</t>
  </si>
  <si>
    <t>36.65亿</t>
  </si>
  <si>
    <t>3281.14万</t>
  </si>
  <si>
    <t>2513.82万</t>
  </si>
  <si>
    <t>4-1</t>
  </si>
  <si>
    <t>1120.35万</t>
  </si>
  <si>
    <t>117.33亿</t>
  </si>
  <si>
    <t>148.22亿</t>
  </si>
  <si>
    <t>17.41亿</t>
  </si>
  <si>
    <t>13.38亿</t>
  </si>
  <si>
    <t>8806149亿</t>
  </si>
  <si>
    <t>230.37万</t>
  </si>
  <si>
    <t>227607390亿</t>
  </si>
  <si>
    <t>101.88亿</t>
  </si>
  <si>
    <t>2616915900亿</t>
  </si>
  <si>
    <t>4992.90万</t>
  </si>
  <si>
    <t>17523207000亿</t>
  </si>
  <si>
    <t>4239.12万</t>
  </si>
  <si>
    <t>8.71亿</t>
  </si>
  <si>
    <t>13.69亿</t>
  </si>
  <si>
    <t>97.33亿</t>
  </si>
  <si>
    <t>-7.23亿</t>
  </si>
  <si>
    <t>6.52亿</t>
  </si>
  <si>
    <t>8.29亿</t>
  </si>
  <si>
    <t>90.43亿</t>
  </si>
  <si>
    <t>6114.31万</t>
  </si>
  <si>
    <t>0247000000</t>
  </si>
  <si>
    <t>0741000000</t>
  </si>
  <si>
    <t>01482000000</t>
  </si>
  <si>
    <t>02470000000</t>
  </si>
  <si>
    <t>04940000000</t>
  </si>
  <si>
    <t>481.95万</t>
  </si>
  <si>
    <t>285.50亿</t>
  </si>
  <si>
    <t>98.39亿</t>
  </si>
  <si>
    <t>62.92亿</t>
  </si>
  <si>
    <t>60.48亿</t>
  </si>
  <si>
    <t>43.28亿</t>
  </si>
  <si>
    <t>5.11亿</t>
  </si>
  <si>
    <t>8966912亿</t>
  </si>
  <si>
    <t>63.80万</t>
  </si>
  <si>
    <t>265403360亿</t>
  </si>
  <si>
    <t>75.38亿</t>
  </si>
  <si>
    <t>4058184200亿</t>
  </si>
  <si>
    <t>4811.43万</t>
  </si>
  <si>
    <t>19587879000亿</t>
  </si>
  <si>
    <t>7.87亿</t>
  </si>
  <si>
    <t>246.58万</t>
  </si>
  <si>
    <t>41.06亿</t>
  </si>
  <si>
    <t>107.47亿</t>
  </si>
  <si>
    <t>117.34亿</t>
  </si>
  <si>
    <t>2.60亿</t>
  </si>
  <si>
    <t>240.62亿</t>
  </si>
  <si>
    <t>-61.85亿</t>
  </si>
  <si>
    <t>2768.24万</t>
  </si>
  <si>
    <t>0278000000</t>
  </si>
  <si>
    <t>0834000000</t>
  </si>
  <si>
    <t>01668000000</t>
  </si>
  <si>
    <t>02780000000</t>
  </si>
  <si>
    <t>05560000000</t>
  </si>
  <si>
    <t>643.03万</t>
  </si>
  <si>
    <t>20.87亿</t>
  </si>
  <si>
    <t>53.46亿</t>
  </si>
  <si>
    <t>-1.94亿</t>
  </si>
  <si>
    <t>6126.10万</t>
  </si>
  <si>
    <t>4332.49万</t>
  </si>
  <si>
    <t>2739105亿</t>
  </si>
  <si>
    <t>12.35万</t>
  </si>
  <si>
    <t>-198608310亿</t>
  </si>
  <si>
    <t>20.31亿</t>
  </si>
  <si>
    <t>1232473710亿</t>
  </si>
  <si>
    <t>5021530100亿</t>
  </si>
  <si>
    <t>16.23亿</t>
  </si>
  <si>
    <t>-5.16亿</t>
  </si>
  <si>
    <t>-2750.69万</t>
  </si>
  <si>
    <t>-564.66万</t>
  </si>
  <si>
    <t>30.73亿</t>
  </si>
  <si>
    <t>3806.82万</t>
  </si>
  <si>
    <t>00</t>
  </si>
  <si>
    <t>-8-0</t>
  </si>
  <si>
    <t>345.54万</t>
  </si>
  <si>
    <t>19.88亿</t>
  </si>
  <si>
    <t>33.61亿</t>
  </si>
  <si>
    <t>-1813.63万</t>
  </si>
  <si>
    <t>3985.95万</t>
  </si>
  <si>
    <t>3632.31万</t>
  </si>
  <si>
    <t>30861793亿</t>
  </si>
  <si>
    <t>2.44万</t>
  </si>
  <si>
    <t>-23367630亿</t>
  </si>
  <si>
    <t>5.27亿</t>
  </si>
  <si>
    <t>522763310亿</t>
  </si>
  <si>
    <t>2667.30万</t>
  </si>
  <si>
    <t>2149523300亿</t>
  </si>
  <si>
    <t>1080.67万</t>
  </si>
  <si>
    <t>10.60亿</t>
  </si>
  <si>
    <t>-2571.92万</t>
  </si>
  <si>
    <t>-9191.73万</t>
  </si>
  <si>
    <t>-5629.34万</t>
  </si>
  <si>
    <t>1926.39万</t>
  </si>
  <si>
    <t>2262.82万</t>
  </si>
  <si>
    <t>1565.50万</t>
  </si>
  <si>
    <t>566.84亿</t>
  </si>
  <si>
    <t>846.54亿</t>
  </si>
  <si>
    <t>178.18亿</t>
  </si>
  <si>
    <t>19.16亿</t>
  </si>
  <si>
    <t>156.19亿</t>
  </si>
  <si>
    <t>96.65亿</t>
  </si>
  <si>
    <t>24.62亿</t>
  </si>
  <si>
    <t>6.80亿</t>
  </si>
  <si>
    <t>-90237694亿</t>
  </si>
  <si>
    <t>1731.19万</t>
  </si>
  <si>
    <t>1760276700亿</t>
  </si>
  <si>
    <t>441.10亿</t>
  </si>
  <si>
    <t>33396305000亿</t>
  </si>
  <si>
    <t>25.53亿</t>
  </si>
  <si>
    <t>106252080000亿</t>
  </si>
  <si>
    <t>46.66亿</t>
  </si>
  <si>
    <t>15.72亿</t>
  </si>
  <si>
    <t>127.61亿</t>
  </si>
  <si>
    <t>383.66亿</t>
  </si>
  <si>
    <t>59.69亿</t>
  </si>
  <si>
    <t>-39.67亿</t>
  </si>
  <si>
    <t>-10.04亿</t>
  </si>
  <si>
    <t>-4.82亿</t>
  </si>
  <si>
    <t>128.38亿</t>
  </si>
  <si>
    <t>893.40亿</t>
  </si>
  <si>
    <t>141.08亿</t>
  </si>
  <si>
    <t>10派9元(含税)</t>
  </si>
  <si>
    <t>安防设备</t>
  </si>
  <si>
    <t>01916000000</t>
  </si>
  <si>
    <t>05748000000</t>
  </si>
  <si>
    <t>011496000000</t>
  </si>
  <si>
    <t>019160000000</t>
  </si>
  <si>
    <t>038320000000</t>
  </si>
  <si>
    <t>2331.52万</t>
  </si>
  <si>
    <t>32.69亿</t>
  </si>
  <si>
    <t>4.01亿</t>
  </si>
  <si>
    <t>152.72万</t>
  </si>
  <si>
    <t>1252.21万</t>
  </si>
  <si>
    <t>3125.02万</t>
  </si>
  <si>
    <t>50211亿</t>
  </si>
  <si>
    <t>20.90万</t>
  </si>
  <si>
    <t>-4852067亿</t>
  </si>
  <si>
    <t>9252.34万</t>
  </si>
  <si>
    <t>146769460亿</t>
  </si>
  <si>
    <t>1063.81万</t>
  </si>
  <si>
    <t>1463665600亿</t>
  </si>
  <si>
    <t>15.95亿</t>
  </si>
  <si>
    <t>5676.03万</t>
  </si>
  <si>
    <t>39.62万</t>
  </si>
  <si>
    <t>20.34亿</t>
  </si>
  <si>
    <t>-1.54亿</t>
  </si>
  <si>
    <t>6942.79万</t>
  </si>
  <si>
    <t>19.67亿</t>
  </si>
  <si>
    <t>-2.96亿</t>
  </si>
  <si>
    <t>6.39亿</t>
  </si>
  <si>
    <t>01527200</t>
  </si>
  <si>
    <t>04581600</t>
  </si>
  <si>
    <t>09163200</t>
  </si>
  <si>
    <t>015272000</t>
  </si>
  <si>
    <t>030544000</t>
  </si>
  <si>
    <t>ST英飞拓</t>
  </si>
  <si>
    <t>2581.88万</t>
  </si>
  <si>
    <t>25.43亿</t>
  </si>
  <si>
    <t>3.47亿</t>
  </si>
  <si>
    <t>-4240.93万</t>
  </si>
  <si>
    <t>3.11亿</t>
  </si>
  <si>
    <t>3510.27万</t>
  </si>
  <si>
    <t>4702.19万</t>
  </si>
  <si>
    <t>24.04万</t>
  </si>
  <si>
    <t>-40502816亿</t>
  </si>
  <si>
    <t>812349240亿</t>
  </si>
  <si>
    <t>299.61万</t>
  </si>
  <si>
    <t>2068925000亿</t>
  </si>
  <si>
    <t>146.16万</t>
  </si>
  <si>
    <t>9.44亿</t>
  </si>
  <si>
    <t>19.78亿</t>
  </si>
  <si>
    <t>4157.30万</t>
  </si>
  <si>
    <t>-533.20万</t>
  </si>
  <si>
    <t>-7312.30万</t>
  </si>
  <si>
    <t>18.70亿</t>
  </si>
  <si>
    <t>30.09亿</t>
  </si>
  <si>
    <t>51.96亿</t>
  </si>
  <si>
    <t>44.20亿</t>
  </si>
  <si>
    <t>-14.03亿</t>
  </si>
  <si>
    <t>-4487.34万</t>
  </si>
  <si>
    <t>949.25万</t>
  </si>
  <si>
    <t>-7.75亿</t>
  </si>
  <si>
    <t>193.05万</t>
  </si>
  <si>
    <t>8173.65万</t>
  </si>
  <si>
    <t>11.68亿</t>
  </si>
  <si>
    <t>9656.18万</t>
  </si>
  <si>
    <t>660.51万</t>
  </si>
  <si>
    <t>8788.27万</t>
  </si>
  <si>
    <t>6640.38万</t>
  </si>
  <si>
    <t>1463.76万</t>
  </si>
  <si>
    <t>244.97万</t>
  </si>
  <si>
    <t>2208349亿</t>
  </si>
  <si>
    <t>3368426亿</t>
  </si>
  <si>
    <t>5.99亿</t>
  </si>
  <si>
    <t>111278743亿</t>
  </si>
  <si>
    <t>157.02万</t>
  </si>
  <si>
    <t>1060117310亿</t>
  </si>
  <si>
    <t>216.78万</t>
  </si>
  <si>
    <t>4736.54万</t>
  </si>
  <si>
    <t>7383.15万</t>
  </si>
  <si>
    <t>946.44万</t>
  </si>
  <si>
    <t>-413.04万</t>
  </si>
  <si>
    <t>-147.63万</t>
  </si>
  <si>
    <t>4.14亿</t>
  </si>
  <si>
    <t>3196.06万</t>
  </si>
  <si>
    <t>1160.03万</t>
  </si>
  <si>
    <t>06605100</t>
  </si>
  <si>
    <t>019815300</t>
  </si>
  <si>
    <t>039630600</t>
  </si>
  <si>
    <t>066051000</t>
  </si>
  <si>
    <t>0132102000</t>
  </si>
  <si>
    <t>307.37万</t>
  </si>
  <si>
    <t>4322.35万</t>
  </si>
  <si>
    <t>1138.46万</t>
  </si>
  <si>
    <t>877.10万</t>
  </si>
  <si>
    <t>2563820亿</t>
  </si>
  <si>
    <t>5.67万</t>
  </si>
  <si>
    <t>42390106亿</t>
  </si>
  <si>
    <t>309479190亿</t>
  </si>
  <si>
    <t>969696990亿</t>
  </si>
  <si>
    <t>2178.77万</t>
  </si>
  <si>
    <t>3002.57万</t>
  </si>
  <si>
    <t>-1656.07万</t>
  </si>
  <si>
    <t>-3509.02万</t>
  </si>
  <si>
    <t>-1166.71万</t>
  </si>
  <si>
    <t>10.85亿</t>
  </si>
  <si>
    <t>10派2.1元(含税)</t>
  </si>
  <si>
    <t>1714.29万</t>
  </si>
  <si>
    <t>043223500</t>
  </si>
  <si>
    <t>0129670500</t>
  </si>
  <si>
    <t>0259341000</t>
  </si>
  <si>
    <t>0432235000</t>
  </si>
  <si>
    <t>0864470000</t>
  </si>
  <si>
    <t>7-1</t>
  </si>
  <si>
    <t>222.06万</t>
  </si>
  <si>
    <t>16.34亿</t>
  </si>
  <si>
    <t>8489.59万</t>
  </si>
  <si>
    <t>-3815.49万</t>
  </si>
  <si>
    <t>1982.69万</t>
  </si>
  <si>
    <t>4234.42万</t>
  </si>
  <si>
    <t>1706.56万</t>
  </si>
  <si>
    <t>752092亿</t>
  </si>
  <si>
    <t>1.40万</t>
  </si>
  <si>
    <t>-39020975亿</t>
  </si>
  <si>
    <t>225779300亿</t>
  </si>
  <si>
    <t>7291.24万</t>
  </si>
  <si>
    <t>1665891800亿</t>
  </si>
  <si>
    <t>790.48万</t>
  </si>
  <si>
    <t>17.32万</t>
  </si>
  <si>
    <t>7240.50万</t>
  </si>
  <si>
    <t>3805.69万</t>
  </si>
  <si>
    <t>-6713.39万</t>
  </si>
  <si>
    <t>154.02万</t>
  </si>
  <si>
    <t>6.53亿</t>
  </si>
  <si>
    <t>1048.26万</t>
  </si>
  <si>
    <t>6362.26万</t>
  </si>
  <si>
    <t>-4-0</t>
  </si>
  <si>
    <t>312.71万</t>
  </si>
  <si>
    <t>14.27亿</t>
  </si>
  <si>
    <t>5312.69万</t>
  </si>
  <si>
    <t>5392.68万</t>
  </si>
  <si>
    <t>5168.08万</t>
  </si>
  <si>
    <t>-1422711亿</t>
  </si>
  <si>
    <t>2.99万</t>
  </si>
  <si>
    <t>49311770亿</t>
  </si>
  <si>
    <t>8.56亿</t>
  </si>
  <si>
    <t>388080450亿</t>
  </si>
  <si>
    <t>3790.04万</t>
  </si>
  <si>
    <t>1852076000亿</t>
  </si>
  <si>
    <t>4690.19万</t>
  </si>
  <si>
    <t>7944.72万</t>
  </si>
  <si>
    <t>8000.00万</t>
  </si>
  <si>
    <t>9668.87万</t>
  </si>
  <si>
    <t>-1409.87万</t>
  </si>
  <si>
    <t>3682.44万</t>
  </si>
  <si>
    <t>16.99亿</t>
  </si>
  <si>
    <t>10派5元(含税)</t>
  </si>
  <si>
    <t>1952.53万</t>
  </si>
  <si>
    <t>053126900</t>
  </si>
  <si>
    <t>0159380700</t>
  </si>
  <si>
    <t>0318761400</t>
  </si>
  <si>
    <t>0531269000</t>
  </si>
  <si>
    <t>01062538000</t>
  </si>
  <si>
    <t>226.07万</t>
  </si>
  <si>
    <t>23.56亿</t>
  </si>
  <si>
    <t>5489.37万</t>
  </si>
  <si>
    <t>2227.77万</t>
  </si>
  <si>
    <t>1158.53万</t>
  </si>
  <si>
    <t>2811695亿</t>
  </si>
  <si>
    <t>52514796亿</t>
  </si>
  <si>
    <t>1314548820亿</t>
  </si>
  <si>
    <t>520.56万</t>
  </si>
  <si>
    <t>2918144500亿</t>
  </si>
  <si>
    <t>4.40万</t>
  </si>
  <si>
    <t>11.10亿</t>
  </si>
  <si>
    <t>-3767.49万</t>
  </si>
  <si>
    <t>-5.28亿</t>
  </si>
  <si>
    <t>-341.46万</t>
  </si>
  <si>
    <t>9667.39万</t>
  </si>
  <si>
    <t>15.73亿</t>
  </si>
  <si>
    <t>1304.94万</t>
  </si>
  <si>
    <t>9186.08万</t>
  </si>
  <si>
    <t>464.14万</t>
  </si>
  <si>
    <t>7.96亿</t>
  </si>
  <si>
    <t>1959.69万</t>
  </si>
  <si>
    <t>-1059.98万</t>
  </si>
  <si>
    <t>3555.01万</t>
  </si>
  <si>
    <t>1179.70万</t>
  </si>
  <si>
    <t>759.82万</t>
  </si>
  <si>
    <t>803.05万</t>
  </si>
  <si>
    <t>-30081亿</t>
  </si>
  <si>
    <t>3.01万</t>
  </si>
  <si>
    <t>-11110573亿</t>
  </si>
  <si>
    <t>266392040亿</t>
  </si>
  <si>
    <t>781.95万</t>
  </si>
  <si>
    <t>728173870亿</t>
  </si>
  <si>
    <t>2281.91万</t>
  </si>
  <si>
    <t>1100.00万</t>
  </si>
  <si>
    <t>60.08万</t>
  </si>
  <si>
    <t>8349.01万</t>
  </si>
  <si>
    <t>-1760.49万</t>
  </si>
  <si>
    <t>-137.77万</t>
  </si>
  <si>
    <t>-1009.86万</t>
  </si>
  <si>
    <t>2506.74万</t>
  </si>
  <si>
    <t>2594.08万</t>
  </si>
  <si>
    <t>-422.65万</t>
  </si>
  <si>
    <t>1545.61万</t>
  </si>
  <si>
    <t>1330.04万</t>
  </si>
  <si>
    <t>-22639亿</t>
  </si>
  <si>
    <t>-5324408亿</t>
  </si>
  <si>
    <t>91268649亿</t>
  </si>
  <si>
    <t>254.78万</t>
  </si>
  <si>
    <t>1159143880亿</t>
  </si>
  <si>
    <t>-7847.35万</t>
  </si>
  <si>
    <t>-4.08亿</t>
  </si>
  <si>
    <t>9557.28万</t>
  </si>
  <si>
    <t>10.88亿</t>
  </si>
  <si>
    <t>-4376.42万</t>
  </si>
  <si>
    <t>2871.61万</t>
  </si>
  <si>
    <t>905.09万</t>
  </si>
  <si>
    <t>45.32亿</t>
  </si>
  <si>
    <t>7.83亿</t>
  </si>
  <si>
    <t>4818.92万</t>
  </si>
  <si>
    <t>5217.90万</t>
  </si>
  <si>
    <t>14143245亿</t>
  </si>
  <si>
    <t>4.43万</t>
  </si>
  <si>
    <t>211670560亿</t>
  </si>
  <si>
    <t>37.40亿</t>
  </si>
  <si>
    <t>370484680亿</t>
  </si>
  <si>
    <t>4537381400亿</t>
  </si>
  <si>
    <t>3.48亿</t>
  </si>
  <si>
    <t>10.45亿</t>
  </si>
  <si>
    <t>8483.27万</t>
  </si>
  <si>
    <t>-168.33万</t>
  </si>
  <si>
    <t>-556.44万</t>
  </si>
  <si>
    <t>4471.83万</t>
  </si>
  <si>
    <t>38.01亿</t>
  </si>
  <si>
    <t>7.55亿</t>
  </si>
  <si>
    <t>10派6.7元(含税)</t>
  </si>
  <si>
    <t>6068.01万</t>
  </si>
  <si>
    <t>0221000000</t>
  </si>
  <si>
    <t>0663000000</t>
  </si>
  <si>
    <t>01326000000</t>
  </si>
  <si>
    <t>02210000000</t>
  </si>
  <si>
    <t>04420000000</t>
  </si>
  <si>
    <t>1272.51万</t>
  </si>
  <si>
    <t>13.27亿</t>
  </si>
  <si>
    <t>4581.42万</t>
  </si>
  <si>
    <t>-174.34万</t>
  </si>
  <si>
    <t>5191.37万</t>
  </si>
  <si>
    <t>2536.54万</t>
  </si>
  <si>
    <t>1053.85万</t>
  </si>
  <si>
    <t>822.58万</t>
  </si>
  <si>
    <t>1854376亿</t>
  </si>
  <si>
    <t>5.13万</t>
  </si>
  <si>
    <t>-3804819亿</t>
  </si>
  <si>
    <t>228939060亿</t>
  </si>
  <si>
    <t>637.29万</t>
  </si>
  <si>
    <t>861100850亿</t>
  </si>
  <si>
    <t>6680.43万</t>
  </si>
  <si>
    <t>-2684.62万</t>
  </si>
  <si>
    <t>3066.85万</t>
  </si>
  <si>
    <t>-16.97万</t>
  </si>
  <si>
    <t>-4662.39万</t>
  </si>
  <si>
    <t>-3918.47万</t>
  </si>
  <si>
    <t>798.02万</t>
  </si>
  <si>
    <t>12.07亿</t>
  </si>
  <si>
    <t>522.31万</t>
  </si>
  <si>
    <t>1481.84万</t>
  </si>
  <si>
    <t>1414.37万</t>
  </si>
  <si>
    <t>506753亿</t>
  </si>
  <si>
    <t>8.30万</t>
  </si>
  <si>
    <t>3687361亿</t>
  </si>
  <si>
    <t>8854.25万</t>
  </si>
  <si>
    <t>628466030亿</t>
  </si>
  <si>
    <t>2477.22万</t>
  </si>
  <si>
    <t>1070233290亿</t>
  </si>
  <si>
    <t>8845.55万</t>
  </si>
  <si>
    <t>10.39亿</t>
  </si>
  <si>
    <t>-5328.77万</t>
  </si>
  <si>
    <t>-2.14万</t>
  </si>
  <si>
    <t>-2346.89万</t>
  </si>
  <si>
    <t>-3245.15万</t>
  </si>
  <si>
    <t>8.01亿</t>
  </si>
  <si>
    <t>-2.16亿</t>
  </si>
  <si>
    <t>3281.29万</t>
  </si>
  <si>
    <t>05223100</t>
  </si>
  <si>
    <t>015669300</t>
  </si>
  <si>
    <t>031338600</t>
  </si>
  <si>
    <t>052231000</t>
  </si>
  <si>
    <t>0104462000</t>
  </si>
  <si>
    <t>-5-1</t>
  </si>
  <si>
    <t>1109.24万</t>
  </si>
  <si>
    <t>6.68亿</t>
  </si>
  <si>
    <t>2842.80万</t>
  </si>
  <si>
    <t>-288.20万</t>
  </si>
  <si>
    <t>4245.19万</t>
  </si>
  <si>
    <t>2128.23万</t>
  </si>
  <si>
    <t>621.42万</t>
  </si>
  <si>
    <t>842.29万</t>
  </si>
  <si>
    <t>17000亿</t>
  </si>
  <si>
    <t>26.31万</t>
  </si>
  <si>
    <t>-3646653亿</t>
  </si>
  <si>
    <t>332669120亿</t>
  </si>
  <si>
    <t>461.61万</t>
  </si>
  <si>
    <t>624127070亿</t>
  </si>
  <si>
    <t>2002.91万</t>
  </si>
  <si>
    <t>2523.33万</t>
  </si>
  <si>
    <t>166.68万</t>
  </si>
  <si>
    <t>1067.02万</t>
  </si>
  <si>
    <t>-1125.83万</t>
  </si>
  <si>
    <t>-925.71万</t>
  </si>
  <si>
    <t>440.16万</t>
  </si>
  <si>
    <t>-7594.02万</t>
  </si>
  <si>
    <t>7505.51万</t>
  </si>
  <si>
    <t>728.47万</t>
  </si>
  <si>
    <t>9371.92万</t>
  </si>
  <si>
    <t>289.73万</t>
  </si>
  <si>
    <t>9424.57万</t>
  </si>
  <si>
    <t>5206.15万</t>
  </si>
  <si>
    <t>811.92万</t>
  </si>
  <si>
    <t>1169.59万</t>
  </si>
  <si>
    <t>1842177亿</t>
  </si>
  <si>
    <t>2455748亿</t>
  </si>
  <si>
    <t>277815020亿</t>
  </si>
  <si>
    <t>893810950亿</t>
  </si>
  <si>
    <t>2303.67万</t>
  </si>
  <si>
    <t>4013.27万</t>
  </si>
  <si>
    <t>-6629.85万</t>
  </si>
  <si>
    <t>-3497.07万</t>
  </si>
  <si>
    <t>4232.66万</t>
  </si>
  <si>
    <t>-2000.00万</t>
  </si>
  <si>
    <t>-1.90亿</t>
  </si>
  <si>
    <t>5106.59万</t>
  </si>
  <si>
    <t>4.81亿</t>
  </si>
  <si>
    <t>02897300</t>
  </si>
  <si>
    <t>08691900</t>
  </si>
  <si>
    <t>017383800</t>
  </si>
  <si>
    <t>028973000</t>
  </si>
  <si>
    <t>057946000</t>
  </si>
  <si>
    <t>25.37亿</t>
  </si>
  <si>
    <t>32.83亿</t>
  </si>
  <si>
    <t>-4797.41万</t>
  </si>
  <si>
    <t>5.14亿</t>
  </si>
  <si>
    <t>4181.67万</t>
  </si>
  <si>
    <t>5622.44万</t>
  </si>
  <si>
    <t>-10516128亿</t>
  </si>
  <si>
    <t>27.35万</t>
  </si>
  <si>
    <t>-49131588亿</t>
  </si>
  <si>
    <t>10.23亿</t>
  </si>
  <si>
    <t>1177499420亿</t>
  </si>
  <si>
    <t>3298527500亿</t>
  </si>
  <si>
    <t>3733.09万</t>
  </si>
  <si>
    <t>7517.40万</t>
  </si>
  <si>
    <t>19.82亿</t>
  </si>
  <si>
    <t>-2.13亿</t>
  </si>
  <si>
    <t>-3491.78万</t>
  </si>
  <si>
    <t>-8741.80万</t>
  </si>
  <si>
    <t>30.00亿</t>
  </si>
  <si>
    <t>-2.68亿</t>
  </si>
  <si>
    <t>17.84亿</t>
  </si>
  <si>
    <t>5878.11万</t>
  </si>
  <si>
    <t>2252.79万</t>
  </si>
  <si>
    <t>2760.30万</t>
  </si>
  <si>
    <t>-481.09万</t>
  </si>
  <si>
    <t>3426.87万</t>
  </si>
  <si>
    <t>1476.90万</t>
  </si>
  <si>
    <t>519.15万</t>
  </si>
  <si>
    <t>722.17万</t>
  </si>
  <si>
    <t>3937981亿</t>
  </si>
  <si>
    <t>-7995464亿</t>
  </si>
  <si>
    <t>5184.10万</t>
  </si>
  <si>
    <t>22835597亿</t>
  </si>
  <si>
    <t>231530240亿</t>
  </si>
  <si>
    <t>1033.56万</t>
  </si>
  <si>
    <t>2300.97万</t>
  </si>
  <si>
    <t>-894.74万</t>
  </si>
  <si>
    <t>284.24万</t>
  </si>
  <si>
    <t>-305.36万</t>
  </si>
  <si>
    <t>-6857.13万</t>
  </si>
  <si>
    <t>8.63亿</t>
  </si>
  <si>
    <t>ST汇金</t>
  </si>
  <si>
    <t>1694.71万</t>
  </si>
  <si>
    <t>16.16亿</t>
  </si>
  <si>
    <t>6989.42万</t>
  </si>
  <si>
    <t>-1550.67万</t>
  </si>
  <si>
    <t>8503.00万</t>
  </si>
  <si>
    <t>4406.86万</t>
  </si>
  <si>
    <t>740.76万</t>
  </si>
  <si>
    <t>889.78万</t>
  </si>
  <si>
    <t>-2644195亿</t>
  </si>
  <si>
    <t>3.51万</t>
  </si>
  <si>
    <t>-16274347亿</t>
  </si>
  <si>
    <t>8469.06万</t>
  </si>
  <si>
    <t>855628750亿</t>
  </si>
  <si>
    <t>3508.44万</t>
  </si>
  <si>
    <t>1554856700亿</t>
  </si>
  <si>
    <t>8830.09万</t>
  </si>
  <si>
    <t>-2894.25万</t>
  </si>
  <si>
    <t>-83.75万</t>
  </si>
  <si>
    <t>2513.22万</t>
  </si>
  <si>
    <t>-2.48亿</t>
  </si>
  <si>
    <t>4358.38万</t>
  </si>
  <si>
    <t>15.40亿</t>
  </si>
  <si>
    <t>-868.04万</t>
  </si>
  <si>
    <t>9460.30万</t>
  </si>
  <si>
    <t>2053.76万</t>
  </si>
  <si>
    <t>2993.79万</t>
  </si>
  <si>
    <t>-27690亿</t>
  </si>
  <si>
    <t>122.95万</t>
  </si>
  <si>
    <t>-9867581亿</t>
  </si>
  <si>
    <t>103053699亿</t>
  </si>
  <si>
    <t>650.04万</t>
  </si>
  <si>
    <t>1038114190亿</t>
  </si>
  <si>
    <t>136.82万</t>
  </si>
  <si>
    <t>6749.76万</t>
  </si>
  <si>
    <t>1500.00万</t>
  </si>
  <si>
    <t>-7120.39万</t>
  </si>
  <si>
    <t>-2503.32万</t>
  </si>
  <si>
    <t>-300.78万</t>
  </si>
  <si>
    <t>7.39亿</t>
  </si>
  <si>
    <t>-1.72亿</t>
  </si>
  <si>
    <t>6-0</t>
  </si>
  <si>
    <t>1378.75万</t>
  </si>
  <si>
    <t>2372.44万</t>
  </si>
  <si>
    <t>185.48万</t>
  </si>
  <si>
    <t>2843.33万</t>
  </si>
  <si>
    <t>1924.93万</t>
  </si>
  <si>
    <t>116.15万</t>
  </si>
  <si>
    <t>457.30万</t>
  </si>
  <si>
    <t>668.64万</t>
  </si>
  <si>
    <t>-4572313亿</t>
  </si>
  <si>
    <t>70358404亿</t>
  </si>
  <si>
    <t>94.28万</t>
  </si>
  <si>
    <t>488786690亿</t>
  </si>
  <si>
    <t>1000.19万</t>
  </si>
  <si>
    <t>7053.76万</t>
  </si>
  <si>
    <t>-6777.56万</t>
  </si>
  <si>
    <t>-1.29亿</t>
  </si>
  <si>
    <t>-1.27亿</t>
  </si>
  <si>
    <t>5550.50万</t>
  </si>
  <si>
    <t>01854800</t>
  </si>
  <si>
    <t>05564400</t>
  </si>
  <si>
    <t>011128800</t>
  </si>
  <si>
    <t>018548000</t>
  </si>
  <si>
    <t>037096000</t>
  </si>
  <si>
    <t>2051.03万</t>
  </si>
  <si>
    <t>14.86亿</t>
  </si>
  <si>
    <t>18.03亿</t>
  </si>
  <si>
    <t>983.36万</t>
  </si>
  <si>
    <t>966.03万</t>
  </si>
  <si>
    <t>1982.46万</t>
  </si>
  <si>
    <t>1.83万</t>
  </si>
  <si>
    <t>9160276亿</t>
  </si>
  <si>
    <t>636382950亿</t>
  </si>
  <si>
    <t>3611.26万</t>
  </si>
  <si>
    <t>2578287300亿</t>
  </si>
  <si>
    <t>6845.22万</t>
  </si>
  <si>
    <t>13.68亿</t>
  </si>
  <si>
    <t>-7726.82万</t>
  </si>
  <si>
    <t>-3008.51万</t>
  </si>
  <si>
    <t>5339.45万</t>
  </si>
  <si>
    <t>14.08亿</t>
  </si>
  <si>
    <t>9059.09万</t>
  </si>
  <si>
    <t>10.42亿</t>
  </si>
  <si>
    <t>09833600</t>
  </si>
  <si>
    <t>029500800</t>
  </si>
  <si>
    <t>059001600</t>
  </si>
  <si>
    <t>098336000</t>
  </si>
  <si>
    <t>0196672000</t>
  </si>
  <si>
    <t>3370.93万</t>
  </si>
  <si>
    <t>7.02亿</t>
  </si>
  <si>
    <t>-1864.52万</t>
  </si>
  <si>
    <t>1164.57万</t>
  </si>
  <si>
    <t>1838.78万</t>
  </si>
  <si>
    <t>1494333亿</t>
  </si>
  <si>
    <t>33.66万</t>
  </si>
  <si>
    <t>-20970472亿</t>
  </si>
  <si>
    <t>400089810亿</t>
  </si>
  <si>
    <t>1713.33万</t>
  </si>
  <si>
    <t>1569337500亿</t>
  </si>
  <si>
    <t>1579.50万</t>
  </si>
  <si>
    <t>401.30万</t>
  </si>
  <si>
    <t>556.40万</t>
  </si>
  <si>
    <t>-1501.34万</t>
  </si>
  <si>
    <t>6.01亿</t>
  </si>
  <si>
    <t>-582.03万</t>
  </si>
  <si>
    <t>632.59万</t>
  </si>
  <si>
    <t>2012.56万</t>
  </si>
  <si>
    <t>-4063.71万</t>
  </si>
  <si>
    <t>6623.20万</t>
  </si>
  <si>
    <t>1717.23万</t>
  </si>
  <si>
    <t>1486.05万</t>
  </si>
  <si>
    <t>1333.13万</t>
  </si>
  <si>
    <t>-110687亿</t>
  </si>
  <si>
    <t>1.24万</t>
  </si>
  <si>
    <t>-42387005亿</t>
  </si>
  <si>
    <t>185934700亿</t>
  </si>
  <si>
    <t>293.06万</t>
  </si>
  <si>
    <t>1067780150亿</t>
  </si>
  <si>
    <t>6804.03万</t>
  </si>
  <si>
    <t>778.02万</t>
  </si>
  <si>
    <t>73.75万</t>
  </si>
  <si>
    <t>6.97亿</t>
  </si>
  <si>
    <t>-1.39亿</t>
  </si>
  <si>
    <t>-168.67万</t>
  </si>
  <si>
    <t>-114.18万</t>
  </si>
  <si>
    <t>-6932.74万</t>
  </si>
  <si>
    <t>4058.25万</t>
  </si>
  <si>
    <t>198.39万</t>
  </si>
  <si>
    <t>7.17亿</t>
  </si>
  <si>
    <t>1544.44万</t>
  </si>
  <si>
    <t>9645.35万</t>
  </si>
  <si>
    <t>4423.28万</t>
  </si>
  <si>
    <t>1006.46万</t>
  </si>
  <si>
    <t>1369.18万</t>
  </si>
  <si>
    <t>-2248451亿</t>
  </si>
  <si>
    <t>13516408亿</t>
  </si>
  <si>
    <t>8266.74万</t>
  </si>
  <si>
    <t>79243051亿</t>
  </si>
  <si>
    <t>9266.73万</t>
  </si>
  <si>
    <t>414866990亿</t>
  </si>
  <si>
    <t>92.08万</t>
  </si>
  <si>
    <t>4710.79万</t>
  </si>
  <si>
    <t>-1591.15万</t>
  </si>
  <si>
    <t>6539.48万</t>
  </si>
  <si>
    <t>-1075.96万</t>
  </si>
  <si>
    <t>3953.32万</t>
  </si>
  <si>
    <t>10派0.814264元(含税)</t>
  </si>
  <si>
    <t>1207.81万</t>
  </si>
  <si>
    <t>5951.05万</t>
  </si>
  <si>
    <t>517.00万</t>
  </si>
  <si>
    <t>7.97亿</t>
  </si>
  <si>
    <t>15.10亿</t>
  </si>
  <si>
    <t>184.98万</t>
  </si>
  <si>
    <t>3.03亿</t>
  </si>
  <si>
    <t>1398.86万</t>
  </si>
  <si>
    <t>1716.53万</t>
  </si>
  <si>
    <t>-12745603亿</t>
  </si>
  <si>
    <t>36.18万</t>
  </si>
  <si>
    <t>7390587亿</t>
  </si>
  <si>
    <t>384764840亿</t>
  </si>
  <si>
    <t>2013844400亿</t>
  </si>
  <si>
    <t>1260.12万</t>
  </si>
  <si>
    <t>1954.12万</t>
  </si>
  <si>
    <t>-5684.38万</t>
  </si>
  <si>
    <t>-9791.33万</t>
  </si>
  <si>
    <t>6463.46万</t>
  </si>
  <si>
    <t>12.68亿</t>
  </si>
  <si>
    <t>3731.90万</t>
  </si>
  <si>
    <t>01849800</t>
  </si>
  <si>
    <t>05549400</t>
  </si>
  <si>
    <t>011098800</t>
  </si>
  <si>
    <t>018498000</t>
  </si>
  <si>
    <t>036996000</t>
  </si>
  <si>
    <t>-6-0</t>
  </si>
  <si>
    <t>5059.81万</t>
  </si>
  <si>
    <t>10.59亿</t>
  </si>
  <si>
    <t>7244.73万</t>
  </si>
  <si>
    <t>-226.89万</t>
  </si>
  <si>
    <t>8321.26万</t>
  </si>
  <si>
    <t>3554.71万</t>
  </si>
  <si>
    <t>1431.37万</t>
  </si>
  <si>
    <t>1097.93万</t>
  </si>
  <si>
    <t>3618230亿</t>
  </si>
  <si>
    <t>-5636360亿</t>
  </si>
  <si>
    <t>5.64亿</t>
  </si>
  <si>
    <t>168267950亿</t>
  </si>
  <si>
    <t>295.64万</t>
  </si>
  <si>
    <t>1021778410亿</t>
  </si>
  <si>
    <t>1481.25万</t>
  </si>
  <si>
    <t>5782.29万</t>
  </si>
  <si>
    <t>-4032.76万</t>
  </si>
  <si>
    <t>7294.61万</t>
  </si>
  <si>
    <t>-188.00万</t>
  </si>
  <si>
    <t>3684.97万</t>
  </si>
  <si>
    <t>1090.22万</t>
  </si>
  <si>
    <t>4.12亿</t>
  </si>
  <si>
    <t>-2354.78万</t>
  </si>
  <si>
    <t>1348.40万</t>
  </si>
  <si>
    <t>7016.93万</t>
  </si>
  <si>
    <t>-4150.54万</t>
  </si>
  <si>
    <t>9475.91万</t>
  </si>
  <si>
    <t>1657.35万</t>
  </si>
  <si>
    <t>5150.28万</t>
  </si>
  <si>
    <t>1678.67万</t>
  </si>
  <si>
    <t>-31435322亿</t>
  </si>
  <si>
    <t>-41673117亿</t>
  </si>
  <si>
    <t>110223207亿</t>
  </si>
  <si>
    <t>747734760亿</t>
  </si>
  <si>
    <t>289.20万</t>
  </si>
  <si>
    <t>3195.73万</t>
  </si>
  <si>
    <t>-2600.39万</t>
  </si>
  <si>
    <t>647.76万</t>
  </si>
  <si>
    <t>181.07万</t>
  </si>
  <si>
    <t>-7506.74万</t>
  </si>
  <si>
    <t>8897.98万</t>
  </si>
  <si>
    <t>1536.67万</t>
  </si>
  <si>
    <t>22.43亿</t>
  </si>
  <si>
    <t>-7928.53万</t>
  </si>
  <si>
    <t>3823.83万</t>
  </si>
  <si>
    <t>2446.98万</t>
  </si>
  <si>
    <t>3636974亿</t>
  </si>
  <si>
    <t>40.28万</t>
  </si>
  <si>
    <t>-82476882亿</t>
  </si>
  <si>
    <t>1025521840亿</t>
  </si>
  <si>
    <t>3325.66万</t>
  </si>
  <si>
    <t>2101710200亿</t>
  </si>
  <si>
    <t>7008.93万</t>
  </si>
  <si>
    <t>-8131.22万</t>
  </si>
  <si>
    <t>65.78万</t>
  </si>
  <si>
    <t>6198.30万</t>
  </si>
  <si>
    <t>9.09亿</t>
  </si>
  <si>
    <t>-3.86亿</t>
  </si>
  <si>
    <t>8.60亿</t>
  </si>
  <si>
    <t>786.63万</t>
  </si>
  <si>
    <t>3.67亿</t>
  </si>
  <si>
    <t>2879.69万</t>
  </si>
  <si>
    <t>-1494.72万</t>
  </si>
  <si>
    <t>5096.31万</t>
  </si>
  <si>
    <t>1948.70万</t>
  </si>
  <si>
    <t>1222.81万</t>
  </si>
  <si>
    <t>1434.27万</t>
  </si>
  <si>
    <t>593211亿</t>
  </si>
  <si>
    <t>-17643778亿</t>
  </si>
  <si>
    <t>248174460亿</t>
  </si>
  <si>
    <t>10.50万</t>
  </si>
  <si>
    <t>583958620亿</t>
  </si>
  <si>
    <t>545.13万</t>
  </si>
  <si>
    <t>30.00万</t>
  </si>
  <si>
    <t>-4951.72万</t>
  </si>
  <si>
    <t>-135.73万</t>
  </si>
  <si>
    <t>-464.31万</t>
  </si>
  <si>
    <t>-4015.40万</t>
  </si>
  <si>
    <t>4667.23万</t>
  </si>
  <si>
    <t>691.17万</t>
  </si>
  <si>
    <t>14.47亿</t>
  </si>
  <si>
    <t>-1050.16万</t>
  </si>
  <si>
    <t>2796.95万</t>
  </si>
  <si>
    <t>2453.56万</t>
  </si>
  <si>
    <t>-1940444亿</t>
  </si>
  <si>
    <t>6.58万</t>
  </si>
  <si>
    <t>-10646481亿</t>
  </si>
  <si>
    <t>742987650亿</t>
  </si>
  <si>
    <t>405.18万</t>
  </si>
  <si>
    <t>1533834500亿</t>
  </si>
  <si>
    <t>161.17万</t>
  </si>
  <si>
    <t>2632.19万</t>
  </si>
  <si>
    <t>1638.10万</t>
  </si>
  <si>
    <t>3708.47万</t>
  </si>
  <si>
    <t>-1.50亿</t>
  </si>
  <si>
    <t>-6196.60万</t>
  </si>
  <si>
    <t>-6301.49万</t>
  </si>
  <si>
    <t>4185.13万</t>
  </si>
  <si>
    <t>4326.24万</t>
  </si>
  <si>
    <t>349.28万</t>
  </si>
  <si>
    <t>7.07亿</t>
  </si>
  <si>
    <t>14.00亿</t>
  </si>
  <si>
    <t>-7400.50万</t>
  </si>
  <si>
    <t>5431.56万</t>
  </si>
  <si>
    <t>7238.81万</t>
  </si>
  <si>
    <t>3723.75万</t>
  </si>
  <si>
    <t>-245141亿</t>
  </si>
  <si>
    <t>1.70万</t>
  </si>
  <si>
    <t>-81184539亿</t>
  </si>
  <si>
    <t>5.72亿</t>
  </si>
  <si>
    <t>441311970亿</t>
  </si>
  <si>
    <t>107.44万</t>
  </si>
  <si>
    <t>1179897930亿</t>
  </si>
  <si>
    <t>1957.29万</t>
  </si>
  <si>
    <t>6.63万</t>
  </si>
  <si>
    <t>4.97亿</t>
  </si>
  <si>
    <t>-1.64亿</t>
  </si>
  <si>
    <t>-2754.94万</t>
  </si>
  <si>
    <t>-1.86亿</t>
  </si>
  <si>
    <t>1890.03万</t>
  </si>
  <si>
    <t>187.73万</t>
  </si>
  <si>
    <t>15.96亿</t>
  </si>
  <si>
    <t>3.82亿</t>
  </si>
  <si>
    <t>-146.53万</t>
  </si>
  <si>
    <t>636.89万</t>
  </si>
  <si>
    <t>2856.28万</t>
  </si>
  <si>
    <t>-48053亿</t>
  </si>
  <si>
    <t>6.47万</t>
  </si>
  <si>
    <t>-3220114亿</t>
  </si>
  <si>
    <t>369604530亿</t>
  </si>
  <si>
    <t>63.22万</t>
  </si>
  <si>
    <t>1577749100亿</t>
  </si>
  <si>
    <t>9969.45万</t>
  </si>
  <si>
    <t>4969.66万</t>
  </si>
  <si>
    <t>5.61亿</t>
  </si>
  <si>
    <t>-2965.05万</t>
  </si>
  <si>
    <t>592.73万</t>
  </si>
  <si>
    <t>9347.49万</t>
  </si>
  <si>
    <t>16.47亿</t>
  </si>
  <si>
    <t>6429.27万</t>
  </si>
  <si>
    <t>1130.50万</t>
  </si>
  <si>
    <t>270.59万</t>
  </si>
  <si>
    <t>1.67亿</t>
  </si>
  <si>
    <t>2280.31万</t>
  </si>
  <si>
    <t>1480.02万</t>
  </si>
  <si>
    <t>967.94万</t>
  </si>
  <si>
    <t>-4687亿</t>
  </si>
  <si>
    <t>1.09万</t>
  </si>
  <si>
    <t>20742312亿</t>
  </si>
  <si>
    <t>159489570亿</t>
  </si>
  <si>
    <t>552598110亿</t>
  </si>
  <si>
    <t>3332.89万</t>
  </si>
  <si>
    <t>2145.25万</t>
  </si>
  <si>
    <t>7422.88万</t>
  </si>
  <si>
    <t>5088.53万</t>
  </si>
  <si>
    <t>3603.00万</t>
  </si>
  <si>
    <t>2526.24万</t>
  </si>
  <si>
    <t>-1499.20万</t>
  </si>
  <si>
    <t>-3541.94万</t>
  </si>
  <si>
    <t>5564.16万</t>
  </si>
  <si>
    <t>10派3.5元(含税)</t>
  </si>
  <si>
    <t>2110.11万</t>
  </si>
  <si>
    <t>022803100</t>
  </si>
  <si>
    <t>068409300</t>
  </si>
  <si>
    <t>0136818600</t>
  </si>
  <si>
    <t>0228031000</t>
  </si>
  <si>
    <t>0456062000</t>
  </si>
  <si>
    <t>410.25万</t>
  </si>
  <si>
    <t>19.29亿</t>
  </si>
  <si>
    <t>7713.12万</t>
  </si>
  <si>
    <t>879.38万</t>
  </si>
  <si>
    <t>8468.73万</t>
  </si>
  <si>
    <t>6267.50万</t>
  </si>
  <si>
    <t>998.25万</t>
  </si>
  <si>
    <t>896.57万</t>
  </si>
  <si>
    <t>8643735亿</t>
  </si>
  <si>
    <t>6.80万</t>
  </si>
  <si>
    <t>-5648401亿</t>
  </si>
  <si>
    <t>4.58亿</t>
  </si>
  <si>
    <t>45989202亿</t>
  </si>
  <si>
    <t>67.74万</t>
  </si>
  <si>
    <t>1832123500亿</t>
  </si>
  <si>
    <t>8013.35万</t>
  </si>
  <si>
    <t>458.00万</t>
  </si>
  <si>
    <t>2909.39万</t>
  </si>
  <si>
    <t>3044.83万</t>
  </si>
  <si>
    <t>-9189.79万</t>
  </si>
  <si>
    <t>-2374.21万</t>
  </si>
  <si>
    <t>2454.21万</t>
  </si>
  <si>
    <t>10派1.000012元(含税)</t>
  </si>
  <si>
    <t>1962.66万</t>
  </si>
  <si>
    <t>08793800</t>
  </si>
  <si>
    <t>026381400</t>
  </si>
  <si>
    <t>052762800</t>
  </si>
  <si>
    <t>087938000</t>
  </si>
  <si>
    <t>0175876000</t>
  </si>
  <si>
    <t>115.58万</t>
  </si>
  <si>
    <t>4.72亿</t>
  </si>
  <si>
    <t>9146.17万</t>
  </si>
  <si>
    <t>705.95万</t>
  </si>
  <si>
    <t>9061.15万</t>
  </si>
  <si>
    <t>5627.36万</t>
  </si>
  <si>
    <t>974.76万</t>
  </si>
  <si>
    <t>948.23万</t>
  </si>
  <si>
    <t>1002536亿</t>
  </si>
  <si>
    <t>5791685亿</t>
  </si>
  <si>
    <t>447720080亿</t>
  </si>
  <si>
    <t>915.47万</t>
  </si>
  <si>
    <t>1203731810亿</t>
  </si>
  <si>
    <t>-476.61万</t>
  </si>
  <si>
    <t>-27.32万</t>
  </si>
  <si>
    <t>-8.28万</t>
  </si>
  <si>
    <t>10转3股派2.92元(含税)</t>
  </si>
  <si>
    <t>655.26万</t>
  </si>
  <si>
    <t>5059.21万</t>
  </si>
  <si>
    <t>07059500</t>
  </si>
  <si>
    <t>021178500</t>
  </si>
  <si>
    <t>042357000</t>
  </si>
  <si>
    <t>070595000</t>
  </si>
  <si>
    <t>0141190000</t>
  </si>
  <si>
    <t>524.90万</t>
  </si>
  <si>
    <t>30.57亿</t>
  </si>
  <si>
    <t>20.25亿</t>
  </si>
  <si>
    <t>5.69亿</t>
  </si>
  <si>
    <t>4026.16万</t>
  </si>
  <si>
    <t>1255.19万</t>
  </si>
  <si>
    <t>3653.55万</t>
  </si>
  <si>
    <t>373314亿</t>
  </si>
  <si>
    <t>9.80万</t>
  </si>
  <si>
    <t>35902353亿</t>
  </si>
  <si>
    <t>675764250亿</t>
  </si>
  <si>
    <t>51.35万</t>
  </si>
  <si>
    <t>2125302400亿</t>
  </si>
  <si>
    <t>10.40亿</t>
  </si>
  <si>
    <t>3168.52万</t>
  </si>
  <si>
    <t>6.35亿</t>
  </si>
  <si>
    <t>20.08亿</t>
  </si>
  <si>
    <t>9840.80万</t>
  </si>
  <si>
    <t>-6117.25万</t>
  </si>
  <si>
    <t>7208.58万</t>
  </si>
  <si>
    <t>21.45亿</t>
  </si>
  <si>
    <t>3085.49万</t>
  </si>
  <si>
    <t>3086.63万</t>
  </si>
  <si>
    <t>277.67万</t>
  </si>
  <si>
    <t>1332.18万</t>
  </si>
  <si>
    <t>-2003.62万</t>
  </si>
  <si>
    <t>3492.93万</t>
  </si>
  <si>
    <t>727.11万</t>
  </si>
  <si>
    <t>541.38万</t>
  </si>
  <si>
    <t>888.88万</t>
  </si>
  <si>
    <t>-140110亿</t>
  </si>
  <si>
    <t>38.16万</t>
  </si>
  <si>
    <t>-20695554亿</t>
  </si>
  <si>
    <t>5880.88万</t>
  </si>
  <si>
    <t>210882520亿</t>
  </si>
  <si>
    <t>1080.36万</t>
  </si>
  <si>
    <t>398130790亿</t>
  </si>
  <si>
    <t>5000.00万</t>
  </si>
  <si>
    <t>5780.87万</t>
  </si>
  <si>
    <t>1855.00万</t>
  </si>
  <si>
    <t>-2112.39万</t>
  </si>
  <si>
    <t>-375.62万</t>
  </si>
  <si>
    <t>425.92万</t>
  </si>
  <si>
    <t>-5007.37万</t>
  </si>
  <si>
    <t>1678.66万</t>
  </si>
  <si>
    <t>-7-1</t>
  </si>
  <si>
    <t>305.91万</t>
  </si>
  <si>
    <t>2375.56万</t>
  </si>
  <si>
    <t>-479.88万</t>
  </si>
  <si>
    <t>3549.44万</t>
  </si>
  <si>
    <t>1111.74万</t>
  </si>
  <si>
    <t>854.21万</t>
  </si>
  <si>
    <t>950.90万</t>
  </si>
  <si>
    <t>607931亿</t>
  </si>
  <si>
    <t>-5913740亿</t>
  </si>
  <si>
    <t>145352970亿</t>
  </si>
  <si>
    <t>1349.53万</t>
  </si>
  <si>
    <t>604241490亿</t>
  </si>
  <si>
    <t>8751.07万</t>
  </si>
  <si>
    <t>180.23万</t>
  </si>
  <si>
    <t>367.29万</t>
  </si>
  <si>
    <t>-3712.55万</t>
  </si>
  <si>
    <t>-644.74万</t>
  </si>
  <si>
    <t>-2031.97万</t>
  </si>
  <si>
    <t>5033.95万</t>
  </si>
  <si>
    <t>10转3股派2.5元(含税)</t>
  </si>
  <si>
    <t>2510.47万</t>
  </si>
  <si>
    <t>398.26万</t>
  </si>
  <si>
    <t>5.51亿</t>
  </si>
  <si>
    <t>14.02亿</t>
  </si>
  <si>
    <t>107.71万</t>
  </si>
  <si>
    <t>7233.35万</t>
  </si>
  <si>
    <t>3599.37万</t>
  </si>
  <si>
    <t>1174.88万</t>
  </si>
  <si>
    <t>2798067亿</t>
  </si>
  <si>
    <t>26.62万</t>
  </si>
  <si>
    <t>-5996272亿</t>
  </si>
  <si>
    <t>9315.10万</t>
  </si>
  <si>
    <t>428002080亿</t>
  </si>
  <si>
    <t>2283.18万</t>
  </si>
  <si>
    <t>1351686600亿</t>
  </si>
  <si>
    <t>1182.29万</t>
  </si>
  <si>
    <t>2036.87万</t>
  </si>
  <si>
    <t>7337.68万</t>
  </si>
  <si>
    <t>1764.43万</t>
  </si>
  <si>
    <t>-5832.51万</t>
  </si>
  <si>
    <t>4511.84万</t>
  </si>
  <si>
    <t>-1398.21万</t>
  </si>
  <si>
    <t>8025.77万</t>
  </si>
  <si>
    <t>8.84亿</t>
  </si>
  <si>
    <t>2047.46万</t>
  </si>
  <si>
    <t>01077100</t>
  </si>
  <si>
    <t>03231300</t>
  </si>
  <si>
    <t>06462600</t>
  </si>
  <si>
    <t>010771000</t>
  </si>
  <si>
    <t>021542000</t>
  </si>
  <si>
    <t>774.15万</t>
  </si>
  <si>
    <t>12.82亿</t>
  </si>
  <si>
    <t>4530.44万</t>
  </si>
  <si>
    <t>1491.07万</t>
  </si>
  <si>
    <t>4113.01万</t>
  </si>
  <si>
    <t>1852.55万</t>
  </si>
  <si>
    <t>589.03万</t>
  </si>
  <si>
    <t>474.68万</t>
  </si>
  <si>
    <t>8925505亿</t>
  </si>
  <si>
    <t>13844434亿</t>
  </si>
  <si>
    <t>93142303亿</t>
  </si>
  <si>
    <t>1337285860亿</t>
  </si>
  <si>
    <t>3035.15万</t>
  </si>
  <si>
    <t>6619.04万</t>
  </si>
  <si>
    <t>-2332.05万</t>
  </si>
  <si>
    <t>-1108.97万</t>
  </si>
  <si>
    <t>8126.62万</t>
  </si>
  <si>
    <t>10派1.4元(含税)</t>
  </si>
  <si>
    <t>6520.98万</t>
  </si>
  <si>
    <t>014910700</t>
  </si>
  <si>
    <t>044732100</t>
  </si>
  <si>
    <t>089464200</t>
  </si>
  <si>
    <t>0149107000</t>
  </si>
  <si>
    <t>0298214000</t>
  </si>
  <si>
    <t>62.76万</t>
  </si>
  <si>
    <t>11.62亿</t>
  </si>
  <si>
    <t>1118.07万</t>
  </si>
  <si>
    <t>9499.90万</t>
  </si>
  <si>
    <t>658.19万</t>
  </si>
  <si>
    <t>1190.85万</t>
  </si>
  <si>
    <t>271077亿</t>
  </si>
  <si>
    <t>29.05万</t>
  </si>
  <si>
    <t>9500910亿</t>
  </si>
  <si>
    <t>198029410亿</t>
  </si>
  <si>
    <t>1092984190亿</t>
  </si>
  <si>
    <t>5098.76万</t>
  </si>
  <si>
    <t>-2469.04万</t>
  </si>
  <si>
    <t>791.94万</t>
  </si>
  <si>
    <t>9250.73万</t>
  </si>
  <si>
    <t>10派12元(含税)</t>
  </si>
  <si>
    <t>376.82万</t>
  </si>
  <si>
    <t>5773.96万</t>
  </si>
  <si>
    <t>011180700</t>
  </si>
  <si>
    <t>033542100</t>
  </si>
  <si>
    <t>067084200</t>
  </si>
  <si>
    <t>0111807000</t>
  </si>
  <si>
    <t>0223614000</t>
  </si>
  <si>
    <t>158.13万</t>
  </si>
  <si>
    <t>12.94亿</t>
  </si>
  <si>
    <t>1630.30万</t>
  </si>
  <si>
    <t>-1580.53万</t>
  </si>
  <si>
    <t>3764.63万</t>
  </si>
  <si>
    <t>934.01万</t>
  </si>
  <si>
    <t>432.80万</t>
  </si>
  <si>
    <t>1032.83万</t>
  </si>
  <si>
    <t>2349017亿</t>
  </si>
  <si>
    <t>-18592682亿</t>
  </si>
  <si>
    <t>4.92亿</t>
  </si>
  <si>
    <t>233072760亿</t>
  </si>
  <si>
    <t>945.21万</t>
  </si>
  <si>
    <t>1215105620亿</t>
  </si>
  <si>
    <t>1997.55万</t>
  </si>
  <si>
    <t>6477.51万</t>
  </si>
  <si>
    <t>-3235.70万</t>
  </si>
  <si>
    <t>-2674.99万</t>
  </si>
  <si>
    <t>-360.75万</t>
  </si>
  <si>
    <t>6157.39万</t>
  </si>
  <si>
    <t>2.27亿</t>
  </si>
  <si>
    <t>-535.29万</t>
  </si>
  <si>
    <t>961.00万</t>
  </si>
  <si>
    <t>8138.59万</t>
  </si>
  <si>
    <t>200.34万</t>
  </si>
  <si>
    <t>17.62亿</t>
  </si>
  <si>
    <t>2192.79万</t>
  </si>
  <si>
    <t>6134.44万</t>
  </si>
  <si>
    <t>1536.80万</t>
  </si>
  <si>
    <t>780.52万</t>
  </si>
  <si>
    <t>660296亿</t>
  </si>
  <si>
    <t>2.97万</t>
  </si>
  <si>
    <t>17877348亿</t>
  </si>
  <si>
    <t>98772992亿</t>
  </si>
  <si>
    <t>712.65万</t>
  </si>
  <si>
    <t>1483760600亿</t>
  </si>
  <si>
    <t>730.95万</t>
  </si>
  <si>
    <t>4794.96万</t>
  </si>
  <si>
    <t>843.77万</t>
  </si>
  <si>
    <t>5567.46万</t>
  </si>
  <si>
    <t>-2159.98万</t>
  </si>
  <si>
    <t>8217.06万</t>
  </si>
  <si>
    <t>10转3股派2元(含税)</t>
  </si>
  <si>
    <t>1219.80万</t>
  </si>
  <si>
    <t>101.73万</t>
  </si>
  <si>
    <t>6.33亿</t>
  </si>
  <si>
    <t>32.60亿</t>
  </si>
  <si>
    <t>4.00亿</t>
  </si>
  <si>
    <t>2633.45万</t>
  </si>
  <si>
    <t>3.79亿</t>
  </si>
  <si>
    <t>2532.70万</t>
  </si>
  <si>
    <t>1890785亿</t>
  </si>
  <si>
    <t>29.14万</t>
  </si>
  <si>
    <t>21211611亿</t>
  </si>
  <si>
    <t>18.84亿</t>
  </si>
  <si>
    <t>446451640亿</t>
  </si>
  <si>
    <t>2912354900亿</t>
  </si>
  <si>
    <t>733.91万</t>
  </si>
  <si>
    <t>6151.61万</t>
  </si>
  <si>
    <t>-5185.70万</t>
  </si>
  <si>
    <t>-6962.02万</t>
  </si>
  <si>
    <t>19.70亿</t>
  </si>
  <si>
    <t>10派4.5元(含税)</t>
  </si>
  <si>
    <t>706.06万</t>
  </si>
  <si>
    <t>4395.89万</t>
  </si>
  <si>
    <t>026334500</t>
  </si>
  <si>
    <t>079003500</t>
  </si>
  <si>
    <t>0158007000</t>
  </si>
  <si>
    <t>0263345000</t>
  </si>
  <si>
    <t>0526690000</t>
  </si>
  <si>
    <t>1339.65万</t>
  </si>
  <si>
    <t>28.37亿</t>
  </si>
  <si>
    <t>27.33亿</t>
  </si>
  <si>
    <t>4504.24万</t>
  </si>
  <si>
    <t>7200.91万</t>
  </si>
  <si>
    <t>1618.31万</t>
  </si>
  <si>
    <t>1470.23万</t>
  </si>
  <si>
    <t>12263160亿</t>
  </si>
  <si>
    <t>45002806亿</t>
  </si>
  <si>
    <t>196015320亿</t>
  </si>
  <si>
    <t>54.84万</t>
  </si>
  <si>
    <t>3812550800亿</t>
  </si>
  <si>
    <t>426.95万</t>
  </si>
  <si>
    <t>28.30亿</t>
  </si>
  <si>
    <t>-1.07亿</t>
  </si>
  <si>
    <t>3857.39万</t>
  </si>
  <si>
    <t>-602.68万</t>
  </si>
  <si>
    <t>7.42亿</t>
  </si>
  <si>
    <t>5470.14万</t>
  </si>
  <si>
    <t>180.13万</t>
  </si>
  <si>
    <t>22.16亿</t>
  </si>
  <si>
    <t>1888.60万</t>
  </si>
  <si>
    <t>7504.87万</t>
  </si>
  <si>
    <t>2591.26万</t>
  </si>
  <si>
    <t>1052.36万</t>
  </si>
  <si>
    <t>4968404亿</t>
  </si>
  <si>
    <t>2.62万</t>
  </si>
  <si>
    <t>5481462亿</t>
  </si>
  <si>
    <t>647077090亿</t>
  </si>
  <si>
    <t>4402.97万</t>
  </si>
  <si>
    <t>2385161600亿</t>
  </si>
  <si>
    <t>-7663.12万</t>
  </si>
  <si>
    <t>3402.54万</t>
  </si>
  <si>
    <t>10转4股派8元(含税)</t>
  </si>
  <si>
    <t>728.78万</t>
  </si>
  <si>
    <t>4564.08万</t>
  </si>
  <si>
    <t>353.75万</t>
  </si>
  <si>
    <t>10.13亿</t>
  </si>
  <si>
    <t>1984.33万</t>
  </si>
  <si>
    <t>323.39万</t>
  </si>
  <si>
    <t>998.68万</t>
  </si>
  <si>
    <t>4.77万</t>
  </si>
  <si>
    <t>19195056亿</t>
  </si>
  <si>
    <t>234963070亿</t>
  </si>
  <si>
    <t>1054412350亿</t>
  </si>
  <si>
    <t>1067.44万</t>
  </si>
  <si>
    <t>-94.23万</t>
  </si>
  <si>
    <t>-84.59万</t>
  </si>
  <si>
    <t>-1287.30万</t>
  </si>
  <si>
    <t>7354.75万</t>
  </si>
  <si>
    <t>6693.15万</t>
  </si>
  <si>
    <t>10派5.6元(含税)</t>
  </si>
  <si>
    <t>2809.61万</t>
  </si>
  <si>
    <t>59.02万</t>
  </si>
  <si>
    <t>20.22亿</t>
  </si>
  <si>
    <t>37.62亿</t>
  </si>
  <si>
    <t>6.81亿</t>
  </si>
  <si>
    <t>3762.18万</t>
  </si>
  <si>
    <t>31.59万</t>
  </si>
  <si>
    <t>116483090亿</t>
  </si>
  <si>
    <t>19.73亿</t>
  </si>
  <si>
    <t>573414790亿</t>
  </si>
  <si>
    <t>4416479500亿</t>
  </si>
  <si>
    <t>3.28亿</t>
  </si>
  <si>
    <t>8663.38万</t>
  </si>
  <si>
    <t>13.15亿</t>
  </si>
  <si>
    <t>-6324.66万</t>
  </si>
  <si>
    <t>-8866.37万</t>
  </si>
  <si>
    <t>15.84亿</t>
  </si>
  <si>
    <t>9.85亿</t>
  </si>
  <si>
    <t>30.54亿</t>
  </si>
  <si>
    <t>10转8股派97元(含税)</t>
  </si>
  <si>
    <t>343.61万</t>
  </si>
  <si>
    <t>1997.71万</t>
  </si>
  <si>
    <t>33-1</t>
  </si>
  <si>
    <t>2321.16万</t>
  </si>
  <si>
    <t>358.32亿</t>
  </si>
  <si>
    <t>193.20亿</t>
  </si>
  <si>
    <t>29.35亿</t>
  </si>
  <si>
    <t>-1.59亿</t>
  </si>
  <si>
    <t>226393950亿</t>
  </si>
  <si>
    <t>256.19万</t>
  </si>
  <si>
    <t>-646130670亿</t>
  </si>
  <si>
    <t>53.06亿</t>
  </si>
  <si>
    <t>6167232800亿</t>
  </si>
  <si>
    <t>25981402000亿</t>
  </si>
  <si>
    <t>4258.07万</t>
  </si>
  <si>
    <t>9683.72万</t>
  </si>
  <si>
    <t>75.61亿</t>
  </si>
  <si>
    <t>7016.17万</t>
  </si>
  <si>
    <t>-13.38亿</t>
  </si>
  <si>
    <t>-14.77亿</t>
  </si>
  <si>
    <t>288.33亿</t>
  </si>
  <si>
    <t>-7.65亿</t>
  </si>
  <si>
    <t>10.44亿</t>
  </si>
  <si>
    <t>2905.16万</t>
  </si>
  <si>
    <t>121.35亿</t>
  </si>
  <si>
    <t>196.17亿</t>
  </si>
  <si>
    <t>24.79亿</t>
  </si>
  <si>
    <t>24.03亿</t>
  </si>
  <si>
    <t>18.13亿</t>
  </si>
  <si>
    <t>7416.65万</t>
  </si>
  <si>
    <t>68845662亿</t>
  </si>
  <si>
    <t>514.78万</t>
  </si>
  <si>
    <t>56619263亿</t>
  </si>
  <si>
    <t>64.24亿</t>
  </si>
  <si>
    <t>2957022000亿</t>
  </si>
  <si>
    <t>14009335000亿</t>
  </si>
  <si>
    <t>6.32亿</t>
  </si>
  <si>
    <t>3324.81万</t>
  </si>
  <si>
    <t>53.89亿</t>
  </si>
  <si>
    <t>10.43亿</t>
  </si>
  <si>
    <t>-4.94亿</t>
  </si>
  <si>
    <t>-1.91亿</t>
  </si>
  <si>
    <t>-9102.95万</t>
  </si>
  <si>
    <t>143.53亿</t>
  </si>
  <si>
    <t>18.36亿</t>
  </si>
  <si>
    <t>10派1.70元(含税)</t>
  </si>
  <si>
    <t>0143000000</t>
  </si>
  <si>
    <t>0429000000</t>
  </si>
  <si>
    <t>0858000000</t>
  </si>
  <si>
    <t>01430000000</t>
  </si>
  <si>
    <t>02860000000</t>
  </si>
  <si>
    <t>2539.39万</t>
  </si>
  <si>
    <t>5.57亿</t>
  </si>
  <si>
    <t>12.44亿</t>
  </si>
  <si>
    <t>9284.94万</t>
  </si>
  <si>
    <t>-2118.92万</t>
  </si>
  <si>
    <t>562.45万</t>
  </si>
  <si>
    <t>1216.89万</t>
  </si>
  <si>
    <t>2989亿</t>
  </si>
  <si>
    <t>20.33万</t>
  </si>
  <si>
    <t>-22336318亿</t>
  </si>
  <si>
    <t>232153020亿</t>
  </si>
  <si>
    <t>1186217290亿</t>
  </si>
  <si>
    <t>116.73万</t>
  </si>
  <si>
    <t>1378.89万</t>
  </si>
  <si>
    <t>-7029.39万</t>
  </si>
  <si>
    <t>2884.14万</t>
  </si>
  <si>
    <t>-2.08亿</t>
  </si>
  <si>
    <t>562.49万</t>
  </si>
  <si>
    <t>10.86亿</t>
  </si>
  <si>
    <t>13.96亿</t>
  </si>
  <si>
    <t>4038.13万</t>
  </si>
  <si>
    <t>983.62万</t>
  </si>
  <si>
    <t>1664.98万</t>
  </si>
  <si>
    <t>-3150882亿</t>
  </si>
  <si>
    <t>36354048亿</t>
  </si>
  <si>
    <t>399141480亿</t>
  </si>
  <si>
    <t>1025.94万</t>
  </si>
  <si>
    <t>1866457500亿</t>
  </si>
  <si>
    <t>3916.56万</t>
  </si>
  <si>
    <t>8158.81万</t>
  </si>
  <si>
    <t>9.46亿</t>
  </si>
  <si>
    <t>2255.21万</t>
  </si>
  <si>
    <t>6864.30万</t>
  </si>
  <si>
    <t>-5199.77万</t>
  </si>
  <si>
    <t>-122.74万</t>
  </si>
  <si>
    <t>7878.35万</t>
  </si>
  <si>
    <t>10派0.55元(含税)</t>
  </si>
  <si>
    <t>2816.96万</t>
  </si>
  <si>
    <t>040381300</t>
  </si>
  <si>
    <t>0121143900</t>
  </si>
  <si>
    <t>0242287800</t>
  </si>
  <si>
    <t>0403813000</t>
  </si>
  <si>
    <t>0807626000</t>
  </si>
  <si>
    <t>309.69万</t>
  </si>
  <si>
    <t>3.87亿</t>
  </si>
  <si>
    <t>47.59亿</t>
  </si>
  <si>
    <t>1342.27万</t>
  </si>
  <si>
    <t>1982.04万</t>
  </si>
  <si>
    <t>142490亿</t>
  </si>
  <si>
    <t>9.62万</t>
  </si>
  <si>
    <t>99672690亿</t>
  </si>
  <si>
    <t>15.01亿</t>
  </si>
  <si>
    <t>805064960亿</t>
  </si>
  <si>
    <t>9023.70万</t>
  </si>
  <si>
    <t>2999365400亿</t>
  </si>
  <si>
    <t>3632.06万</t>
  </si>
  <si>
    <t>1901.00万</t>
  </si>
  <si>
    <t>9793.87万</t>
  </si>
  <si>
    <t>2.46亿</t>
  </si>
  <si>
    <t>-2253.49万</t>
  </si>
  <si>
    <t>-9223.71万</t>
  </si>
  <si>
    <t>10派7.5655元(含税)</t>
  </si>
  <si>
    <t>1826.49万</t>
  </si>
  <si>
    <t>631.99万</t>
  </si>
  <si>
    <t>12.65亿</t>
  </si>
  <si>
    <t>7479.10万</t>
  </si>
  <si>
    <t>599.12万</t>
  </si>
  <si>
    <t>8015.94万</t>
  </si>
  <si>
    <t>3327.90万</t>
  </si>
  <si>
    <t>1547.77万</t>
  </si>
  <si>
    <t>1054.56万</t>
  </si>
  <si>
    <t>1360197亿</t>
  </si>
  <si>
    <t>1.18万</t>
  </si>
  <si>
    <t>4593220亿</t>
  </si>
  <si>
    <t>5.31亿</t>
  </si>
  <si>
    <t>185958200亿</t>
  </si>
  <si>
    <t>1133.52万</t>
  </si>
  <si>
    <t>1111820380亿</t>
  </si>
  <si>
    <t>6678.93万</t>
  </si>
  <si>
    <t>280.09万</t>
  </si>
  <si>
    <t>-1688.36万</t>
  </si>
  <si>
    <t>-1064.31万</t>
  </si>
  <si>
    <t>2988.66万</t>
  </si>
  <si>
    <t>1748.35万</t>
  </si>
  <si>
    <t>2911.55万</t>
  </si>
  <si>
    <t>05991200</t>
  </si>
  <si>
    <t>017973600</t>
  </si>
  <si>
    <t>035947200</t>
  </si>
  <si>
    <t>059912000</t>
  </si>
  <si>
    <t>0119824000</t>
  </si>
  <si>
    <t>1774.70万</t>
  </si>
  <si>
    <t>8.93亿</t>
  </si>
  <si>
    <t>3.78亿</t>
  </si>
  <si>
    <t>7649.48万</t>
  </si>
  <si>
    <t>3271.47万</t>
  </si>
  <si>
    <t>1735238亿</t>
  </si>
  <si>
    <t>17.05万</t>
  </si>
  <si>
    <t>-155045100亿</t>
  </si>
  <si>
    <t>753624160亿</t>
  </si>
  <si>
    <t>1240.68万</t>
  </si>
  <si>
    <t>2175350800亿</t>
  </si>
  <si>
    <t>11.04亿</t>
  </si>
  <si>
    <t>3500.00万</t>
  </si>
  <si>
    <t>-1.77亿</t>
  </si>
  <si>
    <t>-1.73亿</t>
  </si>
  <si>
    <t>18.16亿</t>
  </si>
  <si>
    <t>-2.64亿</t>
  </si>
  <si>
    <t>6.64亿</t>
  </si>
  <si>
    <t>130.61万</t>
  </si>
  <si>
    <t>14.96亿</t>
  </si>
  <si>
    <t>3430.32万</t>
  </si>
  <si>
    <t>9036.72万</t>
  </si>
  <si>
    <t>200.13万</t>
  </si>
  <si>
    <t>638.03万</t>
  </si>
  <si>
    <t>3414431亿</t>
  </si>
  <si>
    <t>8.83万</t>
  </si>
  <si>
    <t>30723460亿</t>
  </si>
  <si>
    <t>96868987亿</t>
  </si>
  <si>
    <t>877408450亿</t>
  </si>
  <si>
    <t>3138.61万</t>
  </si>
  <si>
    <t>7996.88万</t>
  </si>
  <si>
    <t>1171.50万</t>
  </si>
  <si>
    <t>3904.09万</t>
  </si>
  <si>
    <t>-6.69万</t>
  </si>
  <si>
    <t>6.04亿</t>
  </si>
  <si>
    <t>717.42万</t>
  </si>
  <si>
    <t>6731.75万</t>
  </si>
  <si>
    <t>034303200</t>
  </si>
  <si>
    <t>0102909600</t>
  </si>
  <si>
    <t>0205819200</t>
  </si>
  <si>
    <t>0343032000</t>
  </si>
  <si>
    <t>0686064000</t>
  </si>
  <si>
    <t>59.10万</t>
  </si>
  <si>
    <t>9.72亿</t>
  </si>
  <si>
    <t>5225.37万</t>
  </si>
  <si>
    <t>334.33万</t>
  </si>
  <si>
    <t>5179.24万</t>
  </si>
  <si>
    <t>2930.33万</t>
  </si>
  <si>
    <t>345.69万</t>
  </si>
  <si>
    <t>399.79万</t>
  </si>
  <si>
    <t>282052亿</t>
  </si>
  <si>
    <t>2459852亿</t>
  </si>
  <si>
    <t>5669.41万</t>
  </si>
  <si>
    <t>216445020亿</t>
  </si>
  <si>
    <t>564.97万</t>
  </si>
  <si>
    <t>834874480亿</t>
  </si>
  <si>
    <t>2240.57万</t>
  </si>
  <si>
    <t>1092.31万</t>
  </si>
  <si>
    <t>6272.81万</t>
  </si>
  <si>
    <t>51.57万</t>
  </si>
  <si>
    <t>9027.57万</t>
  </si>
  <si>
    <t>-37.66万</t>
  </si>
  <si>
    <t>-1668.51万</t>
  </si>
  <si>
    <t>-1078.98万</t>
  </si>
  <si>
    <t>-674.67万</t>
  </si>
  <si>
    <t>360.98万</t>
  </si>
  <si>
    <t>2216.92万</t>
  </si>
  <si>
    <t>03343300</t>
  </si>
  <si>
    <t>010029900</t>
  </si>
  <si>
    <t>020059800</t>
  </si>
  <si>
    <t>033433000</t>
  </si>
  <si>
    <t>066866000</t>
  </si>
  <si>
    <t>68.53万</t>
  </si>
  <si>
    <t>1.76亿</t>
  </si>
  <si>
    <t>8.53亿</t>
  </si>
  <si>
    <t>7948.38万</t>
  </si>
  <si>
    <t>1108.79万</t>
  </si>
  <si>
    <t>7236.51万</t>
  </si>
  <si>
    <t>5257.04万</t>
  </si>
  <si>
    <t>192.71万</t>
  </si>
  <si>
    <t>1070.58万</t>
  </si>
  <si>
    <t>8698828亿</t>
  </si>
  <si>
    <t>60718759亿</t>
  </si>
  <si>
    <t>688.06万</t>
  </si>
  <si>
    <t>664339980亿</t>
  </si>
  <si>
    <t>5418.24万</t>
  </si>
  <si>
    <t>5636.27万</t>
  </si>
  <si>
    <t>3221.96万</t>
  </si>
  <si>
    <t>2392.87万</t>
  </si>
  <si>
    <t>-121.17万</t>
  </si>
  <si>
    <t>-3250.57万</t>
  </si>
  <si>
    <t>-76.00万</t>
  </si>
  <si>
    <t>3633.09万</t>
  </si>
  <si>
    <t>473.22万</t>
  </si>
  <si>
    <t>3546.53万</t>
  </si>
  <si>
    <t>011087900</t>
  </si>
  <si>
    <t>033263700</t>
  </si>
  <si>
    <t>066527400</t>
  </si>
  <si>
    <t>0110879000</t>
  </si>
  <si>
    <t>0221758000</t>
  </si>
  <si>
    <t>224.32万</t>
  </si>
  <si>
    <t>29.28亿</t>
  </si>
  <si>
    <t>53.94亿</t>
  </si>
  <si>
    <t>7.08亿</t>
  </si>
  <si>
    <t>4219.97万</t>
  </si>
  <si>
    <t>14.78万</t>
  </si>
  <si>
    <t>121621291亿</t>
  </si>
  <si>
    <t>43.89亿</t>
  </si>
  <si>
    <t>784926690亿</t>
  </si>
  <si>
    <t>1584.20万</t>
  </si>
  <si>
    <t>5993773800亿</t>
  </si>
  <si>
    <t>10.07亿</t>
  </si>
  <si>
    <t>-1.11亿</t>
  </si>
  <si>
    <t>-133.92万</t>
  </si>
  <si>
    <t>48.40亿</t>
  </si>
  <si>
    <t>5.63亿</t>
  </si>
  <si>
    <t>10转4股派5元(含税)</t>
  </si>
  <si>
    <t>1427.87万</t>
  </si>
  <si>
    <t>56.73万</t>
  </si>
  <si>
    <t>18.56亿</t>
  </si>
  <si>
    <t>4938.25万</t>
  </si>
  <si>
    <t>-996.61万</t>
  </si>
  <si>
    <t>7286.39万</t>
  </si>
  <si>
    <t>1113.79万</t>
  </si>
  <si>
    <t>2638.55万</t>
  </si>
  <si>
    <t>1114.64万</t>
  </si>
  <si>
    <t>2048838亿</t>
  </si>
  <si>
    <t>-12995587亿</t>
  </si>
  <si>
    <t>10.63亿</t>
  </si>
  <si>
    <t>342321330亿</t>
  </si>
  <si>
    <t>1567454600亿</t>
  </si>
  <si>
    <t>160.67万</t>
  </si>
  <si>
    <t>1943.08万</t>
  </si>
  <si>
    <t>86.91万</t>
  </si>
  <si>
    <t>5135.65万</t>
  </si>
  <si>
    <t>-7667.68万</t>
  </si>
  <si>
    <t>-6618.86万</t>
  </si>
  <si>
    <t>3.59亿</t>
  </si>
  <si>
    <t>6727.90万</t>
  </si>
  <si>
    <t>324.30万</t>
  </si>
  <si>
    <t>2721.39万</t>
  </si>
  <si>
    <t>108.25万</t>
  </si>
  <si>
    <t>7.67亿</t>
  </si>
  <si>
    <t>10.87亿</t>
  </si>
  <si>
    <t>2382.77万</t>
  </si>
  <si>
    <t>-2109.21万</t>
  </si>
  <si>
    <t>5167.70万</t>
  </si>
  <si>
    <t>1473.54万</t>
  </si>
  <si>
    <t>1072.15万</t>
  </si>
  <si>
    <t>1437.50万</t>
  </si>
  <si>
    <t>1042627亿</t>
  </si>
  <si>
    <t>-23136365亿</t>
  </si>
  <si>
    <t>402819430亿</t>
  </si>
  <si>
    <t>26.85万</t>
  </si>
  <si>
    <t>1156479570亿</t>
  </si>
  <si>
    <t>1478.28万</t>
  </si>
  <si>
    <t>6.86亿</t>
  </si>
  <si>
    <t>4162.74万</t>
  </si>
  <si>
    <t>-4419.90万</t>
  </si>
  <si>
    <t>-1154.68万</t>
  </si>
  <si>
    <t>-1599.79万</t>
  </si>
  <si>
    <t>-4789.15万</t>
  </si>
  <si>
    <t>731.87万</t>
  </si>
  <si>
    <t>5386.37万</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</si>
</sst>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3" fillId="0" borderId="0" xfId="0" applyFont="1">
      <alignment vertical="center"/>
    </xf>
    <xf numFmtId="0" fontId="7"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298450</xdr:colOff>
          <xdr:row>0</xdr:row>
          <xdr:rowOff>139700</xdr:rowOff>
        </xdr:from>
        <xdr:to>
          <xdr:col>147</xdr:col>
          <xdr:colOff>1473200</xdr:colOff>
          <xdr:row>0</xdr:row>
          <xdr:rowOff>450850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17"/>
  <sheetViews>
    <sheetView tabSelected="1" zoomScale="85" zoomScaleNormal="85" workbookViewId="0">
      <pane xSplit="5" ySplit="1" topLeftCell="F2" activePane="bottomRight" state="frozen"/>
      <selection pane="topRight" activeCell="F1" sqref="F1"/>
      <selection pane="bottomLeft" activeCell="A2" sqref="A2"/>
      <selection pane="bottomRight" activeCell="D75" sqref="D75:EP75"/>
    </sheetView>
  </sheetViews>
  <sheetFormatPr defaultRowHeight="14" x14ac:dyDescent="0.25"/>
  <cols>
    <col min="1" max="1" width="28" customWidth="1"/>
    <col min="2" max="2" width="30.54296875" customWidth="1"/>
    <col min="3" max="3" width="39.1796875" customWidth="1"/>
    <col min="9" max="9" width="13.1796875" customWidth="1"/>
    <col min="16" max="16" width="12.453125" customWidth="1"/>
    <col min="148" max="148" width="24" customWidth="1"/>
  </cols>
  <sheetData>
    <row r="1" spans="1:146" ht="48" customHeight="1" x14ac:dyDescent="0.25">
      <c r="A1" s="3" t="s">
        <v>9</v>
      </c>
      <c r="B1" s="4" t="s">
        <v>10</v>
      </c>
      <c r="C1" s="3" t="s">
        <v>11</v>
      </c>
      <c r="D1" t="s">
        <v>605</v>
      </c>
      <c r="E1" t="s">
        <v>692</v>
      </c>
      <c r="F1" t="s">
        <v>3</v>
      </c>
      <c r="G1" t="s">
        <v>801</v>
      </c>
      <c r="H1" t="s">
        <v>802</v>
      </c>
      <c r="I1" t="s">
        <v>6</v>
      </c>
      <c r="J1" t="s">
        <v>7</v>
      </c>
      <c r="K1" t="s">
        <v>4</v>
      </c>
      <c r="L1" t="s">
        <v>8</v>
      </c>
      <c r="M1" t="s">
        <v>12</v>
      </c>
      <c r="N1" t="s">
        <v>13</v>
      </c>
      <c r="O1" t="s">
        <v>14</v>
      </c>
      <c r="P1" t="s">
        <v>803</v>
      </c>
      <c r="Q1" t="s">
        <v>693</v>
      </c>
      <c r="R1" t="s">
        <v>694</v>
      </c>
      <c r="S1" t="s">
        <v>15</v>
      </c>
      <c r="T1" t="s">
        <v>804</v>
      </c>
      <c r="U1" t="s">
        <v>606</v>
      </c>
      <c r="V1" t="s">
        <v>16</v>
      </c>
      <c r="W1" t="s">
        <v>695</v>
      </c>
      <c r="X1" t="s">
        <v>696</v>
      </c>
      <c r="Y1" t="s">
        <v>697</v>
      </c>
      <c r="Z1" t="s">
        <v>698</v>
      </c>
      <c r="AA1" t="s">
        <v>699</v>
      </c>
      <c r="AB1" t="s">
        <v>805</v>
      </c>
      <c r="AC1" t="s">
        <v>700</v>
      </c>
      <c r="AD1" t="s">
        <v>701</v>
      </c>
      <c r="AE1" t="s">
        <v>17</v>
      </c>
      <c r="AF1" t="s">
        <v>18</v>
      </c>
      <c r="AG1" t="s">
        <v>806</v>
      </c>
      <c r="AH1" t="s">
        <v>702</v>
      </c>
      <c r="AI1" t="s">
        <v>807</v>
      </c>
      <c r="AJ1" t="s">
        <v>19</v>
      </c>
      <c r="AK1" t="s">
        <v>808</v>
      </c>
      <c r="AL1" t="s">
        <v>216</v>
      </c>
      <c r="AM1" t="s">
        <v>809</v>
      </c>
      <c r="AN1" t="s">
        <v>810</v>
      </c>
      <c r="AO1" t="s">
        <v>811</v>
      </c>
      <c r="AP1" t="s">
        <v>812</v>
      </c>
      <c r="AQ1" t="s">
        <v>813</v>
      </c>
      <c r="AR1" t="s">
        <v>814</v>
      </c>
      <c r="AS1" t="s">
        <v>815</v>
      </c>
      <c r="AT1" t="s">
        <v>816</v>
      </c>
      <c r="AU1" t="s">
        <v>817</v>
      </c>
      <c r="AV1" t="s">
        <v>818</v>
      </c>
      <c r="AW1" t="s">
        <v>819</v>
      </c>
      <c r="AX1" t="s">
        <v>703</v>
      </c>
      <c r="AY1" t="s">
        <v>217</v>
      </c>
      <c r="AZ1" t="s">
        <v>218</v>
      </c>
      <c r="BA1" t="s">
        <v>219</v>
      </c>
      <c r="BB1" t="s">
        <v>220</v>
      </c>
      <c r="BC1" t="s">
        <v>607</v>
      </c>
      <c r="BD1" t="s">
        <v>221</v>
      </c>
      <c r="BE1" t="s">
        <v>222</v>
      </c>
      <c r="BF1" t="s">
        <v>223</v>
      </c>
      <c r="BG1" t="s">
        <v>224</v>
      </c>
      <c r="BH1" t="s">
        <v>820</v>
      </c>
      <c r="BI1" t="s">
        <v>821</v>
      </c>
      <c r="BJ1" t="s">
        <v>822</v>
      </c>
      <c r="BK1" t="s">
        <v>823</v>
      </c>
      <c r="BL1" t="s">
        <v>824</v>
      </c>
      <c r="BM1" t="s">
        <v>825</v>
      </c>
      <c r="BN1" t="s">
        <v>704</v>
      </c>
      <c r="BO1" t="s">
        <v>608</v>
      </c>
      <c r="BP1" t="s">
        <v>225</v>
      </c>
      <c r="BQ1" t="s">
        <v>705</v>
      </c>
      <c r="BR1" t="s">
        <v>609</v>
      </c>
      <c r="BS1" t="s">
        <v>226</v>
      </c>
      <c r="BT1" t="s">
        <v>826</v>
      </c>
      <c r="BU1" t="s">
        <v>706</v>
      </c>
      <c r="BV1" t="s">
        <v>827</v>
      </c>
      <c r="BW1" t="s">
        <v>293</v>
      </c>
      <c r="BX1" t="s">
        <v>227</v>
      </c>
      <c r="BY1" t="s">
        <v>828</v>
      </c>
      <c r="BZ1" t="s">
        <v>294</v>
      </c>
      <c r="CA1" t="s">
        <v>228</v>
      </c>
      <c r="CB1" t="s">
        <v>829</v>
      </c>
      <c r="CC1" t="s">
        <v>830</v>
      </c>
      <c r="CD1" t="s">
        <v>831</v>
      </c>
      <c r="CE1" t="s">
        <v>832</v>
      </c>
      <c r="CF1" s="1" t="s">
        <v>707</v>
      </c>
      <c r="CG1" s="1" t="s">
        <v>708</v>
      </c>
      <c r="CH1" s="1" t="s">
        <v>280</v>
      </c>
      <c r="CI1" s="1" t="s">
        <v>281</v>
      </c>
      <c r="CJ1" s="1" t="s">
        <v>282</v>
      </c>
      <c r="CK1" s="1" t="s">
        <v>283</v>
      </c>
      <c r="CL1" s="1" t="s">
        <v>284</v>
      </c>
      <c r="CM1" s="1" t="s">
        <v>285</v>
      </c>
      <c r="CN1" s="1" t="s">
        <v>286</v>
      </c>
      <c r="CO1" s="1" t="s">
        <v>287</v>
      </c>
      <c r="CP1" s="1" t="s">
        <v>288</v>
      </c>
      <c r="CQ1" s="1" t="s">
        <v>289</v>
      </c>
      <c r="CR1" s="1" t="s">
        <v>841</v>
      </c>
      <c r="CS1" s="1" t="s">
        <v>842</v>
      </c>
      <c r="CT1" s="1" t="s">
        <v>833</v>
      </c>
      <c r="CU1" s="1" t="s">
        <v>843</v>
      </c>
      <c r="CV1" s="1" t="s">
        <v>834</v>
      </c>
      <c r="CW1" s="1" t="s">
        <v>844</v>
      </c>
      <c r="CX1">
        <v>1</v>
      </c>
      <c r="CY1" t="s">
        <v>835</v>
      </c>
      <c r="CZ1" t="s">
        <v>836</v>
      </c>
      <c r="DA1">
        <v>3</v>
      </c>
      <c r="DB1" t="s">
        <v>837</v>
      </c>
      <c r="DC1" t="s">
        <v>845</v>
      </c>
      <c r="DD1">
        <v>6</v>
      </c>
      <c r="DE1" t="s">
        <v>846</v>
      </c>
      <c r="DF1" t="s">
        <v>847</v>
      </c>
      <c r="DG1">
        <v>10</v>
      </c>
      <c r="DH1" t="s">
        <v>848</v>
      </c>
      <c r="DI1" t="s">
        <v>849</v>
      </c>
      <c r="DJ1">
        <v>20</v>
      </c>
      <c r="DK1" t="s">
        <v>850</v>
      </c>
      <c r="DL1" t="s">
        <v>290</v>
      </c>
      <c r="DM1" t="s">
        <v>291</v>
      </c>
      <c r="DN1" s="2" t="s">
        <v>292</v>
      </c>
      <c r="DO1" t="s">
        <v>838</v>
      </c>
      <c r="DP1" t="s">
        <v>851</v>
      </c>
      <c r="DQ1" s="9" t="s">
        <v>852</v>
      </c>
      <c r="DR1" s="1" t="s">
        <v>853</v>
      </c>
      <c r="DS1" s="1" t="s">
        <v>709</v>
      </c>
      <c r="DT1" t="s">
        <v>854</v>
      </c>
      <c r="DU1" t="s">
        <v>710</v>
      </c>
      <c r="DV1" t="s">
        <v>855</v>
      </c>
      <c r="DW1" t="s">
        <v>856</v>
      </c>
      <c r="DX1" t="s">
        <v>857</v>
      </c>
      <c r="DY1" t="s">
        <v>711</v>
      </c>
      <c r="DZ1" t="s">
        <v>858</v>
      </c>
      <c r="EA1" t="s">
        <v>859</v>
      </c>
      <c r="EB1" t="s">
        <v>860</v>
      </c>
      <c r="EC1" t="s">
        <v>861</v>
      </c>
      <c r="ED1" t="s">
        <v>862</v>
      </c>
      <c r="EE1" t="s">
        <v>863</v>
      </c>
      <c r="EF1" t="s">
        <v>864</v>
      </c>
      <c r="EG1" t="s">
        <v>865</v>
      </c>
      <c r="EH1" t="s">
        <v>866</v>
      </c>
      <c r="EI1" t="s">
        <v>867</v>
      </c>
      <c r="EK1" s="10" t="s">
        <v>868</v>
      </c>
      <c r="EL1" t="s">
        <v>839</v>
      </c>
      <c r="EM1" t="s">
        <v>840</v>
      </c>
      <c r="EN1" t="s">
        <v>869</v>
      </c>
      <c r="EO1" t="s">
        <v>712</v>
      </c>
      <c r="EP1" t="s">
        <v>713</v>
      </c>
    </row>
    <row r="2" spans="1:146" ht="96" x14ac:dyDescent="0.25">
      <c r="A2" s="7"/>
      <c r="B2" s="7"/>
      <c r="C2" s="7" t="str">
        <f>""&amp;CHAR(10)&amp;Basic_Fundamental_Information_Constructure(F2)&amp;CHAR(10)&amp;Basic_Fundamental_Information_Concatenate("")</f>
        <v xml:space="preserve">
市值273.87034亿, 利润-2.50亿; PE; 平均PE45.21; 平均PEG6.03, PB2.23; ROIC3.35%; ROE.3367%; 股利率0%; 毛利22.5767%; 净利-.35%; 上一年度营收增-81.02%, 利润增-303.25%; 当季营收增-46.87%, 利润增60.53%; 过往5年营收增-7.49%, 利润增-87.11%
Income profile:
</v>
      </c>
      <c r="D2" t="s">
        <v>301</v>
      </c>
      <c r="E2" t="s">
        <v>302</v>
      </c>
      <c r="F2">
        <v>8.49</v>
      </c>
      <c r="G2">
        <v>1.8</v>
      </c>
      <c r="H2" t="s">
        <v>1273</v>
      </c>
      <c r="I2">
        <v>27387034000</v>
      </c>
      <c r="K2">
        <v>2.23</v>
      </c>
      <c r="L2" t="s">
        <v>303</v>
      </c>
      <c r="M2" t="s">
        <v>1274</v>
      </c>
      <c r="N2" t="s">
        <v>1275</v>
      </c>
      <c r="O2" t="s">
        <v>1276</v>
      </c>
      <c r="P2">
        <v>21.13</v>
      </c>
      <c r="Q2" t="s">
        <v>1276</v>
      </c>
      <c r="R2">
        <v>-249815520</v>
      </c>
      <c r="S2" s="5">
        <v>0.18149999999999999</v>
      </c>
      <c r="T2" t="s">
        <v>1277</v>
      </c>
      <c r="U2">
        <v>3146793300</v>
      </c>
      <c r="V2">
        <v>3225799100</v>
      </c>
      <c r="W2">
        <v>2.52</v>
      </c>
      <c r="X2">
        <v>0.08</v>
      </c>
      <c r="Y2">
        <v>-9.3699999999999992</v>
      </c>
      <c r="Z2" t="s">
        <v>1278</v>
      </c>
      <c r="AA2" t="s">
        <v>1279</v>
      </c>
      <c r="AB2" t="s">
        <v>1136</v>
      </c>
      <c r="AC2" t="s">
        <v>123</v>
      </c>
      <c r="AD2" t="s">
        <v>5</v>
      </c>
      <c r="AE2">
        <v>60348581</v>
      </c>
      <c r="AF2" t="s">
        <v>1280</v>
      </c>
      <c r="AG2" t="s">
        <v>1281</v>
      </c>
      <c r="AH2" t="s">
        <v>1282</v>
      </c>
      <c r="AI2" t="s">
        <v>1283</v>
      </c>
      <c r="AJ2" t="s">
        <v>1284</v>
      </c>
      <c r="AK2" t="s">
        <v>621</v>
      </c>
      <c r="AL2" t="s">
        <v>1285</v>
      </c>
      <c r="AM2" t="s">
        <v>5</v>
      </c>
      <c r="AN2" t="s">
        <v>1110</v>
      </c>
      <c r="AO2" t="s">
        <v>1248</v>
      </c>
      <c r="AP2" t="s">
        <v>1286</v>
      </c>
      <c r="AQ2" t="s">
        <v>1287</v>
      </c>
      <c r="AR2" t="s">
        <v>1288</v>
      </c>
      <c r="AS2" t="s">
        <v>1289</v>
      </c>
      <c r="AT2" t="s">
        <v>1290</v>
      </c>
      <c r="AU2" t="s">
        <v>1291</v>
      </c>
      <c r="AV2" t="s">
        <v>1292</v>
      </c>
      <c r="AW2" t="s">
        <v>1293</v>
      </c>
      <c r="AX2" t="s">
        <v>901</v>
      </c>
      <c r="AY2" t="s">
        <v>610</v>
      </c>
      <c r="AZ2" t="s">
        <v>304</v>
      </c>
      <c r="BA2" t="s">
        <v>306</v>
      </c>
      <c r="BB2" t="s">
        <v>307</v>
      </c>
      <c r="BC2" t="s">
        <v>136</v>
      </c>
      <c r="BD2" t="s">
        <v>611</v>
      </c>
      <c r="BE2" t="s">
        <v>305</v>
      </c>
      <c r="BF2" t="s">
        <v>308</v>
      </c>
      <c r="BG2" t="s">
        <v>268</v>
      </c>
      <c r="BH2" t="s">
        <v>1294</v>
      </c>
      <c r="BI2" t="s">
        <v>1005</v>
      </c>
      <c r="BJ2" t="s">
        <v>901</v>
      </c>
      <c r="BK2" t="s">
        <v>1295</v>
      </c>
      <c r="BL2" t="s">
        <v>1006</v>
      </c>
      <c r="BM2" t="s">
        <v>136</v>
      </c>
      <c r="BN2" t="s">
        <v>5</v>
      </c>
      <c r="BO2">
        <v>1.91</v>
      </c>
      <c r="BP2">
        <v>4.79</v>
      </c>
      <c r="BQ2">
        <v>-6.26</v>
      </c>
      <c r="BR2">
        <v>0.9</v>
      </c>
      <c r="BS2">
        <v>6.37</v>
      </c>
      <c r="BT2" t="s">
        <v>873</v>
      </c>
      <c r="BU2" t="s">
        <v>1296</v>
      </c>
      <c r="BV2">
        <v>21.62</v>
      </c>
      <c r="BW2">
        <v>25.21</v>
      </c>
      <c r="BX2">
        <v>20.9</v>
      </c>
      <c r="BY2">
        <v>-6.5</v>
      </c>
      <c r="BZ2">
        <v>1.61</v>
      </c>
      <c r="CA2">
        <v>3.84</v>
      </c>
      <c r="CB2">
        <v>-2.97</v>
      </c>
      <c r="CC2">
        <v>-9.8699999999999992</v>
      </c>
      <c r="CD2" t="s">
        <v>90</v>
      </c>
      <c r="CE2" t="s">
        <v>1297</v>
      </c>
      <c r="CF2" s="11">
        <v>-0.46867517956903432</v>
      </c>
      <c r="CG2" s="12">
        <v>0.6053467298578199</v>
      </c>
      <c r="CH2" s="11">
        <v>-0.81015181541442871</v>
      </c>
      <c r="CI2" s="11">
        <v>-0.21152329444885254</v>
      </c>
      <c r="CJ2" s="11">
        <v>0.23148268461227417</v>
      </c>
      <c r="CK2" s="11">
        <v>0.33216524124145508</v>
      </c>
      <c r="CL2" s="11">
        <v>8.3424948155879974E-2</v>
      </c>
      <c r="CM2" s="12">
        <v>-3.0325202941894531</v>
      </c>
      <c r="CN2" s="12">
        <v>-0.79431438446044922</v>
      </c>
      <c r="CO2" s="12">
        <v>-0.35560345649719238</v>
      </c>
      <c r="CP2" s="12">
        <v>-0.16771304607391357</v>
      </c>
      <c r="CQ2" s="12">
        <v>-5.352250300347805E-3</v>
      </c>
      <c r="CR2">
        <v>45.205558184319116</v>
      </c>
      <c r="CS2">
        <v>6.0338078443794201</v>
      </c>
      <c r="CT2">
        <v>0</v>
      </c>
      <c r="CU2" s="11">
        <v>-7.49204471707344E-2</v>
      </c>
      <c r="CV2" s="12">
        <v>-0.87110068630427118</v>
      </c>
      <c r="CW2">
        <v>0.06</v>
      </c>
      <c r="CX2" t="e">
        <v>#VALUE!</v>
      </c>
      <c r="CY2" t="s">
        <v>740</v>
      </c>
      <c r="CZ2">
        <v>-7.49204471707344E-2</v>
      </c>
      <c r="DA2" t="e">
        <v>#VALUE!</v>
      </c>
      <c r="DB2" t="s">
        <v>741</v>
      </c>
      <c r="DC2">
        <v>-7.117442481219767E-2</v>
      </c>
      <c r="DD2" t="e">
        <v>#VALUE!</v>
      </c>
      <c r="DE2" t="s">
        <v>741</v>
      </c>
      <c r="DF2">
        <v>-6.5929993510246268E-2</v>
      </c>
      <c r="DG2" t="e">
        <v>#VALUE!</v>
      </c>
      <c r="DH2" t="s">
        <v>741</v>
      </c>
      <c r="DI2">
        <v>-5.9936357736587523E-2</v>
      </c>
      <c r="DJ2" t="e">
        <v>#VALUE!</v>
      </c>
      <c r="DK2" t="s">
        <v>741</v>
      </c>
      <c r="DL2">
        <v>-5.2444313019514077E-2</v>
      </c>
      <c r="DM2">
        <v>-250000000</v>
      </c>
      <c r="DN2">
        <v>-7.49204471707344E-2</v>
      </c>
      <c r="DO2">
        <v>34135034000</v>
      </c>
      <c r="DP2">
        <v>10181489000</v>
      </c>
      <c r="DQ2">
        <v>46</v>
      </c>
      <c r="DR2">
        <v>-0.39375473239829994</v>
      </c>
      <c r="DS2">
        <v>1.4764474161620911</v>
      </c>
      <c r="DT2" s="13">
        <v>-0.67333333333333334</v>
      </c>
      <c r="DU2">
        <v>-2.1983333333333337</v>
      </c>
      <c r="DV2">
        <v>-2.871666666666667</v>
      </c>
      <c r="DW2">
        <v>-8.3009118541033438</v>
      </c>
      <c r="DX2">
        <v>0.34445378151260453</v>
      </c>
      <c r="DY2">
        <v>-8.0404587366861637</v>
      </c>
      <c r="DZ2">
        <v>4698</v>
      </c>
      <c r="EA2">
        <v>-8.0032620351300778</v>
      </c>
      <c r="EB2">
        <v>8</v>
      </c>
      <c r="EC2">
        <v>3.4720079127060335E-2</v>
      </c>
      <c r="ED2">
        <v>0.25823058850751118</v>
      </c>
      <c r="EE2" s="14">
        <v>-2.0701100000000001</v>
      </c>
      <c r="EF2">
        <v>-2.0849099999999998</v>
      </c>
      <c r="EG2">
        <v>21.134453781512605</v>
      </c>
      <c r="EH2" t="s">
        <v>1075</v>
      </c>
      <c r="EI2">
        <v>0</v>
      </c>
      <c r="EJ2">
        <v>0</v>
      </c>
      <c r="EK2" s="10">
        <v>45470</v>
      </c>
      <c r="EL2" s="15">
        <v>-0.55000000000000004</v>
      </c>
      <c r="EM2" s="15">
        <v>-2.54</v>
      </c>
      <c r="EN2" s="15">
        <v>-3.85</v>
      </c>
      <c r="EO2" s="15">
        <v>3.66</v>
      </c>
      <c r="EP2" s="15">
        <v>-1.48</v>
      </c>
    </row>
    <row r="3" spans="1:146" ht="108" x14ac:dyDescent="0.25">
      <c r="A3" s="7"/>
      <c r="B3" s="7"/>
      <c r="C3" s="7" t="str">
        <f>""&amp;CHAR(10)&amp;Basic_Fundamental_Information_Constructure(F3)&amp;CHAR(10)&amp;Basic_Fundamental_Information_Concatenate("")</f>
        <v xml:space="preserve">
市值549.54804亿, 利润3.06亿; PE28.88; 平均PE44.26; 平均PEG6.83, PB3.01; ROIC7.38%; ROE10.2767%; 股利率.3482%; 毛利10.8867%; 净利2.9067%; 上一年度营收增-74.72%, 利润增-85.33%; 当季营收增-29%, 利润增-5.7%; 过往5年营收增-6.48%, 利润增10.84%
Income profile:
</v>
      </c>
      <c r="D3" t="s">
        <v>309</v>
      </c>
      <c r="E3" t="s">
        <v>310</v>
      </c>
      <c r="F3">
        <v>37.33</v>
      </c>
      <c r="G3">
        <v>2.87</v>
      </c>
      <c r="H3" t="s">
        <v>1298</v>
      </c>
      <c r="I3">
        <v>54954804000</v>
      </c>
      <c r="J3">
        <v>28.88</v>
      </c>
      <c r="K3">
        <v>3.01</v>
      </c>
      <c r="L3" t="s">
        <v>303</v>
      </c>
      <c r="M3" t="s">
        <v>1299</v>
      </c>
      <c r="N3" t="s">
        <v>1300</v>
      </c>
      <c r="O3" t="s">
        <v>1301</v>
      </c>
      <c r="P3">
        <v>85.32</v>
      </c>
      <c r="Q3" t="s">
        <v>1301</v>
      </c>
      <c r="R3">
        <v>306458770</v>
      </c>
      <c r="S3" s="5">
        <v>0.64390000000000003</v>
      </c>
      <c r="T3" t="s">
        <v>1007</v>
      </c>
      <c r="U3">
        <v>1470243700</v>
      </c>
      <c r="V3">
        <v>1472135100</v>
      </c>
      <c r="W3">
        <v>2.68</v>
      </c>
      <c r="X3">
        <v>0.36</v>
      </c>
      <c r="Y3">
        <v>1.68</v>
      </c>
      <c r="Z3" t="s">
        <v>1302</v>
      </c>
      <c r="AA3" t="s">
        <v>1303</v>
      </c>
      <c r="AB3" t="s">
        <v>213</v>
      </c>
      <c r="AC3" t="s">
        <v>45</v>
      </c>
      <c r="AD3" t="s">
        <v>5</v>
      </c>
      <c r="AE3">
        <v>1798328</v>
      </c>
      <c r="AF3" t="s">
        <v>1304</v>
      </c>
      <c r="AG3" t="s">
        <v>1305</v>
      </c>
      <c r="AH3" t="s">
        <v>1306</v>
      </c>
      <c r="AI3" t="s">
        <v>1307</v>
      </c>
      <c r="AJ3" t="s">
        <v>1308</v>
      </c>
      <c r="AK3" t="s">
        <v>1309</v>
      </c>
      <c r="AL3" t="s">
        <v>1310</v>
      </c>
      <c r="AM3" t="s">
        <v>5</v>
      </c>
      <c r="AN3" t="s">
        <v>159</v>
      </c>
      <c r="AO3" t="s">
        <v>1065</v>
      </c>
      <c r="AP3" t="s">
        <v>1222</v>
      </c>
      <c r="AQ3" t="s">
        <v>1311</v>
      </c>
      <c r="AR3" t="s">
        <v>5</v>
      </c>
      <c r="AS3" t="s">
        <v>1312</v>
      </c>
      <c r="AT3" t="s">
        <v>1313</v>
      </c>
      <c r="AU3" t="s">
        <v>1314</v>
      </c>
      <c r="AV3" t="s">
        <v>1315</v>
      </c>
      <c r="AW3" t="s">
        <v>1316</v>
      </c>
      <c r="AX3" t="s">
        <v>1317</v>
      </c>
      <c r="AY3" t="s">
        <v>612</v>
      </c>
      <c r="AZ3" t="s">
        <v>311</v>
      </c>
      <c r="BA3" t="s">
        <v>314</v>
      </c>
      <c r="BB3" t="s">
        <v>315</v>
      </c>
      <c r="BC3" t="s">
        <v>1318</v>
      </c>
      <c r="BD3" t="s">
        <v>613</v>
      </c>
      <c r="BE3" t="s">
        <v>312</v>
      </c>
      <c r="BF3" t="s">
        <v>316</v>
      </c>
      <c r="BG3" t="s">
        <v>231</v>
      </c>
      <c r="BH3" t="s">
        <v>1319</v>
      </c>
      <c r="BI3" t="s">
        <v>1008</v>
      </c>
      <c r="BJ3" t="s">
        <v>1317</v>
      </c>
      <c r="BK3" t="s">
        <v>1320</v>
      </c>
      <c r="BL3" t="s">
        <v>112</v>
      </c>
      <c r="BM3" t="s">
        <v>1318</v>
      </c>
      <c r="BN3">
        <v>2.1</v>
      </c>
      <c r="BO3">
        <v>9.32</v>
      </c>
      <c r="BP3">
        <v>10.72</v>
      </c>
      <c r="BQ3">
        <v>4.37</v>
      </c>
      <c r="BR3">
        <v>13.39</v>
      </c>
      <c r="BS3">
        <v>13.07</v>
      </c>
      <c r="BT3" t="s">
        <v>1321</v>
      </c>
      <c r="BU3" t="s">
        <v>1296</v>
      </c>
      <c r="BV3">
        <v>10.039999999999999</v>
      </c>
      <c r="BW3">
        <v>11.18</v>
      </c>
      <c r="BX3">
        <v>11.44</v>
      </c>
      <c r="BY3">
        <v>2.73</v>
      </c>
      <c r="BZ3">
        <v>2.96</v>
      </c>
      <c r="CA3">
        <v>3.03</v>
      </c>
      <c r="CB3">
        <v>2.64</v>
      </c>
      <c r="CC3">
        <v>-4.01</v>
      </c>
      <c r="CD3" t="s">
        <v>119</v>
      </c>
      <c r="CE3" t="s">
        <v>1322</v>
      </c>
      <c r="CF3" s="11">
        <v>-0.28998306315025407</v>
      </c>
      <c r="CG3" s="12">
        <v>-5.7049938461538462E-2</v>
      </c>
      <c r="CH3" s="11">
        <v>-0.74715298414230347</v>
      </c>
      <c r="CI3" s="11">
        <v>3.8584247231483459E-2</v>
      </c>
      <c r="CJ3" s="11">
        <v>6.3612431287765503E-2</v>
      </c>
      <c r="CK3" s="11">
        <v>0.22041313350200653</v>
      </c>
      <c r="CL3" s="11">
        <v>0.10038135945796967</v>
      </c>
      <c r="CM3" s="12">
        <v>-0.85330778360366821</v>
      </c>
      <c r="CN3" s="12">
        <v>4.143780842423439E-2</v>
      </c>
      <c r="CO3" s="12">
        <v>0.36630290746688843</v>
      </c>
      <c r="CP3" s="12">
        <v>0.57804089784622192</v>
      </c>
      <c r="CQ3" s="12">
        <v>0.40971168875694275</v>
      </c>
      <c r="CR3">
        <v>44.264844140153038</v>
      </c>
      <c r="CS3">
        <v>6.827584621474255</v>
      </c>
      <c r="CT3">
        <v>0.34824537905170105</v>
      </c>
      <c r="CU3" s="11">
        <v>-6.4832362532615664E-2</v>
      </c>
      <c r="CV3" s="12">
        <v>0.10843710377812385</v>
      </c>
      <c r="CW3">
        <v>0.06</v>
      </c>
      <c r="CX3">
        <v>216.26406535947712</v>
      </c>
      <c r="CY3" t="s">
        <v>1323</v>
      </c>
      <c r="CZ3">
        <v>-6.4832362532615664E-2</v>
      </c>
      <c r="DA3">
        <v>72.088021786492376</v>
      </c>
      <c r="DB3" t="s">
        <v>1324</v>
      </c>
      <c r="DC3">
        <v>-6.159074440598488E-2</v>
      </c>
      <c r="DD3">
        <v>36.044010893246188</v>
      </c>
      <c r="DE3" t="s">
        <v>1325</v>
      </c>
      <c r="DF3">
        <v>-5.7052479028701787E-2</v>
      </c>
      <c r="DG3">
        <v>21.626406535947712</v>
      </c>
      <c r="DH3" t="s">
        <v>1326</v>
      </c>
      <c r="DI3">
        <v>-5.1865890026092536E-2</v>
      </c>
      <c r="DJ3">
        <v>10.813203267973856</v>
      </c>
      <c r="DK3" t="s">
        <v>1327</v>
      </c>
      <c r="DL3">
        <v>-4.5382653772830961E-2</v>
      </c>
      <c r="DM3">
        <v>306000000</v>
      </c>
      <c r="DN3">
        <v>-6.4832362532615664E-2</v>
      </c>
      <c r="DO3">
        <v>66176804000</v>
      </c>
      <c r="DP3">
        <v>23107743000</v>
      </c>
      <c r="DQ3">
        <v>412</v>
      </c>
      <c r="DR3">
        <v>-0.22515070061763842</v>
      </c>
      <c r="DS3">
        <v>-0.16548704223966232</v>
      </c>
      <c r="DT3" s="13">
        <v>-0.65666666666666662</v>
      </c>
      <c r="DU3">
        <v>1.6666666666666607E-2</v>
      </c>
      <c r="DV3">
        <v>-0.64</v>
      </c>
      <c r="DW3">
        <v>6.3969924812030072</v>
      </c>
      <c r="DX3">
        <v>0.62343601895734335</v>
      </c>
      <c r="DY3">
        <v>6.0609129458717881</v>
      </c>
      <c r="DZ3">
        <v>1158</v>
      </c>
      <c r="EA3">
        <v>6.047109190231958</v>
      </c>
      <c r="EB3">
        <v>6</v>
      </c>
      <c r="EC3">
        <v>0.17593493966688248</v>
      </c>
      <c r="ED3">
        <v>1.1466338925007631</v>
      </c>
      <c r="EE3" s="14">
        <v>2.0752999999999999</v>
      </c>
      <c r="EF3">
        <v>2.0543</v>
      </c>
      <c r="EG3">
        <v>47.153436018957343</v>
      </c>
      <c r="EH3" t="s">
        <v>744</v>
      </c>
      <c r="EI3">
        <v>0</v>
      </c>
      <c r="EJ3">
        <v>1</v>
      </c>
      <c r="EK3" s="10">
        <v>45470</v>
      </c>
      <c r="EL3" s="15">
        <v>0.59</v>
      </c>
      <c r="EM3" s="15">
        <v>-4.62</v>
      </c>
      <c r="EN3" s="15">
        <v>-3.06</v>
      </c>
      <c r="EO3" s="15">
        <v>5.28</v>
      </c>
      <c r="EP3" s="15">
        <v>-2.1</v>
      </c>
    </row>
    <row r="4" spans="1:146" ht="216" x14ac:dyDescent="0.25">
      <c r="A4" s="7"/>
      <c r="B4" s="7"/>
      <c r="C4" s="7" t="str">
        <f>"公司的主营业务是智能终端集群和行业数字化集群两个板块。公司的主要产品包括商户运营及增值服务、电子支付产品及信息识读产品、行业应用与软件开发及服务"&amp;CHAR(10)&amp;Basic_Fundamental_Information_Constructure(F4)&amp;CHAR(10)&amp;Basic_Fundamental_Information_Concatenate("商户运营及增值服务 18.05亿 47.03% 7.42亿 46.20% 41.08%
电子支付产品及信息识读产品 15.32亿 39.92% 5.87亿 36.56% 38.31%
行业应用与软件开发及服务 4.94亿 12.87% 2.33亿 14.53% 47.20%
其他 656.92万 0.17% 4356.81万 2.71% 663.22%")</f>
        <v>公司的主营业务是智能终端集群和行业数字化集群两个板块。公司的主要产品包括商户运营及增值服务、电子支付产品及信息识读产品、行业应用与软件开发及服务
市值140.9798亿, 利润2.49亿; PE14.79; 平均PE36.75; 平均PEG3.07, PB2.12; ROIC10.395%; ROE6.2267%; 股利率1.6105%; 毛利28.9767%; 净利6.3033%; 上一年度营收增-75.92%, 利润增165.18%; 当季营收增-54.59%, 利润增-56.01%; 过往5年营收增-11.98%, 利润增9.92%
Income profile:
商户运营及增值服务 18.05亿 47.03% 7.42亿 46.20% 41.08%
电子支付产品及信息识读产品 15.32亿 39.92% 5.87亿 36.56% 38.31%
行业应用与软件开发及服务 4.94亿 12.87% 2.33亿 14.53% 47.20%
其他 656.92万 0.17% 4356.81万 2.71% 663.22%</v>
      </c>
      <c r="D4" t="s">
        <v>317</v>
      </c>
      <c r="E4" t="s">
        <v>318</v>
      </c>
      <c r="F4">
        <v>13.66</v>
      </c>
      <c r="G4">
        <v>0.89</v>
      </c>
      <c r="H4" t="s">
        <v>1328</v>
      </c>
      <c r="I4">
        <v>14097980000</v>
      </c>
      <c r="J4">
        <v>14.79</v>
      </c>
      <c r="K4">
        <v>2.12</v>
      </c>
      <c r="L4" t="s">
        <v>303</v>
      </c>
      <c r="M4" t="s">
        <v>1329</v>
      </c>
      <c r="N4" t="s">
        <v>1330</v>
      </c>
      <c r="O4" t="s">
        <v>1331</v>
      </c>
      <c r="P4">
        <v>-8.7899999999999991</v>
      </c>
      <c r="Q4" t="s">
        <v>1331</v>
      </c>
      <c r="R4">
        <v>248528170</v>
      </c>
      <c r="S4" s="5">
        <v>-0.16930000000000001</v>
      </c>
      <c r="T4" t="s">
        <v>143</v>
      </c>
      <c r="U4">
        <v>1026361150</v>
      </c>
      <c r="V4">
        <v>1032062940</v>
      </c>
      <c r="W4">
        <v>1.75</v>
      </c>
      <c r="X4">
        <v>0.13</v>
      </c>
      <c r="Y4">
        <v>16.7</v>
      </c>
      <c r="Z4" t="s">
        <v>1332</v>
      </c>
      <c r="AA4" t="s">
        <v>1262</v>
      </c>
      <c r="AB4" t="s">
        <v>1333</v>
      </c>
      <c r="AC4" t="s">
        <v>90</v>
      </c>
      <c r="AD4" t="s">
        <v>5</v>
      </c>
      <c r="AE4">
        <v>-33840862</v>
      </c>
      <c r="AF4" t="s">
        <v>1334</v>
      </c>
      <c r="AG4" t="s">
        <v>1335</v>
      </c>
      <c r="AH4" t="s">
        <v>1336</v>
      </c>
      <c r="AI4" t="s">
        <v>1337</v>
      </c>
      <c r="AJ4" t="s">
        <v>1338</v>
      </c>
      <c r="AK4" t="s">
        <v>5</v>
      </c>
      <c r="AL4" t="s">
        <v>1339</v>
      </c>
      <c r="AM4" t="s">
        <v>5</v>
      </c>
      <c r="AN4" t="s">
        <v>1340</v>
      </c>
      <c r="AO4" t="s">
        <v>1341</v>
      </c>
      <c r="AP4" t="s">
        <v>749</v>
      </c>
      <c r="AQ4" t="s">
        <v>1342</v>
      </c>
      <c r="AR4" t="s">
        <v>5</v>
      </c>
      <c r="AS4" t="s">
        <v>1343</v>
      </c>
      <c r="AT4" t="s">
        <v>5</v>
      </c>
      <c r="AU4" t="s">
        <v>1344</v>
      </c>
      <c r="AV4" t="s">
        <v>1345</v>
      </c>
      <c r="AW4" t="s">
        <v>1346</v>
      </c>
      <c r="AX4" t="s">
        <v>1347</v>
      </c>
      <c r="AY4" t="s">
        <v>903</v>
      </c>
      <c r="AZ4" t="s">
        <v>904</v>
      </c>
      <c r="BA4" t="s">
        <v>319</v>
      </c>
      <c r="BB4" t="s">
        <v>320</v>
      </c>
      <c r="BC4" t="s">
        <v>902</v>
      </c>
      <c r="BD4" t="s">
        <v>614</v>
      </c>
      <c r="BE4" t="s">
        <v>230</v>
      </c>
      <c r="BF4" t="s">
        <v>256</v>
      </c>
      <c r="BG4" t="s">
        <v>49</v>
      </c>
      <c r="BH4" t="s">
        <v>1348</v>
      </c>
      <c r="BI4" t="s">
        <v>1011</v>
      </c>
      <c r="BJ4" t="s">
        <v>1347</v>
      </c>
      <c r="BK4" t="s">
        <v>253</v>
      </c>
      <c r="BL4" t="s">
        <v>1012</v>
      </c>
      <c r="BM4" t="s">
        <v>902</v>
      </c>
      <c r="BN4">
        <v>10.79</v>
      </c>
      <c r="BO4" t="s">
        <v>5</v>
      </c>
      <c r="BP4">
        <v>10</v>
      </c>
      <c r="BQ4">
        <v>13.63</v>
      </c>
      <c r="BR4">
        <v>-6.42</v>
      </c>
      <c r="BS4">
        <v>11.47</v>
      </c>
      <c r="BT4" t="s">
        <v>1203</v>
      </c>
      <c r="BU4" t="s">
        <v>1296</v>
      </c>
      <c r="BV4">
        <v>35.25</v>
      </c>
      <c r="BW4">
        <v>25.68</v>
      </c>
      <c r="BX4">
        <v>26</v>
      </c>
      <c r="BY4">
        <v>13.48</v>
      </c>
      <c r="BZ4">
        <v>-5.25</v>
      </c>
      <c r="CA4">
        <v>10.68</v>
      </c>
      <c r="CB4">
        <v>-1.8</v>
      </c>
      <c r="CC4">
        <v>-11.01</v>
      </c>
      <c r="CD4" t="s">
        <v>1349</v>
      </c>
      <c r="CE4" t="s">
        <v>80</v>
      </c>
      <c r="CF4" s="11">
        <v>-0.54586636466591165</v>
      </c>
      <c r="CG4" s="12">
        <v>-0.56012713274336279</v>
      </c>
      <c r="CH4" s="11">
        <v>-0.75919538736343384</v>
      </c>
      <c r="CI4" s="11">
        <v>-5.2758790552616119E-2</v>
      </c>
      <c r="CJ4" s="11">
        <v>0.10618212819099426</v>
      </c>
      <c r="CK4" s="11">
        <v>0.12892916798591614</v>
      </c>
      <c r="CL4" s="11">
        <v>-2.2395823150873184E-2</v>
      </c>
      <c r="CM4" s="12">
        <v>1.6518324613571167</v>
      </c>
      <c r="CN4" s="12">
        <v>-1.5426136255264282</v>
      </c>
      <c r="CO4" s="12">
        <v>0.55066078901290894</v>
      </c>
      <c r="CP4" s="12">
        <v>-0.34298118948936462</v>
      </c>
      <c r="CQ4" s="12">
        <v>0.17918089032173157</v>
      </c>
      <c r="CR4">
        <v>36.745386620330144</v>
      </c>
      <c r="CS4">
        <v>3.0660057770362625</v>
      </c>
      <c r="CT4">
        <v>1.6105417276720353</v>
      </c>
      <c r="CU4" s="11">
        <v>-0.11984774097800255</v>
      </c>
      <c r="CV4" s="12">
        <v>9.9215865135192871E-2</v>
      </c>
      <c r="CW4">
        <v>0.06</v>
      </c>
      <c r="CX4">
        <v>54.594297188755021</v>
      </c>
      <c r="CY4" t="s">
        <v>1350</v>
      </c>
      <c r="CZ4">
        <v>-0.11984774097800255</v>
      </c>
      <c r="DA4">
        <v>18.198099062918342</v>
      </c>
      <c r="DB4" t="s">
        <v>1351</v>
      </c>
      <c r="DC4">
        <v>-0.11385535392910241</v>
      </c>
      <c r="DD4">
        <v>9.0990495314591708</v>
      </c>
      <c r="DE4" t="s">
        <v>1352</v>
      </c>
      <c r="DF4">
        <v>-0.10546601206064224</v>
      </c>
      <c r="DG4">
        <v>5.4594297188755023</v>
      </c>
      <c r="DH4" t="s">
        <v>1353</v>
      </c>
      <c r="DI4">
        <v>-9.5878192782402047E-2</v>
      </c>
      <c r="DJ4">
        <v>2.7297148594377512</v>
      </c>
      <c r="DK4" t="s">
        <v>1354</v>
      </c>
      <c r="DL4">
        <v>-8.3893418684601775E-2</v>
      </c>
      <c r="DM4">
        <v>249000000.00000003</v>
      </c>
      <c r="DN4">
        <v>-0.11984774097800255</v>
      </c>
      <c r="DO4">
        <v>13593980000</v>
      </c>
      <c r="DP4">
        <v>2069214000</v>
      </c>
      <c r="DQ4">
        <v>425</v>
      </c>
      <c r="DR4">
        <v>-0.4260186236879091</v>
      </c>
      <c r="DS4">
        <v>-0.65934299787855566</v>
      </c>
      <c r="DT4" s="13">
        <v>-0.77333333333333332</v>
      </c>
      <c r="DU4">
        <v>-0.48666666666666658</v>
      </c>
      <c r="DV4">
        <v>-1.2599999999999998</v>
      </c>
      <c r="DW4">
        <v>-2.1101000000000001</v>
      </c>
      <c r="DX4">
        <v>0.39672103321033103</v>
      </c>
      <c r="DY4">
        <v>-2.0194569857564577</v>
      </c>
      <c r="DZ4">
        <v>3520</v>
      </c>
      <c r="EA4">
        <v>-2.0060541305974104</v>
      </c>
      <c r="EB4">
        <v>2</v>
      </c>
      <c r="EC4">
        <v>4.6403565270932021E-2</v>
      </c>
      <c r="ED4">
        <v>0.26258088484409681</v>
      </c>
      <c r="EE4" s="14">
        <v>1.0702099999999999</v>
      </c>
      <c r="EF4">
        <v>1.10751</v>
      </c>
      <c r="EG4">
        <v>22.176721033210331</v>
      </c>
      <c r="EH4" t="s">
        <v>714</v>
      </c>
      <c r="EI4">
        <v>0</v>
      </c>
      <c r="EJ4">
        <v>0</v>
      </c>
      <c r="EK4" s="10">
        <v>45470</v>
      </c>
      <c r="EL4" s="15">
        <v>0.55000000000000004</v>
      </c>
      <c r="EM4" s="15">
        <v>-2.87</v>
      </c>
      <c r="EN4" s="15">
        <v>-1.76</v>
      </c>
      <c r="EO4" s="15">
        <v>5.51</v>
      </c>
      <c r="EP4" s="15">
        <v>-3.73</v>
      </c>
    </row>
    <row r="5" spans="1:146" ht="108" x14ac:dyDescent="0.25">
      <c r="A5" s="7"/>
      <c r="B5" s="7"/>
      <c r="C5" s="7" t="str">
        <f>""&amp;CHAR(10)&amp;Basic_Fundamental_Information_Constructure(F5)&amp;CHAR(10)&amp;Basic_Fundamental_Information_Concatenate("")</f>
        <v xml:space="preserve">
市值25.86亿, 利润1436.61万; PE30.3; 平均PE41.88; 平均PEG85.89, PB2.62; ROIC17.5633%; ROE18.9567%; 股利率2.3202%; 毛利76.65%; 净利41.83%; 上一年度营收增-85.83%, 利润增-83.06%; 当季营收增-67.37%, 利润增-57.19%; 过往5年营收增-.49%, 利润增.05%
Income profile:
</v>
      </c>
      <c r="D5" t="s">
        <v>715</v>
      </c>
      <c r="E5" t="s">
        <v>716</v>
      </c>
      <c r="F5">
        <v>25.86</v>
      </c>
      <c r="G5">
        <v>-0.84</v>
      </c>
      <c r="H5" t="s">
        <v>1355</v>
      </c>
      <c r="I5">
        <v>2586000000</v>
      </c>
      <c r="J5">
        <v>30.3</v>
      </c>
      <c r="K5">
        <v>2.62</v>
      </c>
      <c r="L5" t="s">
        <v>303</v>
      </c>
      <c r="M5" t="s">
        <v>1356</v>
      </c>
      <c r="N5" t="s">
        <v>1084</v>
      </c>
      <c r="O5" t="s">
        <v>1357</v>
      </c>
      <c r="P5">
        <v>-28.96</v>
      </c>
      <c r="Q5" t="s">
        <v>1357</v>
      </c>
      <c r="R5">
        <v>14366104</v>
      </c>
      <c r="S5" s="5">
        <v>-0.10979999999999999</v>
      </c>
      <c r="T5" t="s">
        <v>1358</v>
      </c>
      <c r="U5">
        <v>29405909</v>
      </c>
      <c r="V5">
        <v>100000000</v>
      </c>
      <c r="W5">
        <v>1.05</v>
      </c>
      <c r="X5">
        <v>0.03</v>
      </c>
      <c r="Y5">
        <v>51.74</v>
      </c>
      <c r="Z5" t="s">
        <v>1359</v>
      </c>
      <c r="AA5" t="s">
        <v>1360</v>
      </c>
      <c r="AB5" t="s">
        <v>1361</v>
      </c>
      <c r="AC5" t="s">
        <v>1362</v>
      </c>
      <c r="AD5" t="s">
        <v>5</v>
      </c>
      <c r="AE5">
        <v>-3503659</v>
      </c>
      <c r="AF5" t="s">
        <v>1363</v>
      </c>
      <c r="AG5" t="s">
        <v>1364</v>
      </c>
      <c r="AH5" t="s">
        <v>1365</v>
      </c>
      <c r="AI5" t="s">
        <v>984</v>
      </c>
      <c r="AJ5" t="s">
        <v>1366</v>
      </c>
      <c r="AK5" t="s">
        <v>1367</v>
      </c>
      <c r="AL5" t="s">
        <v>1368</v>
      </c>
      <c r="AM5" t="s">
        <v>5</v>
      </c>
      <c r="AN5" t="s">
        <v>1172</v>
      </c>
      <c r="AO5" t="s">
        <v>5</v>
      </c>
      <c r="AP5" t="s">
        <v>5</v>
      </c>
      <c r="AQ5" t="s">
        <v>1369</v>
      </c>
      <c r="AR5" t="s">
        <v>5</v>
      </c>
      <c r="AS5" t="s">
        <v>1370</v>
      </c>
      <c r="AT5" t="s">
        <v>5</v>
      </c>
      <c r="AU5" t="s">
        <v>1371</v>
      </c>
      <c r="AV5" t="s">
        <v>1372</v>
      </c>
      <c r="AW5" t="s">
        <v>1373</v>
      </c>
      <c r="AX5" t="s">
        <v>113</v>
      </c>
      <c r="AY5" t="s">
        <v>43</v>
      </c>
      <c r="AZ5" t="s">
        <v>623</v>
      </c>
      <c r="BA5" t="s">
        <v>26</v>
      </c>
      <c r="BB5" t="s">
        <v>718</v>
      </c>
      <c r="BC5" t="s">
        <v>905</v>
      </c>
      <c r="BD5" t="s">
        <v>717</v>
      </c>
      <c r="BE5" t="s">
        <v>719</v>
      </c>
      <c r="BF5" t="s">
        <v>720</v>
      </c>
      <c r="BG5" t="s">
        <v>721</v>
      </c>
      <c r="BH5" t="s">
        <v>795</v>
      </c>
      <c r="BI5" t="s">
        <v>1014</v>
      </c>
      <c r="BJ5" t="s">
        <v>113</v>
      </c>
      <c r="BK5" t="s">
        <v>1374</v>
      </c>
      <c r="BL5" t="s">
        <v>1015</v>
      </c>
      <c r="BM5" t="s">
        <v>905</v>
      </c>
      <c r="BN5">
        <v>5.46</v>
      </c>
      <c r="BO5">
        <v>13.25</v>
      </c>
      <c r="BP5">
        <v>33.979999999999997</v>
      </c>
      <c r="BQ5">
        <v>6.34</v>
      </c>
      <c r="BR5">
        <v>15.7</v>
      </c>
      <c r="BS5">
        <v>34.83</v>
      </c>
      <c r="BT5" t="s">
        <v>985</v>
      </c>
      <c r="BU5" t="s">
        <v>1296</v>
      </c>
      <c r="BV5">
        <v>76.03</v>
      </c>
      <c r="BW5">
        <v>77.47</v>
      </c>
      <c r="BX5">
        <v>76.45</v>
      </c>
      <c r="BY5">
        <v>41.14</v>
      </c>
      <c r="BZ5">
        <v>43.3</v>
      </c>
      <c r="CA5">
        <v>41.05</v>
      </c>
      <c r="CB5">
        <v>-11.35</v>
      </c>
      <c r="CC5">
        <v>-9.74</v>
      </c>
      <c r="CD5" t="s">
        <v>1375</v>
      </c>
      <c r="CE5" t="s">
        <v>1376</v>
      </c>
      <c r="CF5" s="11">
        <v>-0.67374485616050428</v>
      </c>
      <c r="CG5" s="12">
        <v>-0.5719099128092352</v>
      </c>
      <c r="CH5" s="11">
        <v>-0.85834234952926636</v>
      </c>
      <c r="CI5" s="11">
        <v>-0.16949152946472168</v>
      </c>
      <c r="CJ5" s="11">
        <v>0.43902438879013062</v>
      </c>
      <c r="CK5" s="11">
        <v>0.34426230192184448</v>
      </c>
      <c r="CL5" s="11">
        <v>0.22016720473766327</v>
      </c>
      <c r="CM5" s="12">
        <v>-0.83055919408798218</v>
      </c>
      <c r="CN5" s="12">
        <v>-0.12419919669628143</v>
      </c>
      <c r="CO5" s="12">
        <v>0.27239790558815002</v>
      </c>
      <c r="CP5" s="12">
        <v>0.35309106111526489</v>
      </c>
      <c r="CQ5" s="12">
        <v>0.33163058757781982</v>
      </c>
      <c r="CR5">
        <v>41.878508600397893</v>
      </c>
      <c r="CS5">
        <v>85.887073147971222</v>
      </c>
      <c r="CT5">
        <v>2.3201856148491879</v>
      </c>
      <c r="CU5" s="11">
        <v>-4.8759967088699337E-3</v>
      </c>
      <c r="CV5" s="12">
        <v>4.7223269939422607E-4</v>
      </c>
      <c r="CW5">
        <v>0.06</v>
      </c>
      <c r="CX5">
        <v>116.73775763777226</v>
      </c>
      <c r="CY5" t="s">
        <v>1377</v>
      </c>
      <c r="CZ5">
        <v>-4.8759967088699337E-3</v>
      </c>
      <c r="DA5">
        <v>38.912585879257421</v>
      </c>
      <c r="DB5" t="s">
        <v>1378</v>
      </c>
      <c r="DC5">
        <v>-4.632196873426437E-3</v>
      </c>
      <c r="DD5">
        <v>19.45629293962871</v>
      </c>
      <c r="DE5" t="s">
        <v>1379</v>
      </c>
      <c r="DF5">
        <v>-4.2908771038055417E-3</v>
      </c>
      <c r="DG5">
        <v>11.673775763777225</v>
      </c>
      <c r="DH5" t="s">
        <v>1380</v>
      </c>
      <c r="DI5">
        <v>-3.9007973670959471E-3</v>
      </c>
      <c r="DJ5">
        <v>5.8368878818886127</v>
      </c>
      <c r="DK5" t="s">
        <v>1381</v>
      </c>
      <c r="DL5">
        <v>-3.4131976962089535E-3</v>
      </c>
      <c r="DM5">
        <v>14366099.999999998</v>
      </c>
      <c r="DN5">
        <v>-4.8759967088699337E-3</v>
      </c>
      <c r="DO5">
        <v>1677066300</v>
      </c>
      <c r="DP5">
        <v>670444040</v>
      </c>
      <c r="DQ5">
        <v>451</v>
      </c>
      <c r="DR5">
        <v>-0.66886885945163432</v>
      </c>
      <c r="DS5">
        <v>-0.57238214550862943</v>
      </c>
      <c r="DT5" s="13">
        <v>-0.57333333333333336</v>
      </c>
      <c r="DU5">
        <v>-0.20333333333333339</v>
      </c>
      <c r="DV5">
        <v>-0.77666666666666673</v>
      </c>
      <c r="DW5">
        <v>-5.8581497797356832</v>
      </c>
      <c r="DX5">
        <v>0.35076356674766107</v>
      </c>
      <c r="DY5">
        <v>-5.1551222149887428</v>
      </c>
      <c r="DZ5">
        <v>1465</v>
      </c>
      <c r="EA5">
        <v>-5.1106497991455901</v>
      </c>
      <c r="EB5">
        <v>5</v>
      </c>
      <c r="EC5">
        <v>0.14729700000000001</v>
      </c>
      <c r="ED5">
        <v>0.81486000000000003</v>
      </c>
      <c r="EE5" s="14">
        <v>4.58E-2</v>
      </c>
      <c r="EF5">
        <v>0.10580000000000001</v>
      </c>
      <c r="EG5">
        <v>17.180763566747661</v>
      </c>
      <c r="EH5" t="s">
        <v>722</v>
      </c>
      <c r="EI5">
        <v>0</v>
      </c>
      <c r="EJ5">
        <v>1</v>
      </c>
      <c r="EK5" s="10">
        <v>45470</v>
      </c>
      <c r="EL5" s="15">
        <v>3.19</v>
      </c>
      <c r="EM5" s="15">
        <v>3.9</v>
      </c>
      <c r="EN5" s="15">
        <v>-9.86</v>
      </c>
      <c r="EO5" s="15">
        <v>3.91</v>
      </c>
      <c r="EP5" s="15">
        <v>6</v>
      </c>
    </row>
    <row r="6" spans="1:146" ht="108" x14ac:dyDescent="0.25">
      <c r="A6" s="7"/>
      <c r="B6" s="7"/>
      <c r="C6" s="7" t="str">
        <f>""&amp;CHAR(10)&amp;Basic_Fundamental_Information_Constructure(F6)&amp;CHAR(10)&amp;Basic_Fundamental_Information_Concatenate("")</f>
        <v xml:space="preserve">
市值134.31823亿, 利润1.95亿; PE50.83; 平均PE159.59; 平均PEG34.54, PB10.21; ROIC11.275%; ROE5.7467%; 股利率.1428%; 毛利18.0467%; 净利5.3933%; 上一年度营收增-31.91%, 利润增188.89%; 当季营收增37.23%, 利润增346.16%; 过往5年营收增4.62%, 利润增63.1%
Income profile:
</v>
      </c>
      <c r="D6" t="s">
        <v>723</v>
      </c>
      <c r="E6" t="s">
        <v>724</v>
      </c>
      <c r="F6">
        <v>91.01</v>
      </c>
      <c r="G6">
        <v>-0.67</v>
      </c>
      <c r="H6" t="s">
        <v>1382</v>
      </c>
      <c r="I6">
        <v>13431823000</v>
      </c>
      <c r="J6">
        <v>50.83</v>
      </c>
      <c r="K6">
        <v>10.210000000000001</v>
      </c>
      <c r="L6" t="s">
        <v>303</v>
      </c>
      <c r="M6" t="s">
        <v>1383</v>
      </c>
      <c r="N6" t="s">
        <v>1384</v>
      </c>
      <c r="O6" t="s">
        <v>1385</v>
      </c>
      <c r="P6">
        <v>168.52</v>
      </c>
      <c r="Q6" t="s">
        <v>1385</v>
      </c>
      <c r="R6">
        <v>195492340</v>
      </c>
      <c r="S6" s="5">
        <v>5.4649999999999999</v>
      </c>
      <c r="T6" t="s">
        <v>59</v>
      </c>
      <c r="U6">
        <v>87198225</v>
      </c>
      <c r="V6">
        <v>147586230</v>
      </c>
      <c r="W6">
        <v>2.91</v>
      </c>
      <c r="X6">
        <v>0.23</v>
      </c>
      <c r="Y6">
        <v>24.12</v>
      </c>
      <c r="Z6" t="s">
        <v>1386</v>
      </c>
      <c r="AA6" t="s">
        <v>1208</v>
      </c>
      <c r="AB6" t="s">
        <v>1387</v>
      </c>
      <c r="AC6" t="s">
        <v>1388</v>
      </c>
      <c r="AD6" t="s">
        <v>5</v>
      </c>
      <c r="AE6">
        <v>19101054</v>
      </c>
      <c r="AF6" t="s">
        <v>1389</v>
      </c>
      <c r="AG6" t="s">
        <v>1390</v>
      </c>
      <c r="AH6" t="s">
        <v>1391</v>
      </c>
      <c r="AI6" t="s">
        <v>190</v>
      </c>
      <c r="AJ6" t="s">
        <v>1392</v>
      </c>
      <c r="AK6" t="s">
        <v>1393</v>
      </c>
      <c r="AL6" t="s">
        <v>1394</v>
      </c>
      <c r="AM6" t="s">
        <v>5</v>
      </c>
      <c r="AN6" t="s">
        <v>1395</v>
      </c>
      <c r="AO6" t="s">
        <v>1396</v>
      </c>
      <c r="AP6" t="s">
        <v>1397</v>
      </c>
      <c r="AQ6" t="s">
        <v>158</v>
      </c>
      <c r="AR6" t="s">
        <v>5</v>
      </c>
      <c r="AS6" t="s">
        <v>690</v>
      </c>
      <c r="AT6" t="s">
        <v>1398</v>
      </c>
      <c r="AU6" t="s">
        <v>1399</v>
      </c>
      <c r="AV6" t="s">
        <v>1400</v>
      </c>
      <c r="AW6" t="s">
        <v>53</v>
      </c>
      <c r="AX6" t="s">
        <v>907</v>
      </c>
      <c r="AY6" t="s">
        <v>725</v>
      </c>
      <c r="AZ6" t="s">
        <v>727</v>
      </c>
      <c r="BA6" t="s">
        <v>728</v>
      </c>
      <c r="BB6" t="s">
        <v>133</v>
      </c>
      <c r="BC6" t="s">
        <v>1401</v>
      </c>
      <c r="BD6" t="s">
        <v>726</v>
      </c>
      <c r="BE6" t="s">
        <v>729</v>
      </c>
      <c r="BF6" t="s">
        <v>730</v>
      </c>
      <c r="BG6" t="s">
        <v>731</v>
      </c>
      <c r="BH6" t="s">
        <v>1402</v>
      </c>
      <c r="BI6" t="s">
        <v>1016</v>
      </c>
      <c r="BJ6" t="s">
        <v>907</v>
      </c>
      <c r="BK6" t="s">
        <v>1403</v>
      </c>
      <c r="BL6" t="s">
        <v>1018</v>
      </c>
      <c r="BM6" t="s">
        <v>1401</v>
      </c>
      <c r="BN6" t="s">
        <v>5</v>
      </c>
      <c r="BO6">
        <v>7.24</v>
      </c>
      <c r="BP6">
        <v>15.31</v>
      </c>
      <c r="BQ6">
        <v>-10.73</v>
      </c>
      <c r="BR6">
        <v>8.24</v>
      </c>
      <c r="BS6">
        <v>19.73</v>
      </c>
      <c r="BT6" t="s">
        <v>1404</v>
      </c>
      <c r="BU6" t="s">
        <v>1296</v>
      </c>
      <c r="BV6">
        <v>16.66</v>
      </c>
      <c r="BW6">
        <v>17.190000000000001</v>
      </c>
      <c r="BX6">
        <v>20.29</v>
      </c>
      <c r="BY6">
        <v>1.45</v>
      </c>
      <c r="BZ6">
        <v>5.64</v>
      </c>
      <c r="CA6">
        <v>9.09</v>
      </c>
      <c r="CB6">
        <v>5.34</v>
      </c>
      <c r="CC6">
        <v>5.79</v>
      </c>
      <c r="CD6" t="s">
        <v>1405</v>
      </c>
      <c r="CE6" t="s">
        <v>113</v>
      </c>
      <c r="CF6" s="11">
        <v>0.37225042301184436</v>
      </c>
      <c r="CG6" s="12">
        <v>3.4616086077830173</v>
      </c>
      <c r="CH6" s="11">
        <v>-0.31905964016914368</v>
      </c>
      <c r="CI6" s="11">
        <v>0.10277783870697021</v>
      </c>
      <c r="CJ6" s="11">
        <v>0.29341316223144531</v>
      </c>
      <c r="CK6" s="11">
        <v>0.29256966710090637</v>
      </c>
      <c r="CL6" s="11">
        <v>-0.13866665959358215</v>
      </c>
      <c r="CM6" s="12">
        <v>1.8888930082321167</v>
      </c>
      <c r="CN6" s="12">
        <v>-0.31241047382354736</v>
      </c>
      <c r="CO6" s="12">
        <v>0.27290722727775574</v>
      </c>
      <c r="CP6" s="12">
        <v>1.1009420156478882</v>
      </c>
      <c r="CQ6" s="12">
        <v>0.20454277098178864</v>
      </c>
      <c r="CR6">
        <v>159.59435899223246</v>
      </c>
      <c r="CS6">
        <v>34.539094807133822</v>
      </c>
      <c r="CT6">
        <v>0.14284144599494561</v>
      </c>
      <c r="CU6" s="11">
        <v>4.6206873655319211E-2</v>
      </c>
      <c r="CV6" s="12">
        <v>0.63097490966320036</v>
      </c>
      <c r="CW6">
        <v>0.06</v>
      </c>
      <c r="CX6">
        <v>74.216102738103103</v>
      </c>
      <c r="CY6">
        <v>192462585.2479125</v>
      </c>
      <c r="CZ6">
        <v>4.6206873655319211E-2</v>
      </c>
      <c r="DA6">
        <v>25.173957307697926</v>
      </c>
      <c r="DB6">
        <v>567404751.87952113</v>
      </c>
      <c r="DC6">
        <v>4.389652997255325E-2</v>
      </c>
      <c r="DD6">
        <v>13.014588439515476</v>
      </c>
      <c r="DE6">
        <v>1097523987.5147197</v>
      </c>
      <c r="DF6">
        <v>4.0662048816680903E-2</v>
      </c>
      <c r="DG6">
        <v>8.2494319404518546</v>
      </c>
      <c r="DH6">
        <v>1731491707.9269359</v>
      </c>
      <c r="DI6">
        <v>3.6965498924255373E-2</v>
      </c>
      <c r="DJ6">
        <v>4.7785598837022034</v>
      </c>
      <c r="DK6">
        <v>2989148058.7522879</v>
      </c>
      <c r="DL6">
        <v>3.2344811558723444E-2</v>
      </c>
      <c r="DM6">
        <v>195000000</v>
      </c>
      <c r="DN6">
        <v>4.6206873655319211E-2</v>
      </c>
      <c r="DO6">
        <v>14283823000</v>
      </c>
      <c r="DP6">
        <v>1082985700</v>
      </c>
      <c r="DQ6">
        <v>482</v>
      </c>
      <c r="DR6">
        <v>0.32604354935652513</v>
      </c>
      <c r="DS6">
        <v>2.8306336981198168</v>
      </c>
      <c r="DT6" s="13">
        <v>-0.35666666666666669</v>
      </c>
      <c r="DU6">
        <v>1.2166666666666666</v>
      </c>
      <c r="DV6">
        <v>0.85999999999999988</v>
      </c>
      <c r="DW6">
        <v>8.9222797927461137</v>
      </c>
      <c r="DX6">
        <v>0.37356836734693971</v>
      </c>
      <c r="DY6">
        <v>8.1693013957914768</v>
      </c>
      <c r="DZ6">
        <v>629</v>
      </c>
      <c r="EA6">
        <v>8.1484617523564786</v>
      </c>
      <c r="EB6">
        <v>8</v>
      </c>
      <c r="EC6">
        <v>0.24378561604290591</v>
      </c>
      <c r="ED6">
        <v>1.3280371752839002</v>
      </c>
      <c r="EE6" s="14">
        <v>2.0015100000000001</v>
      </c>
      <c r="EF6">
        <v>2.0167099999999998</v>
      </c>
      <c r="EG6">
        <v>19.18356836734694</v>
      </c>
      <c r="EH6" t="s">
        <v>746</v>
      </c>
      <c r="EI6">
        <v>0</v>
      </c>
      <c r="EJ6">
        <v>1</v>
      </c>
      <c r="EK6" s="10">
        <v>45470</v>
      </c>
      <c r="EL6" s="15">
        <v>0.02</v>
      </c>
      <c r="EM6" s="15">
        <v>-4.62</v>
      </c>
      <c r="EN6" s="15">
        <v>-3.3</v>
      </c>
      <c r="EO6" s="15">
        <v>6.27</v>
      </c>
      <c r="EP6" s="15">
        <v>-1.52</v>
      </c>
    </row>
    <row r="7" spans="1:146" ht="108" x14ac:dyDescent="0.25">
      <c r="A7" s="7"/>
      <c r="B7" s="7"/>
      <c r="C7" s="7" t="str">
        <f>""&amp;CHAR(10)&amp;Basic_Fundamental_Information_Constructure(F7)&amp;CHAR(10)&amp;Basic_Fundamental_Information_Concatenate("")</f>
        <v xml:space="preserve">
市值67.538131亿, 利润1288.42万; PE691; 平均PE69.13; 平均PEG14.66, PB3.45; ROIC11.7133%; ROE13.7467%; 股利率.1485%; 毛利14.5967%; 净利4.0433%; 上一年度营收增-76.46%, 利润增-89.17%; 当季营收增-56.33%, 利润增-68.97%; 过往5年营收增4.72%, 利润增51.83%
Income profile:
</v>
      </c>
      <c r="D7" t="s">
        <v>732</v>
      </c>
      <c r="E7" t="s">
        <v>733</v>
      </c>
      <c r="F7">
        <v>26.93</v>
      </c>
      <c r="G7">
        <v>2.4700000000000002</v>
      </c>
      <c r="H7" t="s">
        <v>1406</v>
      </c>
      <c r="I7">
        <v>6753813100</v>
      </c>
      <c r="J7">
        <v>691</v>
      </c>
      <c r="K7">
        <v>3.45</v>
      </c>
      <c r="L7" t="s">
        <v>303</v>
      </c>
      <c r="M7" t="s">
        <v>1407</v>
      </c>
      <c r="N7" t="s">
        <v>1408</v>
      </c>
      <c r="O7" t="s">
        <v>1140</v>
      </c>
      <c r="P7">
        <v>-10.37</v>
      </c>
      <c r="Q7" t="s">
        <v>1140</v>
      </c>
      <c r="R7">
        <v>12884235</v>
      </c>
      <c r="S7" s="5">
        <v>-0.64129999999999998</v>
      </c>
      <c r="T7" t="s">
        <v>1409</v>
      </c>
      <c r="U7">
        <v>72752251</v>
      </c>
      <c r="V7">
        <v>250791430</v>
      </c>
      <c r="W7">
        <v>1.64</v>
      </c>
      <c r="X7">
        <v>0.22</v>
      </c>
      <c r="Y7">
        <v>2.15</v>
      </c>
      <c r="Z7" t="s">
        <v>929</v>
      </c>
      <c r="AA7" t="s">
        <v>180</v>
      </c>
      <c r="AB7" t="s">
        <v>1410</v>
      </c>
      <c r="AC7" t="s">
        <v>1411</v>
      </c>
      <c r="AD7" t="s">
        <v>5</v>
      </c>
      <c r="AE7">
        <v>2564188</v>
      </c>
      <c r="AF7" t="s">
        <v>1412</v>
      </c>
      <c r="AG7">
        <v>501.09</v>
      </c>
      <c r="AH7" t="s">
        <v>1413</v>
      </c>
      <c r="AI7" t="s">
        <v>1342</v>
      </c>
      <c r="AJ7" t="s">
        <v>1414</v>
      </c>
      <c r="AK7" t="s">
        <v>1415</v>
      </c>
      <c r="AL7" t="s">
        <v>1416</v>
      </c>
      <c r="AM7" t="s">
        <v>5</v>
      </c>
      <c r="AN7" t="s">
        <v>1417</v>
      </c>
      <c r="AO7" t="s">
        <v>1007</v>
      </c>
      <c r="AP7" t="s">
        <v>1080</v>
      </c>
      <c r="AQ7" t="s">
        <v>1246</v>
      </c>
      <c r="AR7" t="s">
        <v>5</v>
      </c>
      <c r="AS7" t="s">
        <v>1418</v>
      </c>
      <c r="AT7" t="s">
        <v>5</v>
      </c>
      <c r="AU7" t="s">
        <v>1019</v>
      </c>
      <c r="AV7" t="s">
        <v>1419</v>
      </c>
      <c r="AW7" t="s">
        <v>1420</v>
      </c>
      <c r="AX7" t="s">
        <v>908</v>
      </c>
      <c r="AY7" t="s">
        <v>734</v>
      </c>
      <c r="AZ7" t="s">
        <v>735</v>
      </c>
      <c r="BA7" t="s">
        <v>736</v>
      </c>
      <c r="BB7" t="s">
        <v>737</v>
      </c>
      <c r="BC7" t="s">
        <v>44</v>
      </c>
      <c r="BD7" t="s">
        <v>191</v>
      </c>
      <c r="BE7" t="s">
        <v>92</v>
      </c>
      <c r="BF7" t="s">
        <v>738</v>
      </c>
      <c r="BG7" t="s">
        <v>739</v>
      </c>
      <c r="BH7" t="s">
        <v>1421</v>
      </c>
      <c r="BI7" t="s">
        <v>324</v>
      </c>
      <c r="BJ7" t="s">
        <v>908</v>
      </c>
      <c r="BK7" t="s">
        <v>1422</v>
      </c>
      <c r="BL7" t="s">
        <v>1020</v>
      </c>
      <c r="BM7" t="s">
        <v>44</v>
      </c>
      <c r="BN7">
        <v>1.19</v>
      </c>
      <c r="BO7">
        <v>7.46</v>
      </c>
      <c r="BP7">
        <v>26.49</v>
      </c>
      <c r="BQ7">
        <v>1.65</v>
      </c>
      <c r="BR7">
        <v>10.31</v>
      </c>
      <c r="BS7">
        <v>29.28</v>
      </c>
      <c r="BT7" t="s">
        <v>876</v>
      </c>
      <c r="BU7" t="s">
        <v>1296</v>
      </c>
      <c r="BV7">
        <v>11.86</v>
      </c>
      <c r="BW7">
        <v>15.3</v>
      </c>
      <c r="BX7">
        <v>16.63</v>
      </c>
      <c r="BY7">
        <v>0.9</v>
      </c>
      <c r="BZ7">
        <v>3.93</v>
      </c>
      <c r="CA7">
        <v>7.3</v>
      </c>
      <c r="CB7">
        <v>-2.46</v>
      </c>
      <c r="CC7">
        <v>-5.67</v>
      </c>
      <c r="CD7" t="s">
        <v>1423</v>
      </c>
      <c r="CE7" t="s">
        <v>933</v>
      </c>
      <c r="CF7" s="11">
        <v>-0.56330275229357807</v>
      </c>
      <c r="CG7" s="12">
        <v>-0.68969427592236232</v>
      </c>
      <c r="CH7" s="11">
        <v>-0.76458954811096191</v>
      </c>
      <c r="CI7" s="11">
        <v>0.12333331257104874</v>
      </c>
      <c r="CJ7" s="11">
        <v>0.39679259061813354</v>
      </c>
      <c r="CK7" s="11">
        <v>0.38367933034896851</v>
      </c>
      <c r="CL7" s="11">
        <v>9.6546262502670288E-2</v>
      </c>
      <c r="CM7" s="12">
        <v>-0.89172941446304321</v>
      </c>
      <c r="CN7" s="12">
        <v>-0.39593908190727234</v>
      </c>
      <c r="CO7" s="12">
        <v>0.34931507706642151</v>
      </c>
      <c r="CP7" s="12">
        <v>0.64952367544174194</v>
      </c>
      <c r="CQ7" s="12">
        <v>2.8805203437805176</v>
      </c>
      <c r="CR7">
        <v>69.127664027935694</v>
      </c>
      <c r="CS7">
        <v>14.660479486813042</v>
      </c>
      <c r="CT7">
        <v>0.14853323431117713</v>
      </c>
      <c r="CU7" s="11">
        <v>4.7152389585971829E-2</v>
      </c>
      <c r="CV7" s="12">
        <v>0.51833811998367307</v>
      </c>
      <c r="CW7">
        <v>0.06</v>
      </c>
      <c r="CX7">
        <v>477.59229330104358</v>
      </c>
      <c r="CY7">
        <v>12728038.507456204</v>
      </c>
      <c r="CZ7">
        <v>4.7152389585971829E-2</v>
      </c>
      <c r="DA7">
        <v>161.86748114917935</v>
      </c>
      <c r="DB7">
        <v>37554257.697984934</v>
      </c>
      <c r="DC7">
        <v>4.4794770106673237E-2</v>
      </c>
      <c r="DD7">
        <v>83.59596404735953</v>
      </c>
      <c r="DE7">
        <v>72716585.893502906</v>
      </c>
      <c r="DF7">
        <v>4.149410283565521E-2</v>
      </c>
      <c r="DG7">
        <v>52.928573793552793</v>
      </c>
      <c r="DH7">
        <v>114849365.17863359</v>
      </c>
      <c r="DI7">
        <v>3.7721911668777468E-2</v>
      </c>
      <c r="DJ7">
        <v>30.589084321084847</v>
      </c>
      <c r="DK7">
        <v>198724912.33122385</v>
      </c>
      <c r="DL7">
        <v>3.3006672710180276E-2</v>
      </c>
      <c r="DM7">
        <v>12884200</v>
      </c>
      <c r="DN7">
        <v>4.7152389585971829E-2</v>
      </c>
      <c r="DO7">
        <v>6078813100</v>
      </c>
      <c r="DP7">
        <v>1250783900</v>
      </c>
      <c r="DQ7">
        <v>502</v>
      </c>
      <c r="DR7">
        <v>-0.61045514187954986</v>
      </c>
      <c r="DS7">
        <v>-1.2080323959060353</v>
      </c>
      <c r="DT7" s="13">
        <v>-0.52333333333333332</v>
      </c>
      <c r="DU7">
        <v>-6.8333333333333426E-2</v>
      </c>
      <c r="DV7">
        <v>-0.59166666666666679</v>
      </c>
      <c r="DW7">
        <v>-1.0567</v>
      </c>
      <c r="DX7">
        <v>0.32594622356495506</v>
      </c>
      <c r="DY7">
        <v>-1.0043061508761328</v>
      </c>
      <c r="DZ7">
        <v>1926</v>
      </c>
      <c r="EA7">
        <v>-1.0026831280605883</v>
      </c>
      <c r="EB7">
        <v>1</v>
      </c>
      <c r="EC7">
        <v>0.10023548252825067</v>
      </c>
      <c r="ED7">
        <v>1.3198218136879718</v>
      </c>
      <c r="EE7" s="14">
        <v>4.0198999999999998</v>
      </c>
      <c r="EF7">
        <v>4.01661</v>
      </c>
      <c r="EG7">
        <v>25.075946223564955</v>
      </c>
      <c r="EH7" t="s">
        <v>1424</v>
      </c>
      <c r="EI7">
        <v>0</v>
      </c>
      <c r="EJ7">
        <v>0</v>
      </c>
      <c r="EK7" s="10">
        <v>45470</v>
      </c>
      <c r="EL7" s="15">
        <v>-1.43</v>
      </c>
      <c r="EM7" s="15">
        <v>-7.36</v>
      </c>
      <c r="EN7" s="15">
        <v>1.87</v>
      </c>
      <c r="EO7" s="15">
        <v>4.4000000000000004</v>
      </c>
      <c r="EP7" s="15">
        <v>-3.65</v>
      </c>
    </row>
    <row r="8" spans="1:146" ht="108" x14ac:dyDescent="0.25">
      <c r="A8" s="7"/>
      <c r="B8" s="7"/>
      <c r="C8" s="7" t="str">
        <f>""&amp;CHAR(10)&amp;Basic_Fundamental_Information_Constructure(F8)&amp;CHAR(10)&amp;Basic_Fundamental_Information_Concatenate("")</f>
        <v xml:space="preserve">
市值251.07001亿, 利润2.47亿; PE25.41; 平均PE37.4; 平均PEG4.81, PB2.03; ROIC6.9533%; ROE7.0933%; 股利率1.9782%; 毛利37.75%; 净利14.3633%; 上一年度营收增-73.35%, 利润增-70.21%; 当季营收增-44.83%, 利润增-47.86%; 过往5年营收增-7.78%, 利润增-9.28%
Income profile:
</v>
      </c>
      <c r="D8" t="s">
        <v>321</v>
      </c>
      <c r="E8" t="s">
        <v>322</v>
      </c>
      <c r="F8">
        <v>10.11</v>
      </c>
      <c r="G8">
        <v>0.3</v>
      </c>
      <c r="H8" t="s">
        <v>1425</v>
      </c>
      <c r="I8">
        <v>25107001000</v>
      </c>
      <c r="J8">
        <v>25.41</v>
      </c>
      <c r="K8">
        <v>2.0299999999999998</v>
      </c>
      <c r="L8" t="s">
        <v>303</v>
      </c>
      <c r="M8" t="s">
        <v>1426</v>
      </c>
      <c r="N8" t="s">
        <v>1427</v>
      </c>
      <c r="O8" t="s">
        <v>1181</v>
      </c>
      <c r="P8">
        <v>36.020000000000003</v>
      </c>
      <c r="Q8" t="s">
        <v>1181</v>
      </c>
      <c r="R8">
        <v>247150000</v>
      </c>
      <c r="S8" s="5">
        <v>4.7500000000000001E-2</v>
      </c>
      <c r="T8" t="s">
        <v>1266</v>
      </c>
      <c r="U8">
        <v>2482133700</v>
      </c>
      <c r="V8">
        <v>2483382900</v>
      </c>
      <c r="W8">
        <v>1.69</v>
      </c>
      <c r="X8">
        <v>0.08</v>
      </c>
      <c r="Y8">
        <v>12.94</v>
      </c>
      <c r="Z8" t="s">
        <v>1428</v>
      </c>
      <c r="AA8" t="s">
        <v>1429</v>
      </c>
      <c r="AB8" t="s">
        <v>151</v>
      </c>
      <c r="AC8" t="s">
        <v>74</v>
      </c>
      <c r="AD8" t="s">
        <v>5</v>
      </c>
      <c r="AE8">
        <v>-50529830</v>
      </c>
      <c r="AF8" t="s">
        <v>1430</v>
      </c>
      <c r="AG8" t="s">
        <v>1431</v>
      </c>
      <c r="AH8" t="s">
        <v>1432</v>
      </c>
      <c r="AI8" t="s">
        <v>1433</v>
      </c>
      <c r="AJ8" t="s">
        <v>1434</v>
      </c>
      <c r="AK8" t="s">
        <v>1435</v>
      </c>
      <c r="AL8" t="s">
        <v>1436</v>
      </c>
      <c r="AM8" t="s">
        <v>5</v>
      </c>
      <c r="AN8" t="s">
        <v>1437</v>
      </c>
      <c r="AO8" t="s">
        <v>1438</v>
      </c>
      <c r="AP8" t="s">
        <v>1439</v>
      </c>
      <c r="AQ8" t="s">
        <v>782</v>
      </c>
      <c r="AR8" t="s">
        <v>5</v>
      </c>
      <c r="AS8" t="s">
        <v>1440</v>
      </c>
      <c r="AT8" t="s">
        <v>146</v>
      </c>
      <c r="AU8" t="s">
        <v>1441</v>
      </c>
      <c r="AV8" t="s">
        <v>1156</v>
      </c>
      <c r="AW8" t="s">
        <v>1442</v>
      </c>
      <c r="AX8" t="s">
        <v>909</v>
      </c>
      <c r="AY8" t="s">
        <v>342</v>
      </c>
      <c r="AZ8" t="s">
        <v>323</v>
      </c>
      <c r="BA8" t="s">
        <v>325</v>
      </c>
      <c r="BB8" t="s">
        <v>326</v>
      </c>
      <c r="BC8" t="s">
        <v>1443</v>
      </c>
      <c r="BD8" t="s">
        <v>615</v>
      </c>
      <c r="BE8" t="s">
        <v>215</v>
      </c>
      <c r="BF8" t="s">
        <v>327</v>
      </c>
      <c r="BG8" t="s">
        <v>211</v>
      </c>
      <c r="BH8" t="s">
        <v>1444</v>
      </c>
      <c r="BI8" t="s">
        <v>1021</v>
      </c>
      <c r="BJ8" t="s">
        <v>909</v>
      </c>
      <c r="BK8" t="s">
        <v>1098</v>
      </c>
      <c r="BL8" t="s">
        <v>1022</v>
      </c>
      <c r="BM8" t="s">
        <v>1443</v>
      </c>
      <c r="BN8">
        <v>5.91</v>
      </c>
      <c r="BO8">
        <v>7.55</v>
      </c>
      <c r="BP8">
        <v>7.4</v>
      </c>
      <c r="BQ8">
        <v>6.35</v>
      </c>
      <c r="BR8">
        <v>7.26</v>
      </c>
      <c r="BS8">
        <v>7.67</v>
      </c>
      <c r="BT8" t="s">
        <v>875</v>
      </c>
      <c r="BU8" t="s">
        <v>1296</v>
      </c>
      <c r="BV8">
        <v>35.880000000000003</v>
      </c>
      <c r="BW8">
        <v>38.22</v>
      </c>
      <c r="BX8">
        <v>39.15</v>
      </c>
      <c r="BY8">
        <v>14.06</v>
      </c>
      <c r="BZ8">
        <v>14.6</v>
      </c>
      <c r="CA8">
        <v>14.43</v>
      </c>
      <c r="CB8">
        <v>-3.35</v>
      </c>
      <c r="CC8">
        <v>-6.73</v>
      </c>
      <c r="CD8" t="s">
        <v>1445</v>
      </c>
      <c r="CE8" t="s">
        <v>747</v>
      </c>
      <c r="CF8" s="11">
        <v>-0.44829482948294835</v>
      </c>
      <c r="CG8" s="12">
        <v>-0.47858649789029534</v>
      </c>
      <c r="CH8" s="11">
        <v>-0.73345732688903809</v>
      </c>
      <c r="CI8" s="11">
        <v>0.10970214754343033</v>
      </c>
      <c r="CJ8" s="11">
        <v>5.7869337499141693E-2</v>
      </c>
      <c r="CK8" s="11">
        <v>-1.308500487357378E-2</v>
      </c>
      <c r="CL8" s="11">
        <v>0.18996156752109528</v>
      </c>
      <c r="CM8" s="12">
        <v>-0.70205068588256836</v>
      </c>
      <c r="CN8" s="12">
        <v>6.0679609887301922E-3</v>
      </c>
      <c r="CO8" s="12">
        <v>0.17714285850524902</v>
      </c>
      <c r="CP8" s="12">
        <v>-7.6517149806022644E-2</v>
      </c>
      <c r="CQ8" s="12">
        <v>0.1313432902097702</v>
      </c>
      <c r="CR8">
        <v>37.398710526315789</v>
      </c>
      <c r="CS8">
        <v>4.8069175372021897</v>
      </c>
      <c r="CT8">
        <v>1.9782393669634026</v>
      </c>
      <c r="CU8" s="11">
        <v>-7.7801855839788908E-2</v>
      </c>
      <c r="CV8" s="12">
        <v>-9.2802745196968323E-2</v>
      </c>
      <c r="CW8">
        <v>0.06</v>
      </c>
      <c r="CX8">
        <v>89.141704453441292</v>
      </c>
      <c r="CY8" t="s">
        <v>1446</v>
      </c>
      <c r="CZ8">
        <v>-7.7801855839788908E-2</v>
      </c>
      <c r="DA8">
        <v>29.713901484480431</v>
      </c>
      <c r="DB8" t="s">
        <v>1447</v>
      </c>
      <c r="DC8">
        <v>-7.3911763047799464E-2</v>
      </c>
      <c r="DD8">
        <v>14.856950742240215</v>
      </c>
      <c r="DE8" t="s">
        <v>1448</v>
      </c>
      <c r="DF8">
        <v>-6.8465633139014243E-2</v>
      </c>
      <c r="DG8">
        <v>8.9141704453441299</v>
      </c>
      <c r="DH8" t="s">
        <v>1449</v>
      </c>
      <c r="DI8">
        <v>-6.2241484671831132E-2</v>
      </c>
      <c r="DJ8">
        <v>4.457085222672065</v>
      </c>
      <c r="DK8" t="s">
        <v>1450</v>
      </c>
      <c r="DL8">
        <v>-5.446129908785223E-2</v>
      </c>
      <c r="DM8">
        <v>247000000.00000003</v>
      </c>
      <c r="DN8">
        <v>-7.7801855839788908E-2</v>
      </c>
      <c r="DO8">
        <v>22018001000</v>
      </c>
      <c r="DP8">
        <v>7790207000</v>
      </c>
      <c r="DQ8">
        <v>662</v>
      </c>
      <c r="DR8">
        <v>-0.37049297364315947</v>
      </c>
      <c r="DS8">
        <v>-0.38578375269332699</v>
      </c>
      <c r="DT8" s="13">
        <v>-0.67333333333333334</v>
      </c>
      <c r="DU8">
        <v>-0.42</v>
      </c>
      <c r="DV8">
        <v>-1.0933333333333333</v>
      </c>
      <c r="DW8">
        <v>-8.4977711738484398</v>
      </c>
      <c r="DX8">
        <v>0.36627535885167473</v>
      </c>
      <c r="DY8">
        <v>-8.0728116570807007</v>
      </c>
      <c r="DZ8">
        <v>1415</v>
      </c>
      <c r="EA8">
        <v>-8.052649525031935</v>
      </c>
      <c r="EB8">
        <v>8</v>
      </c>
      <c r="EC8">
        <v>2.4620891123958374E-2</v>
      </c>
      <c r="ED8">
        <v>0.16831878805318343</v>
      </c>
      <c r="EE8" s="14">
        <v>-2.0394000000000001</v>
      </c>
      <c r="EF8">
        <v>-2.0124</v>
      </c>
      <c r="EG8">
        <v>22.146275358851675</v>
      </c>
      <c r="EH8" t="s">
        <v>1119</v>
      </c>
      <c r="EI8">
        <v>0</v>
      </c>
      <c r="EJ8">
        <v>1</v>
      </c>
      <c r="EK8" s="10">
        <v>45470</v>
      </c>
      <c r="EL8" s="15">
        <v>1.32</v>
      </c>
      <c r="EM8" s="15">
        <v>-2.71</v>
      </c>
      <c r="EN8" s="15">
        <v>-1.82</v>
      </c>
      <c r="EO8" s="15">
        <v>4.79</v>
      </c>
      <c r="EP8" s="15">
        <v>-2.7</v>
      </c>
    </row>
    <row r="9" spans="1:146" ht="108" x14ac:dyDescent="0.25">
      <c r="A9" s="7"/>
      <c r="B9" s="7"/>
      <c r="C9" s="7" t="str">
        <f>""&amp;CHAR(10)&amp;Basic_Fundamental_Information_Constructure(F9)&amp;CHAR(10)&amp;Basic_Fundamental_Information_Concatenate("")</f>
        <v xml:space="preserve">
市值383.16588亿, 利润2.78亿; PE; 平均PE44.69; 平均PEG3.89, PB3.98; ROIC5.3867%; ROE8.5633%; 股利率0%; 毛利32.7967%; 净利-7.35%; 上一年度营收增-75.66%, 利润增-85.08%; 当季营收增-48.85%, 利润增-20.83%; 过往5年营收增-11.48%, 利润增114.98%
Income profile:
</v>
      </c>
      <c r="D9" t="s">
        <v>330</v>
      </c>
      <c r="E9" t="s">
        <v>331</v>
      </c>
      <c r="F9">
        <v>27.05</v>
      </c>
      <c r="G9">
        <v>1.42</v>
      </c>
      <c r="H9" t="s">
        <v>1451</v>
      </c>
      <c r="I9">
        <v>38316588000</v>
      </c>
      <c r="K9">
        <v>3.98</v>
      </c>
      <c r="L9" t="s">
        <v>303</v>
      </c>
      <c r="M9" t="s">
        <v>1452</v>
      </c>
      <c r="N9" t="s">
        <v>1453</v>
      </c>
      <c r="O9" t="s">
        <v>1454</v>
      </c>
      <c r="P9">
        <v>-3.49</v>
      </c>
      <c r="Q9" t="s">
        <v>1454</v>
      </c>
      <c r="R9">
        <v>277902860</v>
      </c>
      <c r="S9" s="5">
        <v>0.31340000000000001</v>
      </c>
      <c r="T9" t="s">
        <v>32</v>
      </c>
      <c r="U9">
        <v>1309137330</v>
      </c>
      <c r="V9">
        <v>1416509700</v>
      </c>
      <c r="W9">
        <v>3.86</v>
      </c>
      <c r="X9">
        <v>0.17</v>
      </c>
      <c r="Y9">
        <v>4.8099999999999996</v>
      </c>
      <c r="Z9" t="s">
        <v>1455</v>
      </c>
      <c r="AA9" t="s">
        <v>1456</v>
      </c>
      <c r="AB9" t="s">
        <v>247</v>
      </c>
      <c r="AC9" t="s">
        <v>1457</v>
      </c>
      <c r="AD9" t="s">
        <v>5</v>
      </c>
      <c r="AE9">
        <v>137386790</v>
      </c>
      <c r="AF9" t="s">
        <v>1458</v>
      </c>
      <c r="AG9" t="s">
        <v>1459</v>
      </c>
      <c r="AH9" t="s">
        <v>1460</v>
      </c>
      <c r="AI9" t="s">
        <v>1461</v>
      </c>
      <c r="AJ9" t="s">
        <v>1462</v>
      </c>
      <c r="AK9" t="s">
        <v>1463</v>
      </c>
      <c r="AL9" t="s">
        <v>1464</v>
      </c>
      <c r="AM9" t="s">
        <v>5</v>
      </c>
      <c r="AN9" t="s">
        <v>139</v>
      </c>
      <c r="AO9" t="s">
        <v>1465</v>
      </c>
      <c r="AP9" t="s">
        <v>1466</v>
      </c>
      <c r="AQ9" t="s">
        <v>1467</v>
      </c>
      <c r="AR9" t="s">
        <v>5</v>
      </c>
      <c r="AS9" t="s">
        <v>1468</v>
      </c>
      <c r="AT9" t="s">
        <v>1469</v>
      </c>
      <c r="AU9" t="s">
        <v>191</v>
      </c>
      <c r="AV9" t="s">
        <v>1470</v>
      </c>
      <c r="AW9" t="s">
        <v>109</v>
      </c>
      <c r="AX9" t="s">
        <v>1023</v>
      </c>
      <c r="AY9" t="s">
        <v>616</v>
      </c>
      <c r="AZ9" t="s">
        <v>617</v>
      </c>
      <c r="BA9" t="s">
        <v>332</v>
      </c>
      <c r="BB9" t="s">
        <v>333</v>
      </c>
      <c r="BC9" t="s">
        <v>1024</v>
      </c>
      <c r="BD9" t="s">
        <v>85</v>
      </c>
      <c r="BE9" t="s">
        <v>618</v>
      </c>
      <c r="BF9" t="s">
        <v>334</v>
      </c>
      <c r="BG9" t="s">
        <v>335</v>
      </c>
      <c r="BH9" t="s">
        <v>1471</v>
      </c>
      <c r="BI9" t="s">
        <v>1025</v>
      </c>
      <c r="BJ9" t="s">
        <v>1023</v>
      </c>
      <c r="BK9" t="s">
        <v>1472</v>
      </c>
      <c r="BL9" t="s">
        <v>1026</v>
      </c>
      <c r="BM9" t="s">
        <v>1024</v>
      </c>
      <c r="BN9">
        <v>1.1499999999999999</v>
      </c>
      <c r="BO9">
        <v>7.92</v>
      </c>
      <c r="BP9">
        <v>7.09</v>
      </c>
      <c r="BQ9">
        <v>1.33</v>
      </c>
      <c r="BR9">
        <v>12.28</v>
      </c>
      <c r="BS9">
        <v>12.08</v>
      </c>
      <c r="BT9" t="s">
        <v>873</v>
      </c>
      <c r="BU9" t="s">
        <v>1296</v>
      </c>
      <c r="BV9">
        <v>31.66</v>
      </c>
      <c r="BW9">
        <v>32.61</v>
      </c>
      <c r="BX9">
        <v>34.119999999999997</v>
      </c>
      <c r="BY9">
        <v>-36.99</v>
      </c>
      <c r="BZ9">
        <v>7.94</v>
      </c>
      <c r="CA9">
        <v>7</v>
      </c>
      <c r="CB9">
        <v>2.38</v>
      </c>
      <c r="CC9">
        <v>-3.98</v>
      </c>
      <c r="CD9" t="s">
        <v>1473</v>
      </c>
      <c r="CE9" t="s">
        <v>1109</v>
      </c>
      <c r="CF9" s="11">
        <v>-0.48845528455284554</v>
      </c>
      <c r="CG9" s="12">
        <v>-0.20825396011396011</v>
      </c>
      <c r="CH9" s="11">
        <v>-0.75664281845092773</v>
      </c>
      <c r="CI9" s="11">
        <v>0.13438931107521057</v>
      </c>
      <c r="CJ9" s="11">
        <v>7.9371057450771332E-2</v>
      </c>
      <c r="CK9" s="11">
        <v>-9.3578286468982697E-2</v>
      </c>
      <c r="CL9" s="11">
        <v>6.2482867389917374E-2</v>
      </c>
      <c r="CM9" s="12">
        <v>-0.85077834129333496</v>
      </c>
      <c r="CN9" s="12">
        <v>0.60189163684844971</v>
      </c>
      <c r="CO9" s="12">
        <v>7.0206899642944336</v>
      </c>
      <c r="CP9" s="12">
        <v>-0.80510753393173218</v>
      </c>
      <c r="CQ9" s="12">
        <v>-0.21766561269760132</v>
      </c>
      <c r="CR9">
        <v>44.692754276827372</v>
      </c>
      <c r="CS9">
        <v>3.8932471694753654</v>
      </c>
      <c r="CT9">
        <v>0</v>
      </c>
      <c r="CU9" s="11">
        <v>-0.11479557380080223</v>
      </c>
      <c r="CV9" s="12">
        <v>1.149806022644043</v>
      </c>
      <c r="CW9">
        <v>0.06</v>
      </c>
      <c r="CX9">
        <v>205.13520863309353</v>
      </c>
      <c r="CY9" t="s">
        <v>1474</v>
      </c>
      <c r="CZ9">
        <v>-0.11479557380080223</v>
      </c>
      <c r="DA9">
        <v>68.378402877697837</v>
      </c>
      <c r="DB9" t="s">
        <v>1475</v>
      </c>
      <c r="DC9">
        <v>-0.1090557951107621</v>
      </c>
      <c r="DD9">
        <v>34.189201438848919</v>
      </c>
      <c r="DE9" t="s">
        <v>1476</v>
      </c>
      <c r="DF9">
        <v>-0.10102010494470597</v>
      </c>
      <c r="DG9">
        <v>20.513520863309353</v>
      </c>
      <c r="DH9" t="s">
        <v>1477</v>
      </c>
      <c r="DI9">
        <v>-9.1836459040641791E-2</v>
      </c>
      <c r="DJ9">
        <v>10.256760431654676</v>
      </c>
      <c r="DK9" t="s">
        <v>1478</v>
      </c>
      <c r="DL9">
        <v>-8.0356901660561558E-2</v>
      </c>
      <c r="DM9">
        <v>278000000</v>
      </c>
      <c r="DN9">
        <v>-0.11479557380080223</v>
      </c>
      <c r="DO9">
        <v>57027588000</v>
      </c>
      <c r="DP9">
        <v>8840879000</v>
      </c>
      <c r="DQ9">
        <v>690</v>
      </c>
      <c r="DR9">
        <v>-0.37365971075204329</v>
      </c>
      <c r="DS9">
        <v>-1.3580599827580031</v>
      </c>
      <c r="DT9" s="13">
        <v>-0.77333333333333332</v>
      </c>
      <c r="DU9">
        <v>-0.18999999999999997</v>
      </c>
      <c r="DV9">
        <v>-0.96333333333333326</v>
      </c>
      <c r="DW9">
        <v>-1.0398000000000001</v>
      </c>
      <c r="DX9">
        <v>0.3177136186770424</v>
      </c>
      <c r="DY9">
        <v>-1.0042870020233463</v>
      </c>
      <c r="DZ9">
        <v>3117</v>
      </c>
      <c r="EA9">
        <v>-1.0016720146834694</v>
      </c>
      <c r="EB9">
        <v>1</v>
      </c>
      <c r="EC9">
        <v>1.9542682976332597E-2</v>
      </c>
      <c r="ED9">
        <v>0.18143186735678546</v>
      </c>
      <c r="EE9" s="14">
        <v>-3.0217999999999998</v>
      </c>
      <c r="EF9">
        <v>-3.0434000000000001</v>
      </c>
      <c r="EG9">
        <v>21.107713618677042</v>
      </c>
      <c r="EH9" t="s">
        <v>1114</v>
      </c>
      <c r="EI9">
        <v>0</v>
      </c>
      <c r="EJ9">
        <v>0</v>
      </c>
      <c r="EK9" s="10">
        <v>45470</v>
      </c>
      <c r="EL9" s="15">
        <v>-1.66</v>
      </c>
      <c r="EM9" s="15">
        <v>-2.42</v>
      </c>
      <c r="EN9" s="15">
        <v>-2.0499999999999998</v>
      </c>
      <c r="EO9" s="15">
        <v>4.47</v>
      </c>
      <c r="EP9" s="15">
        <v>2.16</v>
      </c>
    </row>
    <row r="10" spans="1:146" ht="172.5" customHeight="1" x14ac:dyDescent="0.25">
      <c r="A10" s="7"/>
      <c r="B10" s="7"/>
      <c r="C10" s="7" t="str">
        <f>"公司是我国安防视频监控行业的龙头企业,主要产品为前端产品、存储产品、中心产品、云计算与大数据产品和服务、智能楼宇产品、人工智能算法、芯片技术、视频物联创新业务产品。"&amp;CHAR(10)&amp;Basic_Fundamental_Information_Constructure(F10)&amp;CHAR(10)&amp;Basic_Fundamental_Information_Concatenate("智慧物联产品及方案 117.98亿 83.75% 89.63% 40.15%
创新业务 16.86亿 11.97% 9.00% 28.22%
其他 6.03亿 4.28% 1.36% 11.96%")</f>
        <v>公司是我国安防视频监控行业的龙头企业,主要产品为前端产品、存储产品、中心产品、云计算与大数据产品和服务、智能楼宇产品、人工智能算法、芯片技术、视频物联创新业务产品。
市值627.59634亿, 利润23.24亿; PE19.48; 平均PE21.27; 平均PEG1.95, PB1.92; ROIC11.88%; ROE13.19%; 股利率1.2651%; 毛利41.4833%; 净利13.0667%; 上一年度营收增-6.91%, 利润增-31.2%; 当季营收增7.89%, 利润增254.99%; 过往5年营收增10.89%, 利润增2.03%
Income profile:
智慧物联产品及方案 117.98亿 83.75% 89.63% 40.15%
创新业务 16.86亿 11.97% 9.00% 28.22%
其他 6.03亿 4.28% 1.36% 11.96%</v>
      </c>
      <c r="D10" t="s">
        <v>337</v>
      </c>
      <c r="E10" t="s">
        <v>338</v>
      </c>
      <c r="F10">
        <v>19.05</v>
      </c>
      <c r="G10">
        <v>2.92</v>
      </c>
      <c r="H10" t="s">
        <v>1260</v>
      </c>
      <c r="I10">
        <v>62759634000</v>
      </c>
      <c r="J10">
        <v>19.48</v>
      </c>
      <c r="K10">
        <v>1.92</v>
      </c>
      <c r="L10" t="s">
        <v>303</v>
      </c>
      <c r="M10" t="s">
        <v>1031</v>
      </c>
      <c r="N10" t="s">
        <v>1032</v>
      </c>
      <c r="O10" t="s">
        <v>1033</v>
      </c>
      <c r="P10">
        <v>5.23</v>
      </c>
      <c r="Q10" t="s">
        <v>911</v>
      </c>
      <c r="R10">
        <v>2590132300</v>
      </c>
      <c r="S10" s="5">
        <v>0.52980000000000005</v>
      </c>
      <c r="T10" t="s">
        <v>912</v>
      </c>
      <c r="U10">
        <v>1959009400</v>
      </c>
      <c r="V10">
        <v>3294469000</v>
      </c>
      <c r="W10">
        <v>1.45</v>
      </c>
      <c r="X10">
        <v>0.47</v>
      </c>
      <c r="Y10">
        <v>12.15</v>
      </c>
      <c r="Z10" t="s">
        <v>1034</v>
      </c>
      <c r="AA10" t="s">
        <v>1035</v>
      </c>
      <c r="AB10" t="s">
        <v>1036</v>
      </c>
      <c r="AC10" t="s">
        <v>1037</v>
      </c>
      <c r="AD10" t="s">
        <v>1038</v>
      </c>
      <c r="AE10">
        <v>-309984440</v>
      </c>
      <c r="AF10" t="s">
        <v>1039</v>
      </c>
      <c r="AG10" t="s">
        <v>1040</v>
      </c>
      <c r="AH10" t="s">
        <v>1041</v>
      </c>
      <c r="AI10" t="s">
        <v>1042</v>
      </c>
      <c r="AJ10" t="s">
        <v>1043</v>
      </c>
      <c r="AK10" t="s">
        <v>1044</v>
      </c>
      <c r="AL10" t="s">
        <v>1045</v>
      </c>
      <c r="AM10" t="s">
        <v>5</v>
      </c>
      <c r="AN10" t="s">
        <v>1046</v>
      </c>
      <c r="AO10" t="s">
        <v>1047</v>
      </c>
      <c r="AP10" t="s">
        <v>1048</v>
      </c>
      <c r="AQ10" t="s">
        <v>1049</v>
      </c>
      <c r="AR10" t="s">
        <v>5</v>
      </c>
      <c r="AS10" t="s">
        <v>1050</v>
      </c>
      <c r="AT10" t="s">
        <v>1051</v>
      </c>
      <c r="AU10" t="s">
        <v>1052</v>
      </c>
      <c r="AV10" t="s">
        <v>1053</v>
      </c>
      <c r="AW10" t="s">
        <v>1054</v>
      </c>
      <c r="AX10" t="s">
        <v>619</v>
      </c>
      <c r="AY10" t="s">
        <v>339</v>
      </c>
      <c r="AZ10" t="s">
        <v>343</v>
      </c>
      <c r="BA10" t="s">
        <v>344</v>
      </c>
      <c r="BB10" t="s">
        <v>345</v>
      </c>
      <c r="BC10" t="s">
        <v>620</v>
      </c>
      <c r="BD10" t="s">
        <v>340</v>
      </c>
      <c r="BE10" t="s">
        <v>346</v>
      </c>
      <c r="BF10" t="s">
        <v>347</v>
      </c>
      <c r="BG10" t="s">
        <v>348</v>
      </c>
      <c r="BH10" t="s">
        <v>1055</v>
      </c>
      <c r="BI10" t="s">
        <v>1056</v>
      </c>
      <c r="BJ10" t="s">
        <v>1057</v>
      </c>
      <c r="BK10" t="s">
        <v>1058</v>
      </c>
      <c r="BL10" t="s">
        <v>1059</v>
      </c>
      <c r="BM10" t="s">
        <v>784</v>
      </c>
      <c r="BN10">
        <v>1.65</v>
      </c>
      <c r="BO10">
        <v>13.73</v>
      </c>
      <c r="BP10">
        <v>20.260000000000002</v>
      </c>
      <c r="BQ10">
        <v>1.9</v>
      </c>
      <c r="BR10">
        <v>15.58</v>
      </c>
      <c r="BS10">
        <v>22.09</v>
      </c>
      <c r="BT10" t="s">
        <v>913</v>
      </c>
      <c r="BU10" t="s">
        <v>303</v>
      </c>
      <c r="BV10">
        <v>42.84</v>
      </c>
      <c r="BW10">
        <v>38.909999999999997</v>
      </c>
      <c r="BX10">
        <v>42.7</v>
      </c>
      <c r="BY10">
        <v>13.94</v>
      </c>
      <c r="BZ10">
        <v>10.39</v>
      </c>
      <c r="CA10">
        <v>14.87</v>
      </c>
      <c r="CB10">
        <v>5.77</v>
      </c>
      <c r="CC10">
        <v>13.19</v>
      </c>
      <c r="CD10" t="s">
        <v>670</v>
      </c>
      <c r="CE10" t="s">
        <v>1079</v>
      </c>
      <c r="CF10" s="11">
        <v>7.8899082568807344E-2</v>
      </c>
      <c r="CG10" s="12">
        <v>2.5498976878612702</v>
      </c>
      <c r="CH10" s="11">
        <v>-6.9133579730987549E-2</v>
      </c>
      <c r="CI10" s="11">
        <v>0.24064834415912628</v>
      </c>
      <c r="CJ10" s="11">
        <v>1.2122901156544685E-2</v>
      </c>
      <c r="CK10" s="11">
        <v>0.10491842031478882</v>
      </c>
      <c r="CL10" s="11">
        <v>0.25589045882225037</v>
      </c>
      <c r="CM10" s="12">
        <v>-0.31201893091201782</v>
      </c>
      <c r="CN10" s="12">
        <v>-0.13451196253299713</v>
      </c>
      <c r="CO10" s="12">
        <v>0.22427856922149658</v>
      </c>
      <c r="CP10" s="12">
        <v>0.26057732105255127</v>
      </c>
      <c r="CQ10" s="12">
        <v>6.3051648437976837E-2</v>
      </c>
      <c r="CR10">
        <v>21.273250324840404</v>
      </c>
      <c r="CS10">
        <v>1.9536583096246467</v>
      </c>
      <c r="CT10">
        <v>1.2650918635170605</v>
      </c>
      <c r="CU10" s="11">
        <v>0.10888930894434452</v>
      </c>
      <c r="CV10" s="12">
        <v>2.0275329053401948E-2</v>
      </c>
      <c r="CW10">
        <v>0.06</v>
      </c>
      <c r="CX10">
        <v>18.295846754390347</v>
      </c>
      <c r="CY10">
        <v>2431187503.7609968</v>
      </c>
      <c r="CZ10">
        <v>0.10888930894434452</v>
      </c>
      <c r="DA10">
        <v>5.8842419135129198</v>
      </c>
      <c r="DB10">
        <v>7559280303.8658304</v>
      </c>
      <c r="DC10">
        <v>0.10344484349712729</v>
      </c>
      <c r="DD10">
        <v>2.8350704549928287</v>
      </c>
      <c r="DE10">
        <v>15689428078.115438</v>
      </c>
      <c r="DF10">
        <v>9.5822591871023183E-2</v>
      </c>
      <c r="DG10">
        <v>1.6613750917626511</v>
      </c>
      <c r="DH10">
        <v>26773384421.460094</v>
      </c>
      <c r="DI10">
        <v>8.7111447155475627E-2</v>
      </c>
      <c r="DJ10">
        <v>0.81279375512405083</v>
      </c>
      <c r="DK10">
        <v>54725609934.356895</v>
      </c>
      <c r="DL10">
        <v>7.6222516261041165E-2</v>
      </c>
      <c r="DM10">
        <v>2324000000</v>
      </c>
      <c r="DN10">
        <v>0.10888930894434452</v>
      </c>
      <c r="DO10">
        <v>44480634000</v>
      </c>
      <c r="DP10">
        <v>22919677000</v>
      </c>
      <c r="DQ10">
        <v>749</v>
      </c>
      <c r="DR10">
        <v>-2.999022637553718E-2</v>
      </c>
      <c r="DS10">
        <v>2.5296223588078681</v>
      </c>
      <c r="DT10" s="13">
        <v>-0.19000000000000003</v>
      </c>
      <c r="DU10">
        <v>0.68333333333333324</v>
      </c>
      <c r="DV10">
        <v>0.49333333333333318</v>
      </c>
      <c r="DW10">
        <v>8.4374526156178931</v>
      </c>
      <c r="DX10">
        <v>0.53637181409295454</v>
      </c>
      <c r="DY10">
        <v>8.1121505206456668</v>
      </c>
      <c r="DZ10">
        <v>1083</v>
      </c>
      <c r="EA10">
        <v>8.0884048678872595</v>
      </c>
      <c r="EB10">
        <v>8</v>
      </c>
      <c r="EC10">
        <v>0.10381035608469832</v>
      </c>
      <c r="ED10">
        <v>0.40492109654089931</v>
      </c>
      <c r="EE10" s="14">
        <v>2.1157999999999996E-2</v>
      </c>
      <c r="EF10">
        <v>5.04E-2</v>
      </c>
      <c r="EG10">
        <v>28.256371814092955</v>
      </c>
      <c r="EH10" t="s">
        <v>722</v>
      </c>
      <c r="EI10">
        <v>0</v>
      </c>
      <c r="EJ10">
        <v>1</v>
      </c>
      <c r="EK10" s="10">
        <v>45352</v>
      </c>
      <c r="EL10" s="15">
        <v>0.28000000000000003</v>
      </c>
      <c r="EM10" s="15">
        <v>4.82</v>
      </c>
      <c r="EN10" s="15">
        <v>-5.55</v>
      </c>
      <c r="EO10" s="15">
        <v>3.5200000000000002E-2</v>
      </c>
      <c r="EP10" s="15">
        <v>2.92</v>
      </c>
    </row>
    <row r="11" spans="1:146" ht="108" x14ac:dyDescent="0.25">
      <c r="A11" s="7"/>
      <c r="B11" s="7"/>
      <c r="C11" s="7" t="str">
        <f>""&amp;CHAR(10)&amp;Basic_Fundamental_Information_Constructure(F11)&amp;CHAR(10)&amp;Basic_Fundamental_Information_Concatenate("")</f>
        <v xml:space="preserve">
市值113.497616亿, 利润-1.94亿; PE59.05; 平均PE85.02; 平均PEG12.61, PB2.12; ROIC3.7733%; ROE4.07%; 股利率.4471%; 毛利38.9767%; 净利9.5867%; 上一年度营收增-96.28%, 利润增-163.19%; 当季营收增-88.81%, 利润增-1354.82%; 过往5年营收增-6.74%, 利润增-10.36%
Income profile:
</v>
      </c>
      <c r="D11" t="s">
        <v>349</v>
      </c>
      <c r="E11" t="s">
        <v>914</v>
      </c>
      <c r="F11">
        <v>13.42</v>
      </c>
      <c r="G11">
        <v>7.0000000000000007E-2</v>
      </c>
      <c r="H11" t="s">
        <v>1479</v>
      </c>
      <c r="I11">
        <v>11349761600</v>
      </c>
      <c r="J11">
        <v>59.05</v>
      </c>
      <c r="K11">
        <v>2.12</v>
      </c>
      <c r="L11" t="s">
        <v>303</v>
      </c>
      <c r="M11" t="s">
        <v>1480</v>
      </c>
      <c r="N11" t="s">
        <v>1481</v>
      </c>
      <c r="O11" t="s">
        <v>128</v>
      </c>
      <c r="P11">
        <v>-68.94</v>
      </c>
      <c r="Q11" t="s">
        <v>128</v>
      </c>
      <c r="R11">
        <v>-193523890</v>
      </c>
      <c r="S11" s="5">
        <v>-4.2370000000000001</v>
      </c>
      <c r="T11" t="s">
        <v>1482</v>
      </c>
      <c r="U11">
        <v>843405160</v>
      </c>
      <c r="V11">
        <v>845734840</v>
      </c>
      <c r="W11">
        <v>1.32</v>
      </c>
      <c r="X11">
        <v>0.02</v>
      </c>
      <c r="Y11">
        <v>-151.28</v>
      </c>
      <c r="Z11" t="s">
        <v>788</v>
      </c>
      <c r="AA11" t="s">
        <v>1483</v>
      </c>
      <c r="AB11" t="s">
        <v>182</v>
      </c>
      <c r="AC11" t="s">
        <v>1484</v>
      </c>
      <c r="AD11" t="s">
        <v>5</v>
      </c>
      <c r="AE11">
        <v>-2361564</v>
      </c>
      <c r="AF11" t="s">
        <v>1485</v>
      </c>
      <c r="AG11" t="s">
        <v>1486</v>
      </c>
      <c r="AH11" t="s">
        <v>1487</v>
      </c>
      <c r="AI11" t="s">
        <v>1488</v>
      </c>
      <c r="AJ11" t="s">
        <v>1489</v>
      </c>
      <c r="AK11" t="s">
        <v>89</v>
      </c>
      <c r="AL11" t="s">
        <v>1490</v>
      </c>
      <c r="AM11" t="s">
        <v>5</v>
      </c>
      <c r="AN11" t="s">
        <v>1061</v>
      </c>
      <c r="AO11" t="s">
        <v>5</v>
      </c>
      <c r="AP11" t="s">
        <v>110</v>
      </c>
      <c r="AQ11" t="s">
        <v>85</v>
      </c>
      <c r="AR11" t="s">
        <v>5</v>
      </c>
      <c r="AS11" t="s">
        <v>1491</v>
      </c>
      <c r="AT11" t="s">
        <v>5</v>
      </c>
      <c r="AU11" t="s">
        <v>1492</v>
      </c>
      <c r="AV11" t="s">
        <v>1493</v>
      </c>
      <c r="AW11" t="s">
        <v>1494</v>
      </c>
      <c r="AX11" t="s">
        <v>915</v>
      </c>
      <c r="AY11" t="s">
        <v>916</v>
      </c>
      <c r="AZ11" t="s">
        <v>350</v>
      </c>
      <c r="BA11" t="s">
        <v>352</v>
      </c>
      <c r="BB11" t="s">
        <v>353</v>
      </c>
      <c r="BC11" t="s">
        <v>235</v>
      </c>
      <c r="BD11" t="s">
        <v>117</v>
      </c>
      <c r="BE11" t="s">
        <v>116</v>
      </c>
      <c r="BF11" t="s">
        <v>140</v>
      </c>
      <c r="BG11" t="s">
        <v>137</v>
      </c>
      <c r="BH11" t="s">
        <v>1495</v>
      </c>
      <c r="BI11" t="s">
        <v>1062</v>
      </c>
      <c r="BJ11" t="s">
        <v>915</v>
      </c>
      <c r="BK11" t="s">
        <v>787</v>
      </c>
      <c r="BL11" t="s">
        <v>1063</v>
      </c>
      <c r="BM11" t="s">
        <v>235</v>
      </c>
      <c r="BN11">
        <v>1.08</v>
      </c>
      <c r="BO11">
        <v>5.61</v>
      </c>
      <c r="BP11">
        <v>4.63</v>
      </c>
      <c r="BQ11">
        <v>1.45</v>
      </c>
      <c r="BR11">
        <v>5.9</v>
      </c>
      <c r="BS11">
        <v>4.8600000000000003</v>
      </c>
      <c r="BT11" t="s">
        <v>878</v>
      </c>
      <c r="BU11" t="s">
        <v>1296</v>
      </c>
      <c r="BV11">
        <v>42.33</v>
      </c>
      <c r="BW11">
        <v>36.68</v>
      </c>
      <c r="BX11">
        <v>37.92</v>
      </c>
      <c r="BY11">
        <v>11.25</v>
      </c>
      <c r="BZ11">
        <v>8.9499999999999993</v>
      </c>
      <c r="CA11">
        <v>8.56</v>
      </c>
      <c r="CB11">
        <v>-5.69</v>
      </c>
      <c r="CC11">
        <v>-17.010000000000002</v>
      </c>
      <c r="CD11" t="s">
        <v>1496</v>
      </c>
      <c r="CE11" t="s">
        <v>47</v>
      </c>
      <c r="CF11" s="11">
        <v>-0.88811188811188813</v>
      </c>
      <c r="CG11" s="12">
        <v>-13.548234386347131</v>
      </c>
      <c r="CH11" s="11">
        <v>-0.9627690315246582</v>
      </c>
      <c r="CI11" s="11">
        <v>0.16345179080963135</v>
      </c>
      <c r="CJ11" s="11">
        <v>0.23951345682144165</v>
      </c>
      <c r="CK11" s="11">
        <v>0.13307984173297882</v>
      </c>
      <c r="CL11" s="11">
        <v>8.9590921998023987E-2</v>
      </c>
      <c r="CM11" s="12">
        <v>-1.6319217681884766</v>
      </c>
      <c r="CN11" s="12">
        <v>0.22310757637023926</v>
      </c>
      <c r="CO11" s="12">
        <v>0.5590062141418457</v>
      </c>
      <c r="CP11" s="12">
        <v>3.2051283866167068E-2</v>
      </c>
      <c r="CQ11" s="12">
        <v>0.30000001192092896</v>
      </c>
      <c r="CR11">
        <v>85.016940823970032</v>
      </c>
      <c r="CS11">
        <v>12.608812507147864</v>
      </c>
      <c r="CT11">
        <v>0.4470938897168405</v>
      </c>
      <c r="CU11" s="11">
        <v>-6.7426604032516477E-2</v>
      </c>
      <c r="CV11" s="12">
        <v>-0.10355133637785911</v>
      </c>
      <c r="CW11">
        <v>0.06</v>
      </c>
      <c r="CX11" t="e">
        <v>#VALUE!</v>
      </c>
      <c r="CY11" t="s">
        <v>740</v>
      </c>
      <c r="CZ11">
        <v>-6.7426604032516477E-2</v>
      </c>
      <c r="DA11" t="e">
        <v>#VALUE!</v>
      </c>
      <c r="DB11" t="s">
        <v>741</v>
      </c>
      <c r="DC11">
        <v>-6.4055273830890644E-2</v>
      </c>
      <c r="DD11" t="e">
        <v>#VALUE!</v>
      </c>
      <c r="DE11" t="s">
        <v>741</v>
      </c>
      <c r="DF11">
        <v>-5.9335411548614499E-2</v>
      </c>
      <c r="DG11" t="e">
        <v>#VALUE!</v>
      </c>
      <c r="DH11" t="s">
        <v>741</v>
      </c>
      <c r="DI11">
        <v>-5.3941283226013187E-2</v>
      </c>
      <c r="DJ11" t="e">
        <v>#VALUE!</v>
      </c>
      <c r="DK11" t="s">
        <v>741</v>
      </c>
      <c r="DL11">
        <v>-4.7198622822761528E-2</v>
      </c>
      <c r="DM11">
        <v>-194000000</v>
      </c>
      <c r="DN11">
        <v>-6.7426604032516477E-2</v>
      </c>
      <c r="DO11">
        <v>8090761600</v>
      </c>
      <c r="DP11">
        <v>3398530100</v>
      </c>
      <c r="DQ11">
        <v>775</v>
      </c>
      <c r="DR11">
        <v>-0.82068528407937169</v>
      </c>
      <c r="DS11">
        <v>-13.444683049969273</v>
      </c>
      <c r="DT11" s="13">
        <v>-0.49</v>
      </c>
      <c r="DU11">
        <v>-1.2649999999999999</v>
      </c>
      <c r="DV11">
        <v>-1.7549999999999999</v>
      </c>
      <c r="DW11">
        <v>-8.3345091122868897</v>
      </c>
      <c r="DX11">
        <v>0.36199234042553102</v>
      </c>
      <c r="DY11">
        <v>-8.0541879139930206</v>
      </c>
      <c r="DZ11">
        <v>3151</v>
      </c>
      <c r="EA11">
        <v>-8.0207738010787342</v>
      </c>
      <c r="EB11">
        <v>8</v>
      </c>
      <c r="EC11">
        <v>4.50119803507208E-2</v>
      </c>
      <c r="ED11">
        <v>0.27786486837884083</v>
      </c>
      <c r="EE11" s="14">
        <v>-2.024</v>
      </c>
      <c r="EF11">
        <v>-2.0055999999999998</v>
      </c>
      <c r="EG11">
        <v>20.161992340425531</v>
      </c>
      <c r="EH11" t="s">
        <v>1119</v>
      </c>
      <c r="EI11">
        <v>0</v>
      </c>
      <c r="EJ11">
        <v>0</v>
      </c>
      <c r="EK11" s="10">
        <v>45470</v>
      </c>
      <c r="EL11" s="15">
        <v>-0.14000000000000001</v>
      </c>
      <c r="EM11" s="15">
        <v>-3.85</v>
      </c>
      <c r="EN11" s="15">
        <v>-2.67</v>
      </c>
      <c r="EO11" s="15">
        <v>6</v>
      </c>
      <c r="EP11" s="15">
        <v>-1.84</v>
      </c>
    </row>
    <row r="12" spans="1:146" ht="108" x14ac:dyDescent="0.25">
      <c r="A12" s="7"/>
      <c r="B12" s="7"/>
      <c r="C12" s="7" t="e">
        <f>""&amp;CHAR(10)&amp;Basic_Fundamental_Information_Constructure(F12)&amp;CHAR(10)&amp;Basic_Fundamental_Information_Concatenate("")</f>
        <v>#VALUE!</v>
      </c>
      <c r="D12" t="s">
        <v>354</v>
      </c>
      <c r="E12" t="s">
        <v>355</v>
      </c>
      <c r="F12" t="s">
        <v>5</v>
      </c>
      <c r="G12" t="s">
        <v>5</v>
      </c>
      <c r="H12" t="s">
        <v>5</v>
      </c>
      <c r="I12">
        <v>1785242900</v>
      </c>
      <c r="K12">
        <v>0.89200000000000002</v>
      </c>
      <c r="L12" t="s">
        <v>303</v>
      </c>
      <c r="M12" t="s">
        <v>5</v>
      </c>
      <c r="N12" t="s">
        <v>5</v>
      </c>
      <c r="O12" t="s">
        <v>5</v>
      </c>
      <c r="P12" t="s">
        <v>5</v>
      </c>
      <c r="Q12" t="s">
        <v>5</v>
      </c>
      <c r="R12">
        <v>-60000000</v>
      </c>
      <c r="S12" s="5">
        <v>-0.8236</v>
      </c>
      <c r="T12" t="s">
        <v>5</v>
      </c>
      <c r="U12">
        <v>900755980</v>
      </c>
      <c r="V12">
        <v>906214650</v>
      </c>
      <c r="W12" t="s">
        <v>5</v>
      </c>
      <c r="X12" t="s">
        <v>5</v>
      </c>
      <c r="Y12" t="s">
        <v>5</v>
      </c>
      <c r="Z12" t="s">
        <v>5</v>
      </c>
      <c r="AA12" t="s">
        <v>5</v>
      </c>
      <c r="AB12" t="s">
        <v>5</v>
      </c>
      <c r="AC12" t="s">
        <v>5</v>
      </c>
      <c r="AD12" t="s">
        <v>5</v>
      </c>
      <c r="AE12">
        <v>-19620796</v>
      </c>
      <c r="AF12" t="s">
        <v>1066</v>
      </c>
      <c r="AG12" t="s">
        <v>5</v>
      </c>
      <c r="AH12" t="s">
        <v>1067</v>
      </c>
      <c r="AI12" t="s">
        <v>5</v>
      </c>
      <c r="AJ12" t="s">
        <v>1068</v>
      </c>
      <c r="AK12" t="s">
        <v>5</v>
      </c>
      <c r="AL12" t="s">
        <v>1069</v>
      </c>
      <c r="AM12" t="s">
        <v>5</v>
      </c>
      <c r="AN12" t="s">
        <v>5</v>
      </c>
      <c r="AO12" t="s">
        <v>5</v>
      </c>
      <c r="AP12" t="s">
        <v>5</v>
      </c>
      <c r="AQ12" t="s">
        <v>5</v>
      </c>
      <c r="AR12" t="s">
        <v>5</v>
      </c>
      <c r="AS12" t="s">
        <v>5</v>
      </c>
      <c r="AT12" t="s">
        <v>5</v>
      </c>
      <c r="AU12" t="s">
        <v>5</v>
      </c>
      <c r="AV12" t="s">
        <v>5</v>
      </c>
      <c r="AW12" t="s">
        <v>5</v>
      </c>
      <c r="AX12" t="s">
        <v>168</v>
      </c>
      <c r="AY12" t="s">
        <v>621</v>
      </c>
      <c r="AZ12" t="s">
        <v>266</v>
      </c>
      <c r="BA12" t="s">
        <v>357</v>
      </c>
      <c r="BB12" t="s">
        <v>358</v>
      </c>
      <c r="BC12" t="s">
        <v>917</v>
      </c>
      <c r="BD12" t="s">
        <v>622</v>
      </c>
      <c r="BE12" t="s">
        <v>356</v>
      </c>
      <c r="BF12" t="s">
        <v>359</v>
      </c>
      <c r="BG12" t="s">
        <v>145</v>
      </c>
      <c r="BH12" t="s">
        <v>5</v>
      </c>
      <c r="BI12" t="s">
        <v>790</v>
      </c>
      <c r="BJ12" t="s">
        <v>168</v>
      </c>
      <c r="BK12" t="s">
        <v>5</v>
      </c>
      <c r="BL12" t="s">
        <v>1071</v>
      </c>
      <c r="BM12" t="s">
        <v>917</v>
      </c>
      <c r="BN12">
        <v>0.17</v>
      </c>
      <c r="BO12">
        <v>0.95</v>
      </c>
      <c r="BP12" t="s">
        <v>5</v>
      </c>
      <c r="BQ12">
        <v>0.68</v>
      </c>
      <c r="BR12">
        <v>2.15</v>
      </c>
      <c r="BS12">
        <v>-18.559999999999999</v>
      </c>
      <c r="BT12" t="s">
        <v>5</v>
      </c>
      <c r="BU12" t="s">
        <v>1296</v>
      </c>
      <c r="BV12" t="s">
        <v>5</v>
      </c>
      <c r="BW12">
        <v>43.5</v>
      </c>
      <c r="BX12">
        <v>45.59</v>
      </c>
      <c r="BY12" t="s">
        <v>5</v>
      </c>
      <c r="BZ12">
        <v>8.15</v>
      </c>
      <c r="CA12">
        <v>-57.58</v>
      </c>
      <c r="CB12">
        <v>0</v>
      </c>
      <c r="CC12">
        <v>0</v>
      </c>
      <c r="CD12" t="s">
        <v>5</v>
      </c>
      <c r="CE12" t="s">
        <v>5</v>
      </c>
      <c r="CF12" s="11" t="s">
        <v>5</v>
      </c>
      <c r="CG12" s="12" t="s">
        <v>5</v>
      </c>
      <c r="CH12" s="11" t="s">
        <v>5</v>
      </c>
      <c r="CI12" s="11">
        <v>-0.25253990292549133</v>
      </c>
      <c r="CJ12" s="11">
        <v>7.488299161195755E-2</v>
      </c>
      <c r="CK12" s="11">
        <v>-0.41833031177520752</v>
      </c>
      <c r="CL12" s="11">
        <v>-5.8119658380746841E-2</v>
      </c>
      <c r="CM12" s="12" t="s">
        <v>5</v>
      </c>
      <c r="CN12" s="12">
        <v>1.10587477684021</v>
      </c>
      <c r="CO12" s="12">
        <v>-12.062688827514648</v>
      </c>
      <c r="CP12" s="12">
        <v>1.0290787220001221</v>
      </c>
      <c r="CQ12" s="12">
        <v>-8.7911396026611328</v>
      </c>
      <c r="CR12">
        <v>-6.415840016399315</v>
      </c>
      <c r="CS12">
        <v>-0.39234199780841733</v>
      </c>
      <c r="CT12">
        <v>0</v>
      </c>
      <c r="CU12" s="11">
        <v>-0.16352672036737204</v>
      </c>
      <c r="CV12" s="12">
        <v>-4.6797187328338623</v>
      </c>
      <c r="CW12">
        <v>0.06</v>
      </c>
      <c r="CX12" t="e">
        <v>#VALUE!</v>
      </c>
      <c r="CY12" t="s">
        <v>778</v>
      </c>
      <c r="CZ12">
        <v>-0.16352672036737204</v>
      </c>
      <c r="DA12" t="e">
        <v>#DIV/0!</v>
      </c>
      <c r="DB12" t="s">
        <v>1497</v>
      </c>
      <c r="DC12">
        <v>-0.15535038434900342</v>
      </c>
      <c r="DD12" t="e">
        <v>#DIV/0!</v>
      </c>
      <c r="DE12" t="s">
        <v>1497</v>
      </c>
      <c r="DF12">
        <v>-0.1439035139232874</v>
      </c>
      <c r="DG12" t="e">
        <v>#DIV/0!</v>
      </c>
      <c r="DH12" t="s">
        <v>1497</v>
      </c>
      <c r="DI12">
        <v>-0.13082137629389765</v>
      </c>
      <c r="DJ12" t="e">
        <v>#DIV/0!</v>
      </c>
      <c r="DK12" t="s">
        <v>1497</v>
      </c>
      <c r="DL12">
        <v>-0.11446870425716042</v>
      </c>
      <c r="DM12">
        <v>0</v>
      </c>
      <c r="DN12">
        <v>-0.16352672036737204</v>
      </c>
      <c r="DO12">
        <v>1785242900</v>
      </c>
      <c r="DP12">
        <v>2019991800</v>
      </c>
      <c r="DQ12">
        <v>815</v>
      </c>
      <c r="DR12" t="e">
        <v>#VALUE!</v>
      </c>
      <c r="DS12" t="e">
        <v>#VALUE!</v>
      </c>
      <c r="DT12" s="13" t="e">
        <v>#VALUE!</v>
      </c>
      <c r="DU12" t="e">
        <v>#VALUE!</v>
      </c>
      <c r="DV12" t="e">
        <v>#VALUE!</v>
      </c>
      <c r="DW12">
        <v>0</v>
      </c>
      <c r="DX12" t="e">
        <v>#VALUE!</v>
      </c>
      <c r="DY12" t="e">
        <v>#VALUE!</v>
      </c>
      <c r="DZ12" t="s">
        <v>894</v>
      </c>
      <c r="EA12" t="e">
        <v>#VALUE!</v>
      </c>
      <c r="EB12" t="e">
        <v>#VALUE!</v>
      </c>
      <c r="EC12">
        <v>0</v>
      </c>
      <c r="ED12">
        <v>0</v>
      </c>
      <c r="EE12" s="14">
        <v>-8.0084</v>
      </c>
      <c r="EF12">
        <v>-8.0084</v>
      </c>
      <c r="EG12" t="e">
        <v>#VALUE!</v>
      </c>
      <c r="EH12" t="s">
        <v>1498</v>
      </c>
      <c r="EI12" t="e">
        <v>#VALUE!</v>
      </c>
      <c r="EJ12">
        <v>0</v>
      </c>
      <c r="EK12" s="10">
        <v>45470</v>
      </c>
      <c r="EL12" s="15">
        <v>0</v>
      </c>
      <c r="EM12" s="15">
        <v>0</v>
      </c>
      <c r="EN12" s="15">
        <v>0</v>
      </c>
      <c r="EO12" s="15">
        <v>0</v>
      </c>
      <c r="EP12" s="15">
        <v>0</v>
      </c>
    </row>
    <row r="13" spans="1:146" ht="108" x14ac:dyDescent="0.25">
      <c r="A13" s="7"/>
      <c r="B13" s="7"/>
      <c r="C13" s="7" t="str">
        <f>""&amp;CHAR(10)&amp;Basic_Fundamental_Information_Constructure(F13)&amp;CHAR(10)&amp;Basic_Fundamental_Information_Concatenate("")</f>
        <v xml:space="preserve">
市值33.655683亿, 利润-1813.63万; PE90.98; 平均PE20.41; 平均PEG1.08, PB1.15; ROIC1.3033%; ROE1.0133%; 股利率2.8902%; 毛利29.3233%; 净利3.07%; 上一年度营收增-81.99%, 利润增29.34%; 当季营收增-57.38%, 利润增-267.83%; 过往5年营收增-18.95%, 利润增-33.43%
Income profile:
</v>
      </c>
      <c r="D13" t="s">
        <v>360</v>
      </c>
      <c r="E13" t="s">
        <v>361</v>
      </c>
      <c r="F13">
        <v>5.19</v>
      </c>
      <c r="G13">
        <v>0.57999999999999996</v>
      </c>
      <c r="H13" t="s">
        <v>1499</v>
      </c>
      <c r="I13">
        <v>3365568300</v>
      </c>
      <c r="J13">
        <v>90.98</v>
      </c>
      <c r="K13">
        <v>1.1499999999999999</v>
      </c>
      <c r="L13" t="s">
        <v>303</v>
      </c>
      <c r="M13" t="s">
        <v>1500</v>
      </c>
      <c r="N13" t="s">
        <v>1501</v>
      </c>
      <c r="O13" t="s">
        <v>1192</v>
      </c>
      <c r="P13">
        <v>5.24</v>
      </c>
      <c r="Q13" t="s">
        <v>1192</v>
      </c>
      <c r="R13">
        <v>-18136281</v>
      </c>
      <c r="S13" s="5">
        <v>0.49430000000000002</v>
      </c>
      <c r="T13" t="s">
        <v>1502</v>
      </c>
      <c r="U13">
        <v>625316750</v>
      </c>
      <c r="V13">
        <v>648471730</v>
      </c>
      <c r="W13">
        <v>1.58</v>
      </c>
      <c r="X13">
        <v>0.08</v>
      </c>
      <c r="Y13">
        <v>-2.1</v>
      </c>
      <c r="Z13" t="s">
        <v>261</v>
      </c>
      <c r="AA13" t="s">
        <v>194</v>
      </c>
      <c r="AB13" t="s">
        <v>1503</v>
      </c>
      <c r="AC13" t="s">
        <v>1504</v>
      </c>
      <c r="AD13" t="s">
        <v>5</v>
      </c>
      <c r="AE13">
        <v>11690023</v>
      </c>
      <c r="AF13" t="s">
        <v>1505</v>
      </c>
      <c r="AG13" t="s">
        <v>1506</v>
      </c>
      <c r="AH13" t="s">
        <v>1507</v>
      </c>
      <c r="AI13" t="s">
        <v>1508</v>
      </c>
      <c r="AJ13" t="s">
        <v>1509</v>
      </c>
      <c r="AK13" t="s">
        <v>1510</v>
      </c>
      <c r="AL13" t="s">
        <v>1511</v>
      </c>
      <c r="AM13" t="s">
        <v>5</v>
      </c>
      <c r="AN13" t="s">
        <v>1512</v>
      </c>
      <c r="AO13" t="s">
        <v>1072</v>
      </c>
      <c r="AP13" t="s">
        <v>176</v>
      </c>
      <c r="AQ13" t="s">
        <v>146</v>
      </c>
      <c r="AR13" t="s">
        <v>5</v>
      </c>
      <c r="AS13" t="s">
        <v>1513</v>
      </c>
      <c r="AT13" t="s">
        <v>5</v>
      </c>
      <c r="AU13" t="s">
        <v>1514</v>
      </c>
      <c r="AV13" t="s">
        <v>1515</v>
      </c>
      <c r="AW13" t="s">
        <v>1516</v>
      </c>
      <c r="AX13" t="s">
        <v>918</v>
      </c>
      <c r="AY13" t="s">
        <v>624</v>
      </c>
      <c r="AZ13" t="s">
        <v>362</v>
      </c>
      <c r="BA13" t="s">
        <v>298</v>
      </c>
      <c r="BB13" t="s">
        <v>104</v>
      </c>
      <c r="BC13" t="s">
        <v>919</v>
      </c>
      <c r="BD13" t="s">
        <v>92</v>
      </c>
      <c r="BE13" t="s">
        <v>139</v>
      </c>
      <c r="BF13" t="s">
        <v>101</v>
      </c>
      <c r="BG13" t="s">
        <v>192</v>
      </c>
      <c r="BH13" t="s">
        <v>1221</v>
      </c>
      <c r="BI13" t="s">
        <v>1073</v>
      </c>
      <c r="BJ13" t="s">
        <v>918</v>
      </c>
      <c r="BK13" t="s">
        <v>1517</v>
      </c>
      <c r="BL13" t="s">
        <v>1074</v>
      </c>
      <c r="BM13" t="s">
        <v>919</v>
      </c>
      <c r="BN13">
        <v>0.37</v>
      </c>
      <c r="BO13">
        <v>-0.76</v>
      </c>
      <c r="BP13">
        <v>4.3</v>
      </c>
      <c r="BQ13">
        <v>-0.19</v>
      </c>
      <c r="BR13">
        <v>-0.73</v>
      </c>
      <c r="BS13">
        <v>3.96</v>
      </c>
      <c r="BT13" t="s">
        <v>871</v>
      </c>
      <c r="BU13" t="s">
        <v>1296</v>
      </c>
      <c r="BV13">
        <v>30.76</v>
      </c>
      <c r="BW13">
        <v>27.67</v>
      </c>
      <c r="BX13">
        <v>29.54</v>
      </c>
      <c r="BY13">
        <v>2.4500000000000002</v>
      </c>
      <c r="BZ13">
        <v>-7.0000000000000007E-2</v>
      </c>
      <c r="CA13">
        <v>6.83</v>
      </c>
      <c r="CB13">
        <v>-3.71</v>
      </c>
      <c r="CC13">
        <v>-10.050000000000001</v>
      </c>
      <c r="CD13" t="s">
        <v>1518</v>
      </c>
      <c r="CE13" t="s">
        <v>167</v>
      </c>
      <c r="CF13" s="11">
        <v>-0.57380457380457384</v>
      </c>
      <c r="CG13" s="12">
        <v>-2.6783062657894003</v>
      </c>
      <c r="CH13" s="11">
        <v>-0.81993848085403442</v>
      </c>
      <c r="CI13" s="11">
        <v>-0.13945585489273071</v>
      </c>
      <c r="CJ13" s="11">
        <v>0.10434062033891678</v>
      </c>
      <c r="CK13" s="11">
        <v>-2.2439846768975258E-2</v>
      </c>
      <c r="CL13" s="11">
        <v>-6.9829218089580536E-2</v>
      </c>
      <c r="CM13" s="12">
        <v>0.29343035817146301</v>
      </c>
      <c r="CN13" s="12">
        <v>-1.1758089065551758</v>
      </c>
      <c r="CO13" s="12">
        <v>-0.21081081032752991</v>
      </c>
      <c r="CP13" s="12">
        <v>-0.42546585202217102</v>
      </c>
      <c r="CQ13" s="12">
        <v>-0.15263158082962036</v>
      </c>
      <c r="CR13">
        <v>20.413970502901549</v>
      </c>
      <c r="CS13">
        <v>1.077455906695328</v>
      </c>
      <c r="CT13">
        <v>2.8901734104046239</v>
      </c>
      <c r="CU13" s="11">
        <v>-0.18946455605328083</v>
      </c>
      <c r="CV13" s="12">
        <v>-0.33425735831260683</v>
      </c>
      <c r="CW13">
        <v>0.06</v>
      </c>
      <c r="CX13" t="e">
        <v>#VALUE!</v>
      </c>
      <c r="CY13" t="s">
        <v>740</v>
      </c>
      <c r="CZ13">
        <v>-0.18946455605328083</v>
      </c>
      <c r="DA13" t="e">
        <v>#VALUE!</v>
      </c>
      <c r="DB13" t="s">
        <v>741</v>
      </c>
      <c r="DC13">
        <v>-0.17999132825061678</v>
      </c>
      <c r="DD13" t="e">
        <v>#VALUE!</v>
      </c>
      <c r="DE13" t="s">
        <v>741</v>
      </c>
      <c r="DF13">
        <v>-0.16672880932688713</v>
      </c>
      <c r="DG13" t="e">
        <v>#VALUE!</v>
      </c>
      <c r="DH13" t="s">
        <v>741</v>
      </c>
      <c r="DI13">
        <v>-0.15157164484262467</v>
      </c>
      <c r="DJ13" t="e">
        <v>#VALUE!</v>
      </c>
      <c r="DK13" t="s">
        <v>741</v>
      </c>
      <c r="DL13">
        <v>-0.13262518923729658</v>
      </c>
      <c r="DM13">
        <v>-18136300</v>
      </c>
      <c r="DN13">
        <v>-0.18946455605328083</v>
      </c>
      <c r="DO13">
        <v>1992568300</v>
      </c>
      <c r="DP13">
        <v>1089523300</v>
      </c>
      <c r="DQ13">
        <v>882</v>
      </c>
      <c r="DR13">
        <v>-0.38434001775129301</v>
      </c>
      <c r="DS13">
        <v>-2.3440489074767936</v>
      </c>
      <c r="DT13" s="13">
        <v>-0.77333333333333332</v>
      </c>
      <c r="DU13">
        <v>-2.2149999999999999</v>
      </c>
      <c r="DV13">
        <v>-2.9883333333333333</v>
      </c>
      <c r="DW13">
        <v>-8.3691542288557219</v>
      </c>
      <c r="DX13">
        <v>0.35142575757575784</v>
      </c>
      <c r="DY13">
        <v>-8.0632825433438864</v>
      </c>
      <c r="DZ13">
        <v>4117</v>
      </c>
      <c r="EA13">
        <v>-8.0122973709472554</v>
      </c>
      <c r="EB13">
        <v>8</v>
      </c>
      <c r="EC13">
        <v>3.4894659170415954E-2</v>
      </c>
      <c r="ED13">
        <v>0.20355551968317878</v>
      </c>
      <c r="EE13" s="14">
        <v>-3.0478100000000001</v>
      </c>
      <c r="EF13">
        <v>-3.0569099999999998</v>
      </c>
      <c r="EG13">
        <v>18.171425757575758</v>
      </c>
      <c r="EH13" t="s">
        <v>1095</v>
      </c>
      <c r="EI13">
        <v>0</v>
      </c>
      <c r="EJ13">
        <v>0</v>
      </c>
      <c r="EK13" s="10">
        <v>45470</v>
      </c>
      <c r="EL13" s="15">
        <v>0.18</v>
      </c>
      <c r="EM13" s="15">
        <v>-4.8899999999999997</v>
      </c>
      <c r="EN13" s="15">
        <v>-1.33</v>
      </c>
      <c r="EO13" s="15">
        <v>5.6</v>
      </c>
      <c r="EP13" s="15">
        <v>-0.91</v>
      </c>
    </row>
    <row r="14" spans="1:146" ht="192" x14ac:dyDescent="0.25">
      <c r="A14" s="7"/>
      <c r="B14" s="7"/>
      <c r="C14" s="7" t="str">
        <f>"公司的主营业务是以视频为核心的智能物联网解决方案和大数据服务提供商,业务聚焦于综合安防、大数据服务和智慧业务,构建开放合作生态,为公共服务领域用户、企事业用户和中小企业用户提供服务,致力于构筑云边融合、物信融合、数智融合的智慧城市和数字化企业。"&amp;CHAR(10)&amp;Basic_Fundamental_Information_Constructure(F14)&amp;CHAR(10)&amp;Basic_Fundamental_Information_Concatenate("主业产品及服务 293.66亿 78.82% 81.49% 44.61%
创新业务 70.08亿 18.81% 17.55% 40.25%
主业建造工程 8.84亿 2.37% 0.96% 17.53%")</f>
        <v>公司的主营业务是以视频为核心的智能物联网解决方案和大数据服务提供商,业务聚焦于综合安防、大数据服务和智慧业务,构建开放合作生态,为公共服务领域用户、企事业用户和中小企业用户提供服务,致力于构筑云边融合、物信融合、数智融合的智慧城市和数字化企业。
市值2783.3183亿, 利润19.16亿; PE19.58; 平均PE24.31; 平均PEG5.43, PB3.55; ROIC17.0833%; ROE20.4%; 股利率3.0171%; 毛利43.6867%; 净利18.2567%; 上一年度营收增-78.58%, 利润增-85.08%; 当季营收增-52.58%, 利润增-64.11%; 过往5年营收增-4.48%, 利润增-13.19%
Income profile:
主业产品及服务 293.66亿 78.82% 81.49% 44.61%
创新业务 70.08亿 18.81% 17.55% 40.25%
主业建造工程 8.84亿 2.37% 0.96% 17.53%</v>
      </c>
      <c r="D14" t="s">
        <v>363</v>
      </c>
      <c r="E14" t="s">
        <v>364</v>
      </c>
      <c r="F14">
        <v>29.83</v>
      </c>
      <c r="G14">
        <v>0.27</v>
      </c>
      <c r="H14" t="s">
        <v>1519</v>
      </c>
      <c r="I14">
        <v>278331830000</v>
      </c>
      <c r="J14">
        <v>19.579999999999998</v>
      </c>
      <c r="K14">
        <v>3.55</v>
      </c>
      <c r="L14" t="s">
        <v>303</v>
      </c>
      <c r="M14" t="s">
        <v>1520</v>
      </c>
      <c r="N14" t="s">
        <v>1521</v>
      </c>
      <c r="O14" t="s">
        <v>1522</v>
      </c>
      <c r="P14">
        <v>9.98</v>
      </c>
      <c r="Q14" t="s">
        <v>1522</v>
      </c>
      <c r="R14">
        <v>1915903200</v>
      </c>
      <c r="S14" s="5">
        <v>5.7799999999999997E-2</v>
      </c>
      <c r="T14" t="s">
        <v>1523</v>
      </c>
      <c r="U14">
        <v>9108318300</v>
      </c>
      <c r="V14">
        <v>9330600900</v>
      </c>
      <c r="W14">
        <v>1.56</v>
      </c>
      <c r="X14">
        <v>0.13</v>
      </c>
      <c r="Y14">
        <v>12.47</v>
      </c>
      <c r="Z14" t="s">
        <v>1524</v>
      </c>
      <c r="AA14" t="s">
        <v>1525</v>
      </c>
      <c r="AB14" t="s">
        <v>1526</v>
      </c>
      <c r="AC14" t="s">
        <v>1527</v>
      </c>
      <c r="AD14" t="s">
        <v>5</v>
      </c>
      <c r="AE14">
        <v>-37397523</v>
      </c>
      <c r="AF14" t="s">
        <v>1528</v>
      </c>
      <c r="AG14" t="s">
        <v>1529</v>
      </c>
      <c r="AH14" t="s">
        <v>1530</v>
      </c>
      <c r="AI14" t="s">
        <v>1531</v>
      </c>
      <c r="AJ14" t="s">
        <v>1532</v>
      </c>
      <c r="AK14" t="s">
        <v>1533</v>
      </c>
      <c r="AL14" t="s">
        <v>1534</v>
      </c>
      <c r="AM14" t="s">
        <v>5</v>
      </c>
      <c r="AN14" t="s">
        <v>1535</v>
      </c>
      <c r="AO14" t="s">
        <v>1536</v>
      </c>
      <c r="AP14" t="s">
        <v>1090</v>
      </c>
      <c r="AQ14" t="s">
        <v>1537</v>
      </c>
      <c r="AR14" t="s">
        <v>5</v>
      </c>
      <c r="AS14" t="s">
        <v>1538</v>
      </c>
      <c r="AT14" t="s">
        <v>1539</v>
      </c>
      <c r="AU14" t="s">
        <v>1540</v>
      </c>
      <c r="AV14" t="s">
        <v>1541</v>
      </c>
      <c r="AW14" t="s">
        <v>1542</v>
      </c>
      <c r="AX14" t="s">
        <v>920</v>
      </c>
      <c r="AY14" t="s">
        <v>625</v>
      </c>
      <c r="AZ14" t="s">
        <v>365</v>
      </c>
      <c r="BA14" t="s">
        <v>367</v>
      </c>
      <c r="BB14" t="s">
        <v>368</v>
      </c>
      <c r="BC14" t="s">
        <v>1543</v>
      </c>
      <c r="BD14" t="s">
        <v>626</v>
      </c>
      <c r="BE14" t="s">
        <v>366</v>
      </c>
      <c r="BF14" t="s">
        <v>369</v>
      </c>
      <c r="BG14" t="s">
        <v>370</v>
      </c>
      <c r="BH14" t="s">
        <v>1544</v>
      </c>
      <c r="BI14" t="s">
        <v>1076</v>
      </c>
      <c r="BJ14" t="s">
        <v>920</v>
      </c>
      <c r="BK14" t="s">
        <v>1545</v>
      </c>
      <c r="BL14" t="s">
        <v>1077</v>
      </c>
      <c r="BM14" t="s">
        <v>1543</v>
      </c>
      <c r="BN14">
        <v>10.18</v>
      </c>
      <c r="BO14">
        <v>16.45</v>
      </c>
      <c r="BP14">
        <v>24.62</v>
      </c>
      <c r="BQ14">
        <v>12.59</v>
      </c>
      <c r="BR14">
        <v>19.62</v>
      </c>
      <c r="BS14">
        <v>28.99</v>
      </c>
      <c r="BT14" t="s">
        <v>1546</v>
      </c>
      <c r="BU14" t="s">
        <v>1547</v>
      </c>
      <c r="BV14">
        <v>44.44</v>
      </c>
      <c r="BW14">
        <v>42.29</v>
      </c>
      <c r="BX14">
        <v>44.33</v>
      </c>
      <c r="BY14">
        <v>16.96</v>
      </c>
      <c r="BZ14">
        <v>16.3</v>
      </c>
      <c r="CA14">
        <v>21.51</v>
      </c>
      <c r="CB14">
        <v>-3.49</v>
      </c>
      <c r="CC14">
        <v>-8.16</v>
      </c>
      <c r="CD14" t="s">
        <v>135</v>
      </c>
      <c r="CE14" t="s">
        <v>967</v>
      </c>
      <c r="CF14" s="11">
        <v>-0.52575124431077158</v>
      </c>
      <c r="CG14" s="12">
        <v>-0.64108220307231167</v>
      </c>
      <c r="CH14" s="11">
        <v>-0.78575378656387329</v>
      </c>
      <c r="CI14" s="11">
        <v>2.1444385871291161E-2</v>
      </c>
      <c r="CJ14" s="11">
        <v>0.28214418888092041</v>
      </c>
      <c r="CK14" s="11">
        <v>0.10137362033128738</v>
      </c>
      <c r="CL14" s="11">
        <v>0.15693160891532898</v>
      </c>
      <c r="CM14" s="12">
        <v>-0.85075557231903076</v>
      </c>
      <c r="CN14" s="12">
        <v>-0.23583336174488068</v>
      </c>
      <c r="CO14" s="12">
        <v>0.25504255294799805</v>
      </c>
      <c r="CP14" s="12">
        <v>7.8211911022663116E-2</v>
      </c>
      <c r="CQ14" s="12">
        <v>9.36397984623909E-2</v>
      </c>
      <c r="CR14">
        <v>24.305980176692334</v>
      </c>
      <c r="CS14">
        <v>5.4288354484325758</v>
      </c>
      <c r="CT14">
        <v>3.0170968823332216</v>
      </c>
      <c r="CU14" s="11">
        <v>-4.4771996513009074E-2</v>
      </c>
      <c r="CV14" s="12">
        <v>-0.13193893432617188</v>
      </c>
      <c r="CW14">
        <v>0.06</v>
      </c>
      <c r="CX14">
        <v>130.66901356993736</v>
      </c>
      <c r="CY14" t="s">
        <v>1548</v>
      </c>
      <c r="CZ14">
        <v>-4.4771996513009074E-2</v>
      </c>
      <c r="DA14">
        <v>43.55633785664579</v>
      </c>
      <c r="DB14" t="s">
        <v>1549</v>
      </c>
      <c r="DC14">
        <v>-4.2533396687358616E-2</v>
      </c>
      <c r="DD14">
        <v>21.778168928322895</v>
      </c>
      <c r="DE14" t="s">
        <v>1550</v>
      </c>
      <c r="DF14">
        <v>-3.9399356931447985E-2</v>
      </c>
      <c r="DG14">
        <v>13.066901356993737</v>
      </c>
      <c r="DH14" t="s">
        <v>1551</v>
      </c>
      <c r="DI14">
        <v>-3.5817597210407261E-2</v>
      </c>
      <c r="DJ14">
        <v>6.5334506784968687</v>
      </c>
      <c r="DK14" t="s">
        <v>1552</v>
      </c>
      <c r="DL14">
        <v>-3.1340397559106351E-2</v>
      </c>
      <c r="DM14">
        <v>1916000000</v>
      </c>
      <c r="DN14">
        <v>-4.4771996513009074E-2</v>
      </c>
      <c r="DO14">
        <v>250361830000</v>
      </c>
      <c r="DP14">
        <v>67886080000</v>
      </c>
      <c r="DQ14">
        <v>920</v>
      </c>
      <c r="DR14">
        <v>-0.48097924779776252</v>
      </c>
      <c r="DS14">
        <v>-0.5091432687461398</v>
      </c>
      <c r="DT14" s="13">
        <v>-0.54</v>
      </c>
      <c r="DU14">
        <v>-0.79</v>
      </c>
      <c r="DV14">
        <v>-1.33</v>
      </c>
      <c r="DW14">
        <v>-8.4276960784313726</v>
      </c>
      <c r="DX14">
        <v>0.333043478260871</v>
      </c>
      <c r="DY14">
        <v>-8.069733056265985</v>
      </c>
      <c r="DZ14">
        <v>2256</v>
      </c>
      <c r="EA14">
        <v>-8.0389467989399446</v>
      </c>
      <c r="EB14">
        <v>8</v>
      </c>
      <c r="EC14">
        <v>1.1253294522542487E-2</v>
      </c>
      <c r="ED14">
        <v>6.9020206404927259E-2</v>
      </c>
      <c r="EE14" s="14">
        <v>-1.0928100000000001</v>
      </c>
      <c r="EF14">
        <v>-1.10341</v>
      </c>
      <c r="EG14">
        <v>17.163043478260871</v>
      </c>
      <c r="EH14" t="s">
        <v>753</v>
      </c>
      <c r="EI14">
        <v>0</v>
      </c>
      <c r="EJ14">
        <v>0</v>
      </c>
      <c r="EK14" s="10">
        <v>45470</v>
      </c>
      <c r="EL14" s="15">
        <v>0.63</v>
      </c>
      <c r="EM14" s="15">
        <v>-1.35</v>
      </c>
      <c r="EN14" s="15">
        <v>-1.59</v>
      </c>
      <c r="EO14" s="15">
        <v>0.39</v>
      </c>
      <c r="EP14" s="15">
        <v>-1.06</v>
      </c>
    </row>
    <row r="15" spans="1:146" ht="108" x14ac:dyDescent="0.25">
      <c r="A15" s="7"/>
      <c r="B15" s="7"/>
      <c r="C15" s="7" t="str">
        <f>""&amp;CHAR(10)&amp;Basic_Fundamental_Information_Constructure(F15)&amp;CHAR(10)&amp;Basic_Fundamental_Information_Concatenate("")</f>
        <v xml:space="preserve">
市值33.724579亿, 利润152.72万; PE; 平均PE-8.06; 平均PEG-.33, PB7.34; ROIC0%; ROE-32.15%; 股利率0%; 毛利10.3433%; 净利-19.9067%; 上一年度营收增-76.98%, 利润增100.47%; 当季营收增-65.13%, 利润增-85.13%; 过往5年营收增-24.21%, 利润增-494.98%
Income profile:
</v>
      </c>
      <c r="D15" t="s">
        <v>371</v>
      </c>
      <c r="E15" t="s">
        <v>372</v>
      </c>
      <c r="F15">
        <v>2.94</v>
      </c>
      <c r="G15">
        <v>2.08</v>
      </c>
      <c r="H15" t="s">
        <v>1553</v>
      </c>
      <c r="I15">
        <v>3372457900</v>
      </c>
      <c r="K15">
        <v>7.34</v>
      </c>
      <c r="L15" t="s">
        <v>303</v>
      </c>
      <c r="M15" t="s">
        <v>1554</v>
      </c>
      <c r="N15" t="s">
        <v>1062</v>
      </c>
      <c r="O15" t="s">
        <v>1555</v>
      </c>
      <c r="P15">
        <v>-40.83</v>
      </c>
      <c r="Q15" t="s">
        <v>1555</v>
      </c>
      <c r="R15">
        <v>1527199</v>
      </c>
      <c r="S15" s="5">
        <v>-0.66959999999999997</v>
      </c>
      <c r="T15" t="s">
        <v>1556</v>
      </c>
      <c r="U15">
        <v>1048454660</v>
      </c>
      <c r="V15">
        <v>1147094530</v>
      </c>
      <c r="W15">
        <v>3.83</v>
      </c>
      <c r="X15">
        <v>0.09</v>
      </c>
      <c r="Y15">
        <v>-1.49</v>
      </c>
      <c r="Z15" t="s">
        <v>166</v>
      </c>
      <c r="AA15" t="s">
        <v>1127</v>
      </c>
      <c r="AB15" t="s">
        <v>1557</v>
      </c>
      <c r="AC15" t="s">
        <v>1558</v>
      </c>
      <c r="AD15" t="s">
        <v>5</v>
      </c>
      <c r="AE15">
        <v>8016230</v>
      </c>
      <c r="AF15" t="s">
        <v>1559</v>
      </c>
      <c r="AG15" t="s">
        <v>1560</v>
      </c>
      <c r="AH15" t="s">
        <v>1561</v>
      </c>
      <c r="AI15" t="s">
        <v>1562</v>
      </c>
      <c r="AJ15" t="s">
        <v>1563</v>
      </c>
      <c r="AK15" t="s">
        <v>1564</v>
      </c>
      <c r="AL15" t="s">
        <v>1565</v>
      </c>
      <c r="AM15" t="s">
        <v>5</v>
      </c>
      <c r="AN15" t="s">
        <v>1566</v>
      </c>
      <c r="AO15" t="s">
        <v>1567</v>
      </c>
      <c r="AP15" t="s">
        <v>5</v>
      </c>
      <c r="AQ15" t="s">
        <v>1157</v>
      </c>
      <c r="AR15" t="s">
        <v>1568</v>
      </c>
      <c r="AS15" t="s">
        <v>1569</v>
      </c>
      <c r="AT15" t="s">
        <v>273</v>
      </c>
      <c r="AU15" t="s">
        <v>1083</v>
      </c>
      <c r="AV15" t="s">
        <v>1570</v>
      </c>
      <c r="AW15" t="s">
        <v>1571</v>
      </c>
      <c r="AX15" t="s">
        <v>922</v>
      </c>
      <c r="AY15" t="s">
        <v>627</v>
      </c>
      <c r="AZ15" t="s">
        <v>373</v>
      </c>
      <c r="BA15" t="s">
        <v>375</v>
      </c>
      <c r="BB15" t="s">
        <v>299</v>
      </c>
      <c r="BC15" t="s">
        <v>923</v>
      </c>
      <c r="BD15" t="s">
        <v>628</v>
      </c>
      <c r="BE15" t="s">
        <v>374</v>
      </c>
      <c r="BF15" t="s">
        <v>376</v>
      </c>
      <c r="BG15" t="s">
        <v>377</v>
      </c>
      <c r="BH15" t="s">
        <v>1572</v>
      </c>
      <c r="BI15" t="s">
        <v>1081</v>
      </c>
      <c r="BJ15" t="s">
        <v>922</v>
      </c>
      <c r="BK15" t="s">
        <v>1573</v>
      </c>
      <c r="BL15" t="s">
        <v>1082</v>
      </c>
      <c r="BM15" t="s">
        <v>923</v>
      </c>
      <c r="BN15" t="s">
        <v>5</v>
      </c>
      <c r="BO15" t="s">
        <v>5</v>
      </c>
      <c r="BP15" t="s">
        <v>5</v>
      </c>
      <c r="BQ15">
        <v>2.02</v>
      </c>
      <c r="BR15">
        <v>-51.23</v>
      </c>
      <c r="BS15">
        <v>-47.24</v>
      </c>
      <c r="BT15" t="s">
        <v>873</v>
      </c>
      <c r="BU15" t="s">
        <v>1296</v>
      </c>
      <c r="BV15">
        <v>13.21</v>
      </c>
      <c r="BW15">
        <v>9.6199999999999992</v>
      </c>
      <c r="BX15">
        <v>8.1999999999999993</v>
      </c>
      <c r="BY15">
        <v>-16.93</v>
      </c>
      <c r="BZ15">
        <v>-19.62</v>
      </c>
      <c r="CA15">
        <v>-23.17</v>
      </c>
      <c r="CB15">
        <v>-14.78</v>
      </c>
      <c r="CC15">
        <v>-26.5</v>
      </c>
      <c r="CD15" t="s">
        <v>113</v>
      </c>
      <c r="CE15" t="s">
        <v>1574</v>
      </c>
      <c r="CF15" s="11">
        <v>-0.65130434782608693</v>
      </c>
      <c r="CG15" s="12">
        <v>-0.85126906371126387</v>
      </c>
      <c r="CH15" s="11">
        <v>-0.76980477571487427</v>
      </c>
      <c r="CI15" s="11">
        <v>-0.22266842424869537</v>
      </c>
      <c r="CJ15" s="11">
        <v>5.9574469923973083E-2</v>
      </c>
      <c r="CK15" s="11">
        <v>-7.3587439954280853E-2</v>
      </c>
      <c r="CL15" s="11">
        <v>-0.20425231754779816</v>
      </c>
      <c r="CM15" s="12">
        <v>1.0046703815460205</v>
      </c>
      <c r="CN15" s="12">
        <v>0.36381322145462036</v>
      </c>
      <c r="CO15" s="12">
        <v>-26.551292419433594</v>
      </c>
      <c r="CP15" s="12">
        <v>-0.59462928771972656</v>
      </c>
      <c r="CQ15" s="12">
        <v>1.0284872055053711</v>
      </c>
      <c r="CR15">
        <v>-8.0560942874591266</v>
      </c>
      <c r="CS15">
        <v>-0.33269340862437163</v>
      </c>
      <c r="CT15">
        <v>0</v>
      </c>
      <c r="CU15" s="11">
        <v>-0.24214769750833512</v>
      </c>
      <c r="CV15" s="12">
        <v>-4.9497901797294617</v>
      </c>
      <c r="CW15">
        <v>0.06</v>
      </c>
      <c r="CX15">
        <v>3599.6974201152434</v>
      </c>
      <c r="CY15" t="s">
        <v>1575</v>
      </c>
      <c r="CZ15">
        <v>-0.24214769750833512</v>
      </c>
      <c r="DA15">
        <v>1199.8991400384145</v>
      </c>
      <c r="DB15" t="s">
        <v>1576</v>
      </c>
      <c r="DC15">
        <v>-0.23004031263291835</v>
      </c>
      <c r="DD15">
        <v>599.94957001920727</v>
      </c>
      <c r="DE15" t="s">
        <v>1577</v>
      </c>
      <c r="DF15">
        <v>-0.21308997380733491</v>
      </c>
      <c r="DG15">
        <v>359.96974201152437</v>
      </c>
      <c r="DH15" t="s">
        <v>1578</v>
      </c>
      <c r="DI15">
        <v>-0.19371815800666811</v>
      </c>
      <c r="DJ15">
        <v>179.98487100576219</v>
      </c>
      <c r="DK15" t="s">
        <v>1579</v>
      </c>
      <c r="DL15">
        <v>-0.16950338825583458</v>
      </c>
      <c r="DM15">
        <v>1527200</v>
      </c>
      <c r="DN15">
        <v>-0.24214769750833512</v>
      </c>
      <c r="DO15">
        <v>5497457900</v>
      </c>
      <c r="DP15">
        <v>-570334400</v>
      </c>
      <c r="DQ15">
        <v>1006</v>
      </c>
      <c r="DR15">
        <v>-0.40915665031775184</v>
      </c>
      <c r="DS15">
        <v>4.0985211160181976</v>
      </c>
      <c r="DT15" s="13">
        <v>-1.0233333333333332</v>
      </c>
      <c r="DU15">
        <v>-0.97333333333333316</v>
      </c>
      <c r="DV15">
        <v>-1.9966666666666664</v>
      </c>
      <c r="DW15">
        <v>-9.5577358490566038</v>
      </c>
      <c r="DX15">
        <v>0.43672926447574334</v>
      </c>
      <c r="DY15">
        <v>-9.1710739067528859</v>
      </c>
      <c r="DZ15">
        <v>4626</v>
      </c>
      <c r="EA15">
        <v>-9.0162034776650479</v>
      </c>
      <c r="EB15">
        <v>9</v>
      </c>
      <c r="EC15">
        <v>0.17086647601745603</v>
      </c>
      <c r="ED15">
        <v>0.55705958252629795</v>
      </c>
      <c r="EE15" s="14">
        <v>3.4700000000000009E-2</v>
      </c>
      <c r="EF15">
        <v>1.5000000000000003E-2</v>
      </c>
      <c r="EG15">
        <v>13.306729264475743</v>
      </c>
      <c r="EH15" t="s">
        <v>722</v>
      </c>
      <c r="EI15">
        <v>0</v>
      </c>
      <c r="EJ15">
        <v>0</v>
      </c>
      <c r="EK15" s="10">
        <v>45470</v>
      </c>
      <c r="EL15" s="15">
        <v>-1.36</v>
      </c>
      <c r="EM15" s="15">
        <v>-4.7</v>
      </c>
      <c r="EN15" s="15">
        <v>-1.1599999999999999</v>
      </c>
      <c r="EO15" s="15">
        <v>4.4000000000000004</v>
      </c>
      <c r="EP15" s="15">
        <v>-1.97</v>
      </c>
    </row>
    <row r="16" spans="1:146" ht="108" x14ac:dyDescent="0.25">
      <c r="A16" s="7"/>
      <c r="B16" s="7"/>
      <c r="C16" s="7" t="str">
        <f>""&amp;CHAR(10)&amp;Basic_Fundamental_Information_Constructure(F16)&amp;CHAR(10)&amp;Basic_Fundamental_Information_Concatenate("")</f>
        <v xml:space="preserve">
市值22.415224亿, 利润-4240.93万; PE; 平均PE-5.73; 平均PEG-.2, PB6.14; ROIC0%; ROE-47.7933%; 股利率0%; 毛利15.9567%; 净利-52.0033%; 上一年度营收增-85.67%, 利润增95.78%; 当季营收增-59.02%, 利润增57.51%; 过往5年营收增-28.91%, 利润增-713.65%
Income profile:
</v>
      </c>
      <c r="D16" t="s">
        <v>378</v>
      </c>
      <c r="E16" t="s">
        <v>1580</v>
      </c>
      <c r="F16">
        <v>1.87</v>
      </c>
      <c r="G16">
        <v>1.63</v>
      </c>
      <c r="H16" t="s">
        <v>1581</v>
      </c>
      <c r="I16">
        <v>2241522400</v>
      </c>
      <c r="K16">
        <v>6.14</v>
      </c>
      <c r="L16" t="s">
        <v>303</v>
      </c>
      <c r="M16" t="s">
        <v>1582</v>
      </c>
      <c r="N16" t="s">
        <v>1583</v>
      </c>
      <c r="O16" t="s">
        <v>103</v>
      </c>
      <c r="P16">
        <v>-21.02</v>
      </c>
      <c r="Q16" t="s">
        <v>103</v>
      </c>
      <c r="R16">
        <v>-42409334</v>
      </c>
      <c r="S16" s="5">
        <v>0.1245</v>
      </c>
      <c r="T16" t="s">
        <v>1584</v>
      </c>
      <c r="U16">
        <v>1046439250</v>
      </c>
      <c r="V16">
        <v>1198675080</v>
      </c>
      <c r="W16">
        <v>8.1</v>
      </c>
      <c r="X16">
        <v>0.09</v>
      </c>
      <c r="Y16">
        <v>-15.9</v>
      </c>
      <c r="Z16" t="s">
        <v>1585</v>
      </c>
      <c r="AA16" t="s">
        <v>777</v>
      </c>
      <c r="AB16" t="s">
        <v>1586</v>
      </c>
      <c r="AC16" t="s">
        <v>1587</v>
      </c>
      <c r="AD16" t="s">
        <v>5</v>
      </c>
      <c r="AE16">
        <v>5416077</v>
      </c>
      <c r="AF16" t="s">
        <v>21</v>
      </c>
      <c r="AG16" t="s">
        <v>1588</v>
      </c>
      <c r="AH16" t="s">
        <v>1589</v>
      </c>
      <c r="AI16" t="s">
        <v>103</v>
      </c>
      <c r="AJ16" t="s">
        <v>1590</v>
      </c>
      <c r="AK16" t="s">
        <v>1591</v>
      </c>
      <c r="AL16" t="s">
        <v>1592</v>
      </c>
      <c r="AM16" t="s">
        <v>5</v>
      </c>
      <c r="AN16" t="s">
        <v>1060</v>
      </c>
      <c r="AO16" t="s">
        <v>153</v>
      </c>
      <c r="AP16" t="s">
        <v>1593</v>
      </c>
      <c r="AQ16" t="s">
        <v>1594</v>
      </c>
      <c r="AR16" t="s">
        <v>5</v>
      </c>
      <c r="AS16" t="s">
        <v>1595</v>
      </c>
      <c r="AT16" t="s">
        <v>655</v>
      </c>
      <c r="AU16" t="s">
        <v>1596</v>
      </c>
      <c r="AV16" t="s">
        <v>1597</v>
      </c>
      <c r="AW16" t="s">
        <v>1598</v>
      </c>
      <c r="AX16" t="s">
        <v>1599</v>
      </c>
      <c r="AY16" t="s">
        <v>1600</v>
      </c>
      <c r="AZ16" t="s">
        <v>1601</v>
      </c>
      <c r="BA16" t="s">
        <v>1602</v>
      </c>
      <c r="BB16" t="s">
        <v>379</v>
      </c>
      <c r="BC16" t="s">
        <v>1541</v>
      </c>
      <c r="BD16" t="s">
        <v>1603</v>
      </c>
      <c r="BE16" t="s">
        <v>1604</v>
      </c>
      <c r="BF16" t="s">
        <v>1605</v>
      </c>
      <c r="BG16" t="s">
        <v>51</v>
      </c>
      <c r="BH16" t="s">
        <v>942</v>
      </c>
      <c r="BI16" t="s">
        <v>255</v>
      </c>
      <c r="BJ16" t="s">
        <v>1599</v>
      </c>
      <c r="BK16" t="s">
        <v>1606</v>
      </c>
      <c r="BL16" t="s">
        <v>1086</v>
      </c>
      <c r="BM16" t="s">
        <v>1541</v>
      </c>
      <c r="BN16" t="s">
        <v>5</v>
      </c>
      <c r="BO16" t="s">
        <v>5</v>
      </c>
      <c r="BP16" t="s">
        <v>5</v>
      </c>
      <c r="BQ16">
        <v>-35.04</v>
      </c>
      <c r="BR16">
        <v>-61.46</v>
      </c>
      <c r="BS16">
        <v>-46.88</v>
      </c>
      <c r="BT16" t="s">
        <v>873</v>
      </c>
      <c r="BU16" t="s">
        <v>1547</v>
      </c>
      <c r="BV16">
        <v>15.86</v>
      </c>
      <c r="BW16">
        <v>11.31</v>
      </c>
      <c r="BX16">
        <v>20.7</v>
      </c>
      <c r="BY16">
        <v>-55.13</v>
      </c>
      <c r="BZ16">
        <v>-54.1</v>
      </c>
      <c r="CA16">
        <v>-46.78</v>
      </c>
      <c r="CB16">
        <v>7.47</v>
      </c>
      <c r="CC16">
        <v>-44.18</v>
      </c>
      <c r="CD16" t="s">
        <v>798</v>
      </c>
      <c r="CE16" t="s">
        <v>1047</v>
      </c>
      <c r="CF16" s="11">
        <v>-0.59021406727828751</v>
      </c>
      <c r="CG16" s="12">
        <v>0.57507167584303154</v>
      </c>
      <c r="CH16" s="11">
        <v>-0.85668450593948364</v>
      </c>
      <c r="CI16" s="11">
        <v>-0.3785310685634613</v>
      </c>
      <c r="CJ16" s="11">
        <v>-0.42090073227882385</v>
      </c>
      <c r="CK16" s="11">
        <v>0.17556573450565338</v>
      </c>
      <c r="CL16" s="11">
        <v>3.4886367619037628E-2</v>
      </c>
      <c r="CM16" s="12">
        <v>0.95775967836380005</v>
      </c>
      <c r="CN16" s="12">
        <v>0.28439062833786011</v>
      </c>
      <c r="CO16" s="12">
        <v>-30.265741348266602</v>
      </c>
      <c r="CP16" s="12">
        <v>-5.7272477149963379</v>
      </c>
      <c r="CQ16" s="12">
        <v>-0.93170863389968872</v>
      </c>
      <c r="CR16">
        <v>-5.7333065847065097</v>
      </c>
      <c r="CS16">
        <v>-0.19829316400852895</v>
      </c>
      <c r="CT16">
        <v>0</v>
      </c>
      <c r="CU16" s="11">
        <v>-0.28913284093141556</v>
      </c>
      <c r="CV16" s="12">
        <v>-7.1365094780921936</v>
      </c>
      <c r="CW16">
        <v>0.06</v>
      </c>
      <c r="CX16" t="e">
        <v>#VALUE!</v>
      </c>
      <c r="CY16" t="s">
        <v>740</v>
      </c>
      <c r="CZ16">
        <v>-0.28913284093141556</v>
      </c>
      <c r="DA16" t="e">
        <v>#VALUE!</v>
      </c>
      <c r="DB16" t="s">
        <v>741</v>
      </c>
      <c r="DC16">
        <v>-0.27467619888484479</v>
      </c>
      <c r="DD16" t="e">
        <v>#VALUE!</v>
      </c>
      <c r="DE16" t="s">
        <v>741</v>
      </c>
      <c r="DF16">
        <v>-0.2544369000196457</v>
      </c>
      <c r="DG16" t="e">
        <v>#VALUE!</v>
      </c>
      <c r="DH16" t="s">
        <v>741</v>
      </c>
      <c r="DI16">
        <v>-0.23130627274513246</v>
      </c>
      <c r="DJ16" t="e">
        <v>#VALUE!</v>
      </c>
      <c r="DK16" t="s">
        <v>741</v>
      </c>
      <c r="DL16">
        <v>-0.20239298865199087</v>
      </c>
      <c r="DM16">
        <v>-42409300</v>
      </c>
      <c r="DN16">
        <v>-0.28913284093141556</v>
      </c>
      <c r="DO16">
        <v>4437522400</v>
      </c>
      <c r="DP16">
        <v>90925000</v>
      </c>
      <c r="DQ16">
        <v>1021</v>
      </c>
      <c r="DR16">
        <v>-0.30108122634687196</v>
      </c>
      <c r="DS16">
        <v>7.7115811539352253</v>
      </c>
      <c r="DT16" s="13">
        <v>-0.94</v>
      </c>
      <c r="DU16">
        <v>-2.7816666666666663</v>
      </c>
      <c r="DV16">
        <v>-3.7216666666666662</v>
      </c>
      <c r="DW16">
        <v>7.1446272991287509</v>
      </c>
      <c r="DX16">
        <v>0.34529179030662732</v>
      </c>
      <c r="DY16">
        <v>7.0224594322089162</v>
      </c>
      <c r="DZ16">
        <v>4450</v>
      </c>
      <c r="EA16">
        <v>7.0029008268606425</v>
      </c>
      <c r="EB16">
        <v>7</v>
      </c>
      <c r="EC16">
        <v>0.13097794608360425</v>
      </c>
      <c r="ED16">
        <v>0.84343123242371898</v>
      </c>
      <c r="EE16" s="14">
        <v>-4.0745100000000001</v>
      </c>
      <c r="EF16">
        <v>-4.1263100000000001</v>
      </c>
      <c r="EG16">
        <v>19.155291790306627</v>
      </c>
      <c r="EH16" t="s">
        <v>1165</v>
      </c>
      <c r="EI16">
        <v>1</v>
      </c>
      <c r="EJ16">
        <v>0</v>
      </c>
      <c r="EK16" s="10">
        <v>45470</v>
      </c>
      <c r="EL16" s="15">
        <v>-3.08</v>
      </c>
      <c r="EM16" s="15">
        <v>-5</v>
      </c>
      <c r="EN16" s="15">
        <v>-4.78</v>
      </c>
      <c r="EO16" s="15">
        <v>-3.02</v>
      </c>
      <c r="EP16" s="15">
        <v>-5.18</v>
      </c>
    </row>
    <row r="17" spans="1:146" ht="108" x14ac:dyDescent="0.25">
      <c r="A17" s="7"/>
      <c r="B17" s="7"/>
      <c r="C17" s="7" t="str">
        <f>""&amp;CHAR(10)&amp;Basic_Fundamental_Information_Constructure(F17)&amp;CHAR(10)&amp;Basic_Fundamental_Information_Concatenate("")</f>
        <v xml:space="preserve">
市值33.408128亿, 利润660.51万; PE97.95; 平均PE-614.73; 平均PEG-36.74, PB2.86; ROIC2.7533%; ROE3.31%; 股利率0%; 毛利27.29%; 净利8.2867%; 上一年度营收增-78.4%, 利润增-82.26%; 当季营收增-52.2%, 利润增-67.9%; 过往5年营收增-16.73%, 利润增-446.62%
Income profile:
</v>
      </c>
      <c r="D17" t="s">
        <v>380</v>
      </c>
      <c r="E17" t="s">
        <v>381</v>
      </c>
      <c r="F17">
        <v>11.81</v>
      </c>
      <c r="G17">
        <v>0.77</v>
      </c>
      <c r="H17" t="s">
        <v>1607</v>
      </c>
      <c r="I17">
        <v>3340812800</v>
      </c>
      <c r="J17">
        <v>97.95</v>
      </c>
      <c r="K17">
        <v>2.86</v>
      </c>
      <c r="L17" t="s">
        <v>303</v>
      </c>
      <c r="M17" t="s">
        <v>1608</v>
      </c>
      <c r="N17" t="s">
        <v>1609</v>
      </c>
      <c r="O17" t="s">
        <v>1610</v>
      </c>
      <c r="P17">
        <v>-3.88</v>
      </c>
      <c r="Q17" t="s">
        <v>1610</v>
      </c>
      <c r="R17">
        <v>6605121</v>
      </c>
      <c r="S17" s="5">
        <v>0.48170000000000002</v>
      </c>
      <c r="T17" t="s">
        <v>1611</v>
      </c>
      <c r="U17">
        <v>282865000</v>
      </c>
      <c r="V17">
        <v>282880000</v>
      </c>
      <c r="W17">
        <v>1.08</v>
      </c>
      <c r="X17">
        <v>0.08</v>
      </c>
      <c r="Y17">
        <v>6.84</v>
      </c>
      <c r="Z17" t="s">
        <v>1612</v>
      </c>
      <c r="AA17" t="s">
        <v>1613</v>
      </c>
      <c r="AB17" t="s">
        <v>1614</v>
      </c>
      <c r="AC17" t="s">
        <v>1615</v>
      </c>
      <c r="AD17" t="s">
        <v>5</v>
      </c>
      <c r="AE17">
        <v>-2952564</v>
      </c>
      <c r="AF17" t="s">
        <v>1616</v>
      </c>
      <c r="AG17">
        <v>3988</v>
      </c>
      <c r="AH17" t="s">
        <v>1617</v>
      </c>
      <c r="AI17" t="s">
        <v>1618</v>
      </c>
      <c r="AJ17" t="s">
        <v>1619</v>
      </c>
      <c r="AK17" t="s">
        <v>1620</v>
      </c>
      <c r="AL17" t="s">
        <v>1621</v>
      </c>
      <c r="AM17" t="s">
        <v>5</v>
      </c>
      <c r="AN17">
        <v>0</v>
      </c>
      <c r="AO17" t="s">
        <v>5</v>
      </c>
      <c r="AP17" t="s">
        <v>1622</v>
      </c>
      <c r="AQ17" t="s">
        <v>1623</v>
      </c>
      <c r="AR17" t="s">
        <v>5</v>
      </c>
      <c r="AS17" t="s">
        <v>1624</v>
      </c>
      <c r="AT17" t="s">
        <v>5</v>
      </c>
      <c r="AU17" t="s">
        <v>1625</v>
      </c>
      <c r="AV17" t="s">
        <v>1626</v>
      </c>
      <c r="AW17" t="s">
        <v>1627</v>
      </c>
      <c r="AX17" t="s">
        <v>925</v>
      </c>
      <c r="AY17" t="s">
        <v>630</v>
      </c>
      <c r="AZ17" t="s">
        <v>152</v>
      </c>
      <c r="BA17" t="s">
        <v>152</v>
      </c>
      <c r="BB17" t="s">
        <v>179</v>
      </c>
      <c r="BC17" t="s">
        <v>926</v>
      </c>
      <c r="BD17" t="s">
        <v>631</v>
      </c>
      <c r="BE17" t="s">
        <v>382</v>
      </c>
      <c r="BF17" t="s">
        <v>383</v>
      </c>
      <c r="BG17" t="s">
        <v>384</v>
      </c>
      <c r="BH17" t="s">
        <v>1628</v>
      </c>
      <c r="BI17" t="s">
        <v>48</v>
      </c>
      <c r="BJ17" t="s">
        <v>925</v>
      </c>
      <c r="BK17" t="s">
        <v>1629</v>
      </c>
      <c r="BL17" t="s">
        <v>1087</v>
      </c>
      <c r="BM17" t="s">
        <v>926</v>
      </c>
      <c r="BN17">
        <v>1.68</v>
      </c>
      <c r="BO17">
        <v>2.94</v>
      </c>
      <c r="BP17">
        <v>3.64</v>
      </c>
      <c r="BQ17">
        <v>2.62</v>
      </c>
      <c r="BR17">
        <v>3.33</v>
      </c>
      <c r="BS17">
        <v>3.98</v>
      </c>
      <c r="BT17" t="s">
        <v>873</v>
      </c>
      <c r="BU17" t="s">
        <v>1296</v>
      </c>
      <c r="BV17">
        <v>27.75</v>
      </c>
      <c r="BW17">
        <v>27.03</v>
      </c>
      <c r="BX17">
        <v>27.09</v>
      </c>
      <c r="BY17">
        <v>7.71</v>
      </c>
      <c r="BZ17">
        <v>8.32</v>
      </c>
      <c r="CA17">
        <v>8.83</v>
      </c>
      <c r="CB17">
        <v>-4.53</v>
      </c>
      <c r="CC17">
        <v>-13.29</v>
      </c>
      <c r="CD17" t="s">
        <v>1630</v>
      </c>
      <c r="CE17" t="s">
        <v>135</v>
      </c>
      <c r="CF17" s="11">
        <v>-0.52197128712871288</v>
      </c>
      <c r="CG17" s="12">
        <v>-0.67902494375142752</v>
      </c>
      <c r="CH17" s="11">
        <v>-0.78397810459136963</v>
      </c>
      <c r="CI17" s="11">
        <v>-8.2135520875453949E-2</v>
      </c>
      <c r="CJ17" s="11">
        <v>8.2222223281860352E-2</v>
      </c>
      <c r="CK17" s="11">
        <v>0</v>
      </c>
      <c r="CL17" s="11">
        <v>-5.2631579339504242E-2</v>
      </c>
      <c r="CM17" s="12">
        <v>-0.82264381647109985</v>
      </c>
      <c r="CN17" s="12">
        <v>-0.13318529725074768</v>
      </c>
      <c r="CO17" s="12">
        <v>-7.62929767370224E-2</v>
      </c>
      <c r="CP17" s="12">
        <v>1.2673149108886719</v>
      </c>
      <c r="CQ17" s="12">
        <v>-22.566146850585938</v>
      </c>
      <c r="CR17">
        <v>-614.72832490485371</v>
      </c>
      <c r="CS17">
        <v>-36.743062562643622</v>
      </c>
      <c r="CT17">
        <v>0</v>
      </c>
      <c r="CU17" s="11">
        <v>-0.1673045963048935</v>
      </c>
      <c r="CV17" s="12">
        <v>-4.4661908060312268</v>
      </c>
      <c r="CW17">
        <v>0.06</v>
      </c>
      <c r="CX17">
        <v>341.33462021771055</v>
      </c>
      <c r="CY17" t="s">
        <v>1631</v>
      </c>
      <c r="CZ17">
        <v>-0.1673045963048935</v>
      </c>
      <c r="DA17">
        <v>113.77820673923685</v>
      </c>
      <c r="DB17" t="s">
        <v>1632</v>
      </c>
      <c r="DC17">
        <v>-0.15893936648964882</v>
      </c>
      <c r="DD17">
        <v>56.889103369618425</v>
      </c>
      <c r="DE17" t="s">
        <v>1633</v>
      </c>
      <c r="DF17">
        <v>-0.14722804474830628</v>
      </c>
      <c r="DG17">
        <v>34.133462021771052</v>
      </c>
      <c r="DH17" t="s">
        <v>1634</v>
      </c>
      <c r="DI17">
        <v>-0.13384367704391481</v>
      </c>
      <c r="DJ17">
        <v>17.066731010885526</v>
      </c>
      <c r="DK17" t="s">
        <v>1635</v>
      </c>
      <c r="DL17">
        <v>-0.11711321741342544</v>
      </c>
      <c r="DM17">
        <v>6605100</v>
      </c>
      <c r="DN17">
        <v>-0.1673045963048935</v>
      </c>
      <c r="DO17">
        <v>2254549300</v>
      </c>
      <c r="DP17">
        <v>986285810</v>
      </c>
      <c r="DQ17">
        <v>1070</v>
      </c>
      <c r="DR17">
        <v>-0.35466669082381941</v>
      </c>
      <c r="DS17">
        <v>3.7871658622797995</v>
      </c>
      <c r="DT17" s="13">
        <v>-0.77333333333333332</v>
      </c>
      <c r="DU17">
        <v>-1.1566666666666667</v>
      </c>
      <c r="DV17">
        <v>-1.9300000000000002</v>
      </c>
      <c r="DW17">
        <v>-8.3408577878103838</v>
      </c>
      <c r="DX17">
        <v>0.30047904761904803</v>
      </c>
      <c r="DY17">
        <v>-8.0376576437708263</v>
      </c>
      <c r="DZ17">
        <v>3825</v>
      </c>
      <c r="EA17">
        <v>-8.0094696814570465</v>
      </c>
      <c r="EB17">
        <v>8</v>
      </c>
      <c r="EC17">
        <v>4.1007847850678736E-2</v>
      </c>
      <c r="ED17">
        <v>0.37118212669683259</v>
      </c>
      <c r="EE17" s="14">
        <v>-1.01081</v>
      </c>
      <c r="EF17">
        <v>-1.0182100000000001</v>
      </c>
      <c r="EG17">
        <v>19.110479047619048</v>
      </c>
      <c r="EH17" t="s">
        <v>753</v>
      </c>
      <c r="EI17">
        <v>0</v>
      </c>
      <c r="EJ17">
        <v>0</v>
      </c>
      <c r="EK17" s="10">
        <v>45470</v>
      </c>
      <c r="EL17" s="15">
        <v>-0.65</v>
      </c>
      <c r="EM17" s="15">
        <v>-6.19</v>
      </c>
      <c r="EN17" s="15">
        <v>-0.61</v>
      </c>
      <c r="EO17" s="15">
        <v>6.81</v>
      </c>
      <c r="EP17" s="15">
        <v>-0.74</v>
      </c>
    </row>
    <row r="18" spans="1:146" ht="108" x14ac:dyDescent="0.25">
      <c r="A18" s="7"/>
      <c r="B18" s="7"/>
      <c r="C18" s="7" t="str">
        <f>""&amp;CHAR(10)&amp;Basic_Fundamental_Information_Constructure(F18)&amp;CHAR(10)&amp;Basic_Fundamental_Information_Concatenate("")</f>
        <v xml:space="preserve">
市值35.053181亿, 利润4322.35万; PE18.93; 平均PE60.19; 平均PEG15.04, PB3.26; ROIC9.8867%; ROE10.66%; 股利率1.315%; 毛利35.19%; 净利11.38%; 上一年度营收增-72.3%, 利润增-60.71%; 当季营收增-42.4%, 利润增-15.74%; 过往5年营收增-4%, 利润增160.4%
Income profile:
</v>
      </c>
      <c r="D18" t="s">
        <v>385</v>
      </c>
      <c r="E18" t="s">
        <v>386</v>
      </c>
      <c r="F18">
        <v>15.97</v>
      </c>
      <c r="G18">
        <v>1.65</v>
      </c>
      <c r="H18" t="s">
        <v>1636</v>
      </c>
      <c r="I18">
        <v>3505318100</v>
      </c>
      <c r="J18">
        <v>18.93</v>
      </c>
      <c r="K18">
        <v>3.26</v>
      </c>
      <c r="L18" t="s">
        <v>303</v>
      </c>
      <c r="M18" t="s">
        <v>112</v>
      </c>
      <c r="N18" t="s">
        <v>1143</v>
      </c>
      <c r="O18" t="s">
        <v>213</v>
      </c>
      <c r="P18">
        <v>32.619999999999997</v>
      </c>
      <c r="Q18" t="s">
        <v>213</v>
      </c>
      <c r="R18">
        <v>43223494</v>
      </c>
      <c r="S18" s="5">
        <v>3.9929999999999999</v>
      </c>
      <c r="T18" t="s">
        <v>1637</v>
      </c>
      <c r="U18">
        <v>127283877</v>
      </c>
      <c r="V18">
        <v>219493930</v>
      </c>
      <c r="W18">
        <v>1.21</v>
      </c>
      <c r="X18">
        <v>0.2</v>
      </c>
      <c r="Y18">
        <v>16.07</v>
      </c>
      <c r="Z18" t="s">
        <v>184</v>
      </c>
      <c r="AA18" t="s">
        <v>42</v>
      </c>
      <c r="AB18" t="s">
        <v>1638</v>
      </c>
      <c r="AC18" t="s">
        <v>1639</v>
      </c>
      <c r="AD18" t="s">
        <v>5</v>
      </c>
      <c r="AE18">
        <v>-1150005</v>
      </c>
      <c r="AF18" t="s">
        <v>1640</v>
      </c>
      <c r="AG18" t="s">
        <v>1641</v>
      </c>
      <c r="AH18" t="s">
        <v>1642</v>
      </c>
      <c r="AI18" t="s">
        <v>84</v>
      </c>
      <c r="AJ18" t="s">
        <v>1643</v>
      </c>
      <c r="AK18" t="s">
        <v>5</v>
      </c>
      <c r="AL18" t="s">
        <v>1644</v>
      </c>
      <c r="AM18" t="s">
        <v>5</v>
      </c>
      <c r="AN18" t="s">
        <v>1645</v>
      </c>
      <c r="AO18" t="s">
        <v>1646</v>
      </c>
      <c r="AP18" t="s">
        <v>5</v>
      </c>
      <c r="AQ18" t="s">
        <v>182</v>
      </c>
      <c r="AR18" t="s">
        <v>5</v>
      </c>
      <c r="AS18" t="s">
        <v>1267</v>
      </c>
      <c r="AT18" t="s">
        <v>5</v>
      </c>
      <c r="AU18" t="s">
        <v>1647</v>
      </c>
      <c r="AV18" t="s">
        <v>1648</v>
      </c>
      <c r="AW18" t="s">
        <v>1649</v>
      </c>
      <c r="AX18" t="s">
        <v>800</v>
      </c>
      <c r="AY18" t="s">
        <v>253</v>
      </c>
      <c r="AZ18" t="s">
        <v>241</v>
      </c>
      <c r="BA18" t="s">
        <v>251</v>
      </c>
      <c r="BB18" t="s">
        <v>246</v>
      </c>
      <c r="BC18" t="s">
        <v>72</v>
      </c>
      <c r="BD18" t="s">
        <v>632</v>
      </c>
      <c r="BE18" t="s">
        <v>387</v>
      </c>
      <c r="BF18" t="s">
        <v>388</v>
      </c>
      <c r="BG18" t="s">
        <v>389</v>
      </c>
      <c r="BH18" t="s">
        <v>1650</v>
      </c>
      <c r="BI18" t="s">
        <v>1088</v>
      </c>
      <c r="BJ18" t="s">
        <v>800</v>
      </c>
      <c r="BK18" t="s">
        <v>27</v>
      </c>
      <c r="BL18" t="s">
        <v>1089</v>
      </c>
      <c r="BM18" t="s">
        <v>72</v>
      </c>
      <c r="BN18">
        <v>7.93</v>
      </c>
      <c r="BO18">
        <v>11.47</v>
      </c>
      <c r="BP18">
        <v>10.26</v>
      </c>
      <c r="BQ18">
        <v>9.2899999999999991</v>
      </c>
      <c r="BR18">
        <v>12.44</v>
      </c>
      <c r="BS18">
        <v>10.25</v>
      </c>
      <c r="BT18" t="s">
        <v>1651</v>
      </c>
      <c r="BU18" t="s">
        <v>1547</v>
      </c>
      <c r="BV18">
        <v>40</v>
      </c>
      <c r="BW18">
        <v>35.46</v>
      </c>
      <c r="BX18">
        <v>30.11</v>
      </c>
      <c r="BY18">
        <v>13.87</v>
      </c>
      <c r="BZ18">
        <v>11.27</v>
      </c>
      <c r="CA18">
        <v>9</v>
      </c>
      <c r="CB18">
        <v>-5.45</v>
      </c>
      <c r="CC18">
        <v>-9.11</v>
      </c>
      <c r="CD18" t="s">
        <v>1652</v>
      </c>
      <c r="CE18" t="s">
        <v>28</v>
      </c>
      <c r="CF18" s="11">
        <v>-0.42398286937901497</v>
      </c>
      <c r="CG18" s="12">
        <v>-0.15736941938829418</v>
      </c>
      <c r="CH18" s="11">
        <v>-0.72296601533889771</v>
      </c>
      <c r="CI18" s="11">
        <v>-3.2868526875972748E-2</v>
      </c>
      <c r="CJ18" s="11">
        <v>0.27411168813705444</v>
      </c>
      <c r="CK18" s="11">
        <v>0.23899370431900024</v>
      </c>
      <c r="CL18" s="11">
        <v>4.2622949928045273E-2</v>
      </c>
      <c r="CM18" s="12">
        <v>-0.6070590615272522</v>
      </c>
      <c r="CN18" s="12">
        <v>0.21793778240680695</v>
      </c>
      <c r="CO18" s="12">
        <v>0.27830320596694946</v>
      </c>
      <c r="CP18" s="12">
        <v>1.2620630264282227</v>
      </c>
      <c r="CQ18" s="12">
        <v>6.8689188957214355</v>
      </c>
      <c r="CR18">
        <v>60.194874598236389</v>
      </c>
      <c r="CS18">
        <v>15.040732033575948</v>
      </c>
      <c r="CT18">
        <v>1.3149655604257984</v>
      </c>
      <c r="CU18" s="11">
        <v>-4.0021239966154101E-2</v>
      </c>
      <c r="CV18" s="12">
        <v>1.6040327697992325</v>
      </c>
      <c r="CW18">
        <v>0.06</v>
      </c>
      <c r="CX18">
        <v>63.745835020301456</v>
      </c>
      <c r="CY18" t="s">
        <v>1653</v>
      </c>
      <c r="CZ18">
        <v>-4.0021239966154101E-2</v>
      </c>
      <c r="DA18">
        <v>21.248611673433818</v>
      </c>
      <c r="DB18" t="s">
        <v>1654</v>
      </c>
      <c r="DC18">
        <v>-3.8020177967846396E-2</v>
      </c>
      <c r="DD18">
        <v>10.624305836716909</v>
      </c>
      <c r="DE18" t="s">
        <v>1655</v>
      </c>
      <c r="DF18">
        <v>-3.5218691170215609E-2</v>
      </c>
      <c r="DG18">
        <v>6.3745835020301458</v>
      </c>
      <c r="DH18" t="s">
        <v>1656</v>
      </c>
      <c r="DI18">
        <v>-3.2016991972923285E-2</v>
      </c>
      <c r="DJ18">
        <v>3.1872917510150729</v>
      </c>
      <c r="DK18" t="s">
        <v>1657</v>
      </c>
      <c r="DL18">
        <v>-2.801486797630787E-2</v>
      </c>
      <c r="DM18">
        <v>43223500</v>
      </c>
      <c r="DN18">
        <v>-4.0021239966154101E-2</v>
      </c>
      <c r="DO18">
        <v>2755318100</v>
      </c>
      <c r="DP18">
        <v>754696990</v>
      </c>
      <c r="DQ18">
        <v>1305</v>
      </c>
      <c r="DR18">
        <v>-0.38396162941286088</v>
      </c>
      <c r="DS18">
        <v>-1.7614021891875267</v>
      </c>
      <c r="DT18" s="13">
        <v>-0.52333333333333332</v>
      </c>
      <c r="DU18">
        <v>0.48166666666666669</v>
      </c>
      <c r="DV18">
        <v>-4.166666666666663E-2</v>
      </c>
      <c r="DW18">
        <v>-8.5982436882546658</v>
      </c>
      <c r="DX18">
        <v>0.34289069767441926</v>
      </c>
      <c r="DY18">
        <v>-8.0795010211114793</v>
      </c>
      <c r="DZ18">
        <v>51</v>
      </c>
      <c r="EA18">
        <v>-8.0787075666933408</v>
      </c>
      <c r="EB18">
        <v>8</v>
      </c>
      <c r="EC18">
        <v>7.8101932021536993E-2</v>
      </c>
      <c r="ED18">
        <v>0.58771556917314294</v>
      </c>
      <c r="EE18" s="14">
        <v>7.0031100000000004</v>
      </c>
      <c r="EF18">
        <v>7.0114099999999997</v>
      </c>
      <c r="EG18">
        <v>21.132890697674419</v>
      </c>
      <c r="EH18" t="s">
        <v>1658</v>
      </c>
      <c r="EI18">
        <v>0</v>
      </c>
      <c r="EJ18">
        <v>1</v>
      </c>
      <c r="EK18" s="10">
        <v>45470</v>
      </c>
      <c r="EL18" s="15">
        <v>0.54</v>
      </c>
      <c r="EM18" s="15">
        <v>-3.46</v>
      </c>
      <c r="EN18" s="15">
        <v>0.62</v>
      </c>
      <c r="EO18" s="15">
        <v>3.31</v>
      </c>
      <c r="EP18" s="15">
        <v>-0.83</v>
      </c>
    </row>
    <row r="19" spans="1:146" ht="108" x14ac:dyDescent="0.25">
      <c r="A19" s="7"/>
      <c r="B19" s="7"/>
      <c r="C19" s="7" t="str">
        <f>""&amp;CHAR(10)&amp;Basic_Fundamental_Information_Constructure(F19)&amp;CHAR(10)&amp;Basic_Fundamental_Information_Concatenate("")</f>
        <v xml:space="preserve">
市值29.198592亿, 利润-3815.49万; PE171.3; 平均PE27.2; 平均PEG1.25, PB1.79; ROIC2.505%; ROE.1133%; 股利率1.7544%; 毛利70.89%; 净利-.8033%; 上一年度营收增-80.53%, 利润增68.73%; 当季营收增-72.61%, 利润增-151.68%; 过往5年营收增-21.71%, 利润增-59.49%
Income profile:
</v>
      </c>
      <c r="D19" t="s">
        <v>390</v>
      </c>
      <c r="E19" t="s">
        <v>391</v>
      </c>
      <c r="F19">
        <v>17.100000000000001</v>
      </c>
      <c r="G19">
        <v>2.21</v>
      </c>
      <c r="H19" t="s">
        <v>1659</v>
      </c>
      <c r="I19">
        <v>2919859200</v>
      </c>
      <c r="J19">
        <v>171.3</v>
      </c>
      <c r="K19">
        <v>1.79</v>
      </c>
      <c r="L19" t="s">
        <v>303</v>
      </c>
      <c r="M19" t="s">
        <v>1022</v>
      </c>
      <c r="N19" t="s">
        <v>1660</v>
      </c>
      <c r="O19" t="s">
        <v>1661</v>
      </c>
      <c r="P19">
        <v>-60.58</v>
      </c>
      <c r="Q19" t="s">
        <v>1661</v>
      </c>
      <c r="R19">
        <v>-38154946</v>
      </c>
      <c r="S19" s="5">
        <v>-1.6459999999999999</v>
      </c>
      <c r="T19" t="s">
        <v>1662</v>
      </c>
      <c r="U19">
        <v>162222010</v>
      </c>
      <c r="V19">
        <v>170752000</v>
      </c>
      <c r="W19">
        <v>1.29</v>
      </c>
      <c r="X19">
        <v>0.04</v>
      </c>
      <c r="Y19">
        <v>-44.94</v>
      </c>
      <c r="Z19" t="s">
        <v>26</v>
      </c>
      <c r="AA19" t="s">
        <v>1663</v>
      </c>
      <c r="AB19" t="s">
        <v>1664</v>
      </c>
      <c r="AC19" t="s">
        <v>1665</v>
      </c>
      <c r="AD19" t="s">
        <v>5</v>
      </c>
      <c r="AE19">
        <v>-14814067</v>
      </c>
      <c r="AF19" t="s">
        <v>1666</v>
      </c>
      <c r="AG19" t="s">
        <v>1667</v>
      </c>
      <c r="AH19" t="s">
        <v>1668</v>
      </c>
      <c r="AI19" t="s">
        <v>1003</v>
      </c>
      <c r="AJ19" t="s">
        <v>1669</v>
      </c>
      <c r="AK19" t="s">
        <v>1670</v>
      </c>
      <c r="AL19" t="s">
        <v>1671</v>
      </c>
      <c r="AM19" t="s">
        <v>5</v>
      </c>
      <c r="AN19">
        <v>0</v>
      </c>
      <c r="AO19" t="s">
        <v>1672</v>
      </c>
      <c r="AP19" t="s">
        <v>1673</v>
      </c>
      <c r="AQ19" t="s">
        <v>1674</v>
      </c>
      <c r="AR19" t="s">
        <v>5</v>
      </c>
      <c r="AS19" t="s">
        <v>935</v>
      </c>
      <c r="AT19" t="s">
        <v>5</v>
      </c>
      <c r="AU19" t="s">
        <v>1675</v>
      </c>
      <c r="AV19" t="s">
        <v>1676</v>
      </c>
      <c r="AW19" t="s">
        <v>1677</v>
      </c>
      <c r="AX19" t="s">
        <v>796</v>
      </c>
      <c r="AY19" t="s">
        <v>633</v>
      </c>
      <c r="AZ19" t="s">
        <v>260</v>
      </c>
      <c r="BA19" t="s">
        <v>392</v>
      </c>
      <c r="BB19" t="s">
        <v>256</v>
      </c>
      <c r="BC19" t="s">
        <v>928</v>
      </c>
      <c r="BD19" t="s">
        <v>634</v>
      </c>
      <c r="BE19" t="s">
        <v>50</v>
      </c>
      <c r="BF19" t="s">
        <v>173</v>
      </c>
      <c r="BG19" t="s">
        <v>190</v>
      </c>
      <c r="BH19" t="s">
        <v>1678</v>
      </c>
      <c r="BI19" t="s">
        <v>1092</v>
      </c>
      <c r="BJ19" t="s">
        <v>796</v>
      </c>
      <c r="BK19" t="s">
        <v>87</v>
      </c>
      <c r="BL19" t="s">
        <v>1094</v>
      </c>
      <c r="BM19" t="s">
        <v>928</v>
      </c>
      <c r="BN19">
        <v>3.06</v>
      </c>
      <c r="BO19" t="s">
        <v>5</v>
      </c>
      <c r="BP19">
        <v>1.95</v>
      </c>
      <c r="BQ19">
        <v>4.6500000000000004</v>
      </c>
      <c r="BR19">
        <v>-7.54</v>
      </c>
      <c r="BS19">
        <v>3.23</v>
      </c>
      <c r="BT19" t="s">
        <v>973</v>
      </c>
      <c r="BU19" t="s">
        <v>1296</v>
      </c>
      <c r="BV19">
        <v>77.569999999999993</v>
      </c>
      <c r="BW19">
        <v>66.150000000000006</v>
      </c>
      <c r="BX19">
        <v>68.95</v>
      </c>
      <c r="BY19">
        <v>17.489999999999998</v>
      </c>
      <c r="BZ19">
        <v>-28.01</v>
      </c>
      <c r="CA19">
        <v>8.11</v>
      </c>
      <c r="CB19">
        <v>-3.5</v>
      </c>
      <c r="CC19">
        <v>-13.72</v>
      </c>
      <c r="CD19" t="s">
        <v>1679</v>
      </c>
      <c r="CE19" t="s">
        <v>1680</v>
      </c>
      <c r="CF19" s="11">
        <v>-0.72614225806451616</v>
      </c>
      <c r="CG19" s="12">
        <v>-1.5168121093088618</v>
      </c>
      <c r="CH19" s="11">
        <v>-0.80528461933135986</v>
      </c>
      <c r="CI19" s="11">
        <v>-0.37175792455673218</v>
      </c>
      <c r="CJ19" s="11">
        <v>-0.27253669500350952</v>
      </c>
      <c r="CK19" s="11">
        <v>5.4143644869327545E-2</v>
      </c>
      <c r="CL19" s="11">
        <v>0.30969607830047607</v>
      </c>
      <c r="CM19" s="12">
        <v>0.68725496530532837</v>
      </c>
      <c r="CN19" s="12">
        <v>-3.1681835651397705</v>
      </c>
      <c r="CO19" s="12">
        <v>-0.77311170101165771</v>
      </c>
      <c r="CP19" s="12">
        <v>-0.15932203829288483</v>
      </c>
      <c r="CQ19" s="12">
        <v>0.43902438879013062</v>
      </c>
      <c r="CR19">
        <v>27.198867777009454</v>
      </c>
      <c r="CS19">
        <v>1.2525503301281105</v>
      </c>
      <c r="CT19">
        <v>1.7543859649122806</v>
      </c>
      <c r="CU19" s="11">
        <v>-0.21714790314435958</v>
      </c>
      <c r="CV19" s="12">
        <v>-0.59486759006977086</v>
      </c>
      <c r="CW19">
        <v>0.06</v>
      </c>
      <c r="CX19" t="e">
        <v>#VALUE!</v>
      </c>
      <c r="CY19" t="s">
        <v>740</v>
      </c>
      <c r="CZ19">
        <v>-0.21714790314435958</v>
      </c>
      <c r="DA19" t="e">
        <v>#VALUE!</v>
      </c>
      <c r="DB19" t="s">
        <v>741</v>
      </c>
      <c r="DC19">
        <v>-0.2062905079871416</v>
      </c>
      <c r="DD19" t="e">
        <v>#VALUE!</v>
      </c>
      <c r="DE19" t="s">
        <v>741</v>
      </c>
      <c r="DF19">
        <v>-0.19109015476703645</v>
      </c>
      <c r="DG19" t="e">
        <v>#VALUE!</v>
      </c>
      <c r="DH19" t="s">
        <v>741</v>
      </c>
      <c r="DI19">
        <v>-0.17371832251548769</v>
      </c>
      <c r="DJ19" t="e">
        <v>#VALUE!</v>
      </c>
      <c r="DK19" t="s">
        <v>741</v>
      </c>
      <c r="DL19">
        <v>-0.1520035322010517</v>
      </c>
      <c r="DM19">
        <v>-38154900</v>
      </c>
      <c r="DN19">
        <v>-0.21714790314435958</v>
      </c>
      <c r="DO19">
        <v>1759859200</v>
      </c>
      <c r="DP19">
        <v>1233891800</v>
      </c>
      <c r="DQ19">
        <v>1377</v>
      </c>
      <c r="DR19">
        <v>-0.50899435492015654</v>
      </c>
      <c r="DS19">
        <v>-0.92194451923909093</v>
      </c>
      <c r="DT19" s="13">
        <v>-0.95666666666666667</v>
      </c>
      <c r="DU19">
        <v>-1.9816666666666667</v>
      </c>
      <c r="DV19">
        <v>-2.9383333333333335</v>
      </c>
      <c r="DW19">
        <v>-8.2551020408163271</v>
      </c>
      <c r="DX19">
        <v>0.42476220714023172</v>
      </c>
      <c r="DY19">
        <v>-8.0420311752908749</v>
      </c>
      <c r="DZ19">
        <v>4420</v>
      </c>
      <c r="EA19">
        <v>-8.0056754424561056</v>
      </c>
      <c r="EB19">
        <v>8</v>
      </c>
      <c r="EC19">
        <v>6.1390788980509745E-2</v>
      </c>
      <c r="ED19">
        <v>0.37260237068965518</v>
      </c>
      <c r="EE19" s="14">
        <v>-4.0446999999999997</v>
      </c>
      <c r="EF19">
        <v>-4.0292000000000003</v>
      </c>
      <c r="EG19">
        <v>26.164762207140232</v>
      </c>
      <c r="EH19" t="s">
        <v>1681</v>
      </c>
      <c r="EI19">
        <v>0</v>
      </c>
      <c r="EJ19">
        <v>0</v>
      </c>
      <c r="EK19" s="10">
        <v>45470</v>
      </c>
      <c r="EL19" s="15">
        <v>-0.11</v>
      </c>
      <c r="EM19" s="15">
        <v>-4.26</v>
      </c>
      <c r="EN19" s="15">
        <v>-1.56</v>
      </c>
      <c r="EO19" s="15">
        <v>5.82</v>
      </c>
      <c r="EP19" s="15">
        <v>-1.55</v>
      </c>
    </row>
    <row r="20" spans="1:146" ht="108" x14ac:dyDescent="0.25">
      <c r="A20" s="7"/>
      <c r="B20" s="7"/>
      <c r="C20" s="7" t="str">
        <f>""&amp;CHAR(10)&amp;Basic_Fundamental_Information_Constructure(F20)&amp;CHAR(10)&amp;Basic_Fundamental_Information_Concatenate("")</f>
        <v xml:space="preserve">
市值61.98257亿, 利润5312.69万; PE47.31; 平均PE71.73; 平均PEG8.67, PB4.33; ROIC2.62%; ROE-.7333%; 股利率1.3959%; 毛利39.3367%; 净利-1.7967%; 上一年度营收增-63.73%, 利润增136.14%; 当季营收增-35.14%, 利润增-11.98%; 过往5年营收增-8.28%, 利润增-93.91%
Income profile:
</v>
      </c>
      <c r="D20" t="s">
        <v>393</v>
      </c>
      <c r="E20" t="s">
        <v>394</v>
      </c>
      <c r="F20">
        <v>35.82</v>
      </c>
      <c r="G20">
        <v>2.34</v>
      </c>
      <c r="H20" t="s">
        <v>1682</v>
      </c>
      <c r="I20">
        <v>6198257000</v>
      </c>
      <c r="J20">
        <v>47.31</v>
      </c>
      <c r="K20">
        <v>4.33</v>
      </c>
      <c r="L20" t="s">
        <v>303</v>
      </c>
      <c r="M20" t="s">
        <v>1256</v>
      </c>
      <c r="N20" t="s">
        <v>1683</v>
      </c>
      <c r="O20" t="s">
        <v>1175</v>
      </c>
      <c r="P20">
        <v>37.19</v>
      </c>
      <c r="Q20" t="s">
        <v>1175</v>
      </c>
      <c r="R20">
        <v>53126910</v>
      </c>
      <c r="S20" s="5">
        <v>1.2070000000000001</v>
      </c>
      <c r="T20" t="s">
        <v>1684</v>
      </c>
      <c r="U20">
        <v>111839174</v>
      </c>
      <c r="V20">
        <v>173039000</v>
      </c>
      <c r="W20">
        <v>1.78</v>
      </c>
      <c r="X20">
        <v>0.21</v>
      </c>
      <c r="Y20">
        <v>10.58</v>
      </c>
      <c r="Z20" t="s">
        <v>97</v>
      </c>
      <c r="AA20" t="s">
        <v>210</v>
      </c>
      <c r="AB20" t="s">
        <v>1685</v>
      </c>
      <c r="AC20" t="s">
        <v>1686</v>
      </c>
      <c r="AD20" t="s">
        <v>5</v>
      </c>
      <c r="AE20">
        <v>-5472657</v>
      </c>
      <c r="AF20" t="s">
        <v>1687</v>
      </c>
      <c r="AG20" t="s">
        <v>1688</v>
      </c>
      <c r="AH20" t="s">
        <v>1689</v>
      </c>
      <c r="AI20" t="s">
        <v>1690</v>
      </c>
      <c r="AJ20" t="s">
        <v>1691</v>
      </c>
      <c r="AK20" t="s">
        <v>1692</v>
      </c>
      <c r="AL20" t="s">
        <v>1693</v>
      </c>
      <c r="AM20" t="s">
        <v>5</v>
      </c>
      <c r="AN20" t="s">
        <v>1694</v>
      </c>
      <c r="AO20" t="s">
        <v>1237</v>
      </c>
      <c r="AP20" t="s">
        <v>1695</v>
      </c>
      <c r="AQ20" t="s">
        <v>1085</v>
      </c>
      <c r="AR20" t="s">
        <v>5</v>
      </c>
      <c r="AS20" t="s">
        <v>1262</v>
      </c>
      <c r="AT20" t="s">
        <v>1696</v>
      </c>
      <c r="AU20" t="s">
        <v>1697</v>
      </c>
      <c r="AV20" t="s">
        <v>1698</v>
      </c>
      <c r="AW20" t="s">
        <v>1699</v>
      </c>
      <c r="AX20" t="s">
        <v>930</v>
      </c>
      <c r="AY20" t="s">
        <v>636</v>
      </c>
      <c r="AZ20" t="s">
        <v>267</v>
      </c>
      <c r="BA20" t="s">
        <v>395</v>
      </c>
      <c r="BB20" t="s">
        <v>204</v>
      </c>
      <c r="BC20" t="s">
        <v>750</v>
      </c>
      <c r="BD20" t="s">
        <v>637</v>
      </c>
      <c r="BE20" t="s">
        <v>47</v>
      </c>
      <c r="BF20" t="s">
        <v>59</v>
      </c>
      <c r="BG20" t="s">
        <v>27</v>
      </c>
      <c r="BH20" t="s">
        <v>1700</v>
      </c>
      <c r="BI20" t="s">
        <v>1097</v>
      </c>
      <c r="BJ20" t="s">
        <v>930</v>
      </c>
      <c r="BK20" t="s">
        <v>98</v>
      </c>
      <c r="BL20" t="s">
        <v>1100</v>
      </c>
      <c r="BM20" t="s">
        <v>750</v>
      </c>
      <c r="BN20">
        <v>4.5</v>
      </c>
      <c r="BO20" t="s">
        <v>5</v>
      </c>
      <c r="BP20">
        <v>0.74</v>
      </c>
      <c r="BQ20">
        <v>5.97</v>
      </c>
      <c r="BR20">
        <v>-10.24</v>
      </c>
      <c r="BS20">
        <v>2.0699999999999998</v>
      </c>
      <c r="BT20" t="s">
        <v>1701</v>
      </c>
      <c r="BU20" t="s">
        <v>1296</v>
      </c>
      <c r="BV20">
        <v>42.95</v>
      </c>
      <c r="BW20">
        <v>38.75</v>
      </c>
      <c r="BX20">
        <v>36.31</v>
      </c>
      <c r="BY20">
        <v>5.78</v>
      </c>
      <c r="BZ20">
        <v>-12.09</v>
      </c>
      <c r="CA20">
        <v>0.92</v>
      </c>
      <c r="CB20">
        <v>-0.57999999999999996</v>
      </c>
      <c r="CC20">
        <v>9.01</v>
      </c>
      <c r="CD20" t="s">
        <v>1702</v>
      </c>
      <c r="CE20" t="s">
        <v>171</v>
      </c>
      <c r="CF20" s="11">
        <v>-0.35142118863049104</v>
      </c>
      <c r="CG20" s="12">
        <v>-0.11976688122871984</v>
      </c>
      <c r="CH20" s="11">
        <v>-0.63728326559066772</v>
      </c>
      <c r="CI20" s="11">
        <v>-0.1920606791973114</v>
      </c>
      <c r="CJ20" s="11">
        <v>6.463642418384552E-2</v>
      </c>
      <c r="CK20" s="11">
        <v>2.8772337362170219E-2</v>
      </c>
      <c r="CL20" s="11">
        <v>0.32206249237060547</v>
      </c>
      <c r="CM20" s="12">
        <v>1.3614073991775513</v>
      </c>
      <c r="CN20" s="12">
        <v>-5.6869916915893555</v>
      </c>
      <c r="CO20" s="12">
        <v>-0.86653876304626465</v>
      </c>
      <c r="CP20" s="12">
        <v>0.20512820780277252</v>
      </c>
      <c r="CQ20" s="12">
        <v>0.29139071702957153</v>
      </c>
      <c r="CR20">
        <v>71.72659160643893</v>
      </c>
      <c r="CS20">
        <v>8.6652965016159236</v>
      </c>
      <c r="CT20">
        <v>1.3958682300390843</v>
      </c>
      <c r="CU20" s="11">
        <v>-8.2774538174271578E-2</v>
      </c>
      <c r="CV20" s="12">
        <v>-0.93912082612514491</v>
      </c>
      <c r="CW20">
        <v>0.06</v>
      </c>
      <c r="CX20">
        <v>107.03159792873291</v>
      </c>
      <c r="CY20" t="s">
        <v>1703</v>
      </c>
      <c r="CZ20">
        <v>-8.2774538174271578E-2</v>
      </c>
      <c r="DA20">
        <v>35.677199309577631</v>
      </c>
      <c r="DB20" t="s">
        <v>1704</v>
      </c>
      <c r="DC20">
        <v>-7.8635811265557992E-2</v>
      </c>
      <c r="DD20">
        <v>17.838599654788815</v>
      </c>
      <c r="DE20" t="s">
        <v>1705</v>
      </c>
      <c r="DF20">
        <v>-7.2841593593358983E-2</v>
      </c>
      <c r="DG20">
        <v>10.70315979287329</v>
      </c>
      <c r="DH20" t="s">
        <v>1706</v>
      </c>
      <c r="DI20">
        <v>-6.6219630539417262E-2</v>
      </c>
      <c r="DJ20">
        <v>5.351579896436645</v>
      </c>
      <c r="DK20" t="s">
        <v>1707</v>
      </c>
      <c r="DL20">
        <v>-5.7942176721990098E-2</v>
      </c>
      <c r="DM20">
        <v>53126899.999999993</v>
      </c>
      <c r="DN20">
        <v>-8.2774538174271578E-2</v>
      </c>
      <c r="DO20">
        <v>5686257000</v>
      </c>
      <c r="DP20">
        <v>873076000.00000012</v>
      </c>
      <c r="DQ20">
        <v>1429</v>
      </c>
      <c r="DR20">
        <v>-0.26864665045621949</v>
      </c>
      <c r="DS20">
        <v>0.8193539448964251</v>
      </c>
      <c r="DT20" s="13">
        <v>-0.82333333333333325</v>
      </c>
      <c r="DU20">
        <v>-0.87333333333333341</v>
      </c>
      <c r="DV20">
        <v>-1.6966666666666668</v>
      </c>
      <c r="DW20">
        <v>2.0901000000000001</v>
      </c>
      <c r="DX20">
        <v>0.2927647368421043</v>
      </c>
      <c r="DY20">
        <v>2.0092591027894735</v>
      </c>
      <c r="DZ20">
        <v>2494</v>
      </c>
      <c r="EA20">
        <v>2.0047400808018128</v>
      </c>
      <c r="EB20">
        <v>2</v>
      </c>
      <c r="EC20">
        <v>0.11283756840943371</v>
      </c>
      <c r="ED20">
        <v>1.0980183658019291</v>
      </c>
      <c r="EE20" s="14">
        <v>2.0115099999999999</v>
      </c>
      <c r="EF20">
        <v>2.0499100000000001</v>
      </c>
      <c r="EG20">
        <v>19.102764736842104</v>
      </c>
      <c r="EH20" t="s">
        <v>746</v>
      </c>
      <c r="EI20">
        <v>1</v>
      </c>
      <c r="EJ20">
        <v>0</v>
      </c>
      <c r="EK20" s="10">
        <v>45470</v>
      </c>
      <c r="EL20" s="15">
        <v>-2.42</v>
      </c>
      <c r="EM20" s="15">
        <v>-3.11</v>
      </c>
      <c r="EN20" s="15">
        <v>-2.12</v>
      </c>
      <c r="EO20" s="15">
        <v>1.42</v>
      </c>
      <c r="EP20" s="15">
        <v>-3.84</v>
      </c>
    </row>
    <row r="21" spans="1:146" ht="108" x14ac:dyDescent="0.25">
      <c r="A21" s="7"/>
      <c r="B21" s="7"/>
      <c r="C21" s="7" t="str">
        <f>""&amp;CHAR(10)&amp;Basic_Fundamental_Information_Constructure(F21)&amp;CHAR(10)&amp;Basic_Fundamental_Information_Concatenate("")</f>
        <v xml:space="preserve">
市值48.371063亿, 利润5489.37万; PE26.46; 平均PE31.91; 平均PEG11.95, PB2.05; ROIC6.8167%; ROE7.2267%; 股利率2.1175%; 毛利39.32%; 净利12.7533%; 上一年度营收增-69.97%, 利润增-43.22%; 当季营收增-63.06%, 利润增-56.43%; 过往5年营收增2.67%, 利润增-10.83%
Income profile:
</v>
      </c>
      <c r="D21" t="s">
        <v>396</v>
      </c>
      <c r="E21" t="s">
        <v>397</v>
      </c>
      <c r="F21">
        <v>18.89</v>
      </c>
      <c r="G21">
        <v>0.27</v>
      </c>
      <c r="H21" t="s">
        <v>1708</v>
      </c>
      <c r="I21">
        <v>4837106300</v>
      </c>
      <c r="J21">
        <v>26.46</v>
      </c>
      <c r="K21">
        <v>2.0499999999999998</v>
      </c>
      <c r="L21" t="s">
        <v>303</v>
      </c>
      <c r="M21" t="s">
        <v>939</v>
      </c>
      <c r="N21" t="s">
        <v>1709</v>
      </c>
      <c r="O21" t="s">
        <v>155</v>
      </c>
      <c r="P21">
        <v>-28.73</v>
      </c>
      <c r="Q21" t="s">
        <v>155</v>
      </c>
      <c r="R21">
        <v>54893722</v>
      </c>
      <c r="S21" s="5">
        <v>-0.21920000000000001</v>
      </c>
      <c r="T21" t="s">
        <v>1710</v>
      </c>
      <c r="U21">
        <v>132480250</v>
      </c>
      <c r="V21">
        <v>256067040</v>
      </c>
      <c r="W21">
        <v>1.5</v>
      </c>
      <c r="X21">
        <v>0.08</v>
      </c>
      <c r="Y21">
        <v>18.510000000000002</v>
      </c>
      <c r="Z21" t="s">
        <v>1096</v>
      </c>
      <c r="AA21" t="s">
        <v>151</v>
      </c>
      <c r="AB21" t="s">
        <v>1711</v>
      </c>
      <c r="AC21" t="s">
        <v>1712</v>
      </c>
      <c r="AD21" t="s">
        <v>5</v>
      </c>
      <c r="AE21">
        <v>-1395112</v>
      </c>
      <c r="AF21" t="s">
        <v>1713</v>
      </c>
      <c r="AG21">
        <v>1270.58</v>
      </c>
      <c r="AH21" t="s">
        <v>1714</v>
      </c>
      <c r="AI21" t="s">
        <v>1442</v>
      </c>
      <c r="AJ21" t="s">
        <v>1715</v>
      </c>
      <c r="AK21" t="s">
        <v>1716</v>
      </c>
      <c r="AL21" t="s">
        <v>1717</v>
      </c>
      <c r="AM21" t="s">
        <v>5</v>
      </c>
      <c r="AN21" t="s">
        <v>72</v>
      </c>
      <c r="AO21" t="s">
        <v>5</v>
      </c>
      <c r="AP21" t="s">
        <v>187</v>
      </c>
      <c r="AQ21" t="s">
        <v>152</v>
      </c>
      <c r="AR21" t="s">
        <v>1718</v>
      </c>
      <c r="AS21" t="s">
        <v>1719</v>
      </c>
      <c r="AT21" t="s">
        <v>5</v>
      </c>
      <c r="AU21" t="s">
        <v>1720</v>
      </c>
      <c r="AV21" t="s">
        <v>1721</v>
      </c>
      <c r="AW21" t="s">
        <v>1722</v>
      </c>
      <c r="AX21" t="s">
        <v>932</v>
      </c>
      <c r="AY21" t="s">
        <v>336</v>
      </c>
      <c r="AZ21" t="s">
        <v>245</v>
      </c>
      <c r="BA21" t="s">
        <v>120</v>
      </c>
      <c r="BB21" t="s">
        <v>96</v>
      </c>
      <c r="BC21" t="s">
        <v>1723</v>
      </c>
      <c r="BD21" t="s">
        <v>91</v>
      </c>
      <c r="BE21" t="s">
        <v>40</v>
      </c>
      <c r="BF21" t="s">
        <v>121</v>
      </c>
      <c r="BG21" t="s">
        <v>69</v>
      </c>
      <c r="BH21" t="s">
        <v>1724</v>
      </c>
      <c r="BI21" t="s">
        <v>635</v>
      </c>
      <c r="BJ21" t="s">
        <v>932</v>
      </c>
      <c r="BK21" t="s">
        <v>1070</v>
      </c>
      <c r="BL21" t="s">
        <v>74</v>
      </c>
      <c r="BM21" t="s">
        <v>1723</v>
      </c>
      <c r="BN21">
        <v>7.62</v>
      </c>
      <c r="BO21">
        <v>4.32</v>
      </c>
      <c r="BP21">
        <v>8.51</v>
      </c>
      <c r="BQ21">
        <v>7.77</v>
      </c>
      <c r="BR21">
        <v>4.72</v>
      </c>
      <c r="BS21">
        <v>9.19</v>
      </c>
      <c r="BT21" t="s">
        <v>906</v>
      </c>
      <c r="BU21" t="s">
        <v>1296</v>
      </c>
      <c r="BV21">
        <v>39.200000000000003</v>
      </c>
      <c r="BW21">
        <v>40.65</v>
      </c>
      <c r="BX21">
        <v>38.11</v>
      </c>
      <c r="BY21">
        <v>12.6</v>
      </c>
      <c r="BZ21">
        <v>9.75</v>
      </c>
      <c r="CA21">
        <v>15.91</v>
      </c>
      <c r="CB21">
        <v>-6.16</v>
      </c>
      <c r="CC21">
        <v>-12.02</v>
      </c>
      <c r="CD21" t="s">
        <v>1725</v>
      </c>
      <c r="CE21" t="s">
        <v>1726</v>
      </c>
      <c r="CF21" s="11">
        <v>-0.63059701492537312</v>
      </c>
      <c r="CG21" s="12">
        <v>-0.56433553968253969</v>
      </c>
      <c r="CH21" s="11">
        <v>-0.69969666004180908</v>
      </c>
      <c r="CI21" s="11">
        <v>-0.12244903296232224</v>
      </c>
      <c r="CJ21" s="11">
        <v>0.20534765720367432</v>
      </c>
      <c r="CK21" s="11">
        <v>0.15861214697360992</v>
      </c>
      <c r="CL21" s="11">
        <v>0.59171599149703979</v>
      </c>
      <c r="CM21" s="12">
        <v>-0.43217664957046509</v>
      </c>
      <c r="CN21" s="12">
        <v>-0.45992231369018555</v>
      </c>
      <c r="CO21" s="12">
        <v>-0.2008928507566452</v>
      </c>
      <c r="CP21" s="12">
        <v>5.1643192768096924E-2</v>
      </c>
      <c r="CQ21" s="12">
        <v>0.5</v>
      </c>
      <c r="CR21">
        <v>31.908170211867706</v>
      </c>
      <c r="CS21">
        <v>11.947931430367429</v>
      </c>
      <c r="CT21">
        <v>2.1175224986765482</v>
      </c>
      <c r="CU21" s="11">
        <v>2.6706020534038543E-2</v>
      </c>
      <c r="CV21" s="12">
        <v>-0.10826972424983979</v>
      </c>
      <c r="CW21">
        <v>0.06</v>
      </c>
      <c r="CX21">
        <v>70.249011622937445</v>
      </c>
      <c r="CY21">
        <v>53169521.018291838</v>
      </c>
      <c r="CZ21">
        <v>2.6706020534038543E-2</v>
      </c>
      <c r="DA21">
        <v>24.229777289948519</v>
      </c>
      <c r="DB21">
        <v>154153554.74808559</v>
      </c>
      <c r="DC21">
        <v>2.5370719507336614E-2</v>
      </c>
      <c r="DD21">
        <v>12.797143497106289</v>
      </c>
      <c r="DE21">
        <v>291870314.71863925</v>
      </c>
      <c r="DF21">
        <v>2.3501298069953918E-2</v>
      </c>
      <c r="DG21">
        <v>8.2985268612680123</v>
      </c>
      <c r="DH21">
        <v>450092692.64801496</v>
      </c>
      <c r="DI21">
        <v>2.1364816427230836E-2</v>
      </c>
      <c r="DJ21">
        <v>5.0310036932231466</v>
      </c>
      <c r="DK21">
        <v>742417721.7423346</v>
      </c>
      <c r="DL21">
        <v>1.869421437382698E-2</v>
      </c>
      <c r="DM21">
        <v>54893700</v>
      </c>
      <c r="DN21">
        <v>2.6706020534038543E-2</v>
      </c>
      <c r="DO21">
        <v>3735106300</v>
      </c>
      <c r="DP21">
        <v>1808144500</v>
      </c>
      <c r="DQ21">
        <v>1448</v>
      </c>
      <c r="DR21">
        <v>-0.65730303545941171</v>
      </c>
      <c r="DS21">
        <v>-0.45606581543269992</v>
      </c>
      <c r="DT21" s="13">
        <v>-0.42333333333333339</v>
      </c>
      <c r="DU21">
        <v>-0.56999999999999995</v>
      </c>
      <c r="DV21">
        <v>-0.9933333333333334</v>
      </c>
      <c r="DW21">
        <v>-9.5124792013311144</v>
      </c>
      <c r="DX21">
        <v>0.34205624161775178</v>
      </c>
      <c r="DY21">
        <v>-9.0728008692483648</v>
      </c>
      <c r="DZ21">
        <v>1704</v>
      </c>
      <c r="EA21">
        <v>-9.0485244150019426</v>
      </c>
      <c r="EB21">
        <v>9</v>
      </c>
      <c r="EC21">
        <v>5.0960873371285895E-2</v>
      </c>
      <c r="ED21">
        <v>0.35873730566807815</v>
      </c>
      <c r="EE21" s="14">
        <v>-1.08341</v>
      </c>
      <c r="EF21">
        <v>-1.1128100000000001</v>
      </c>
      <c r="EG21">
        <v>20.142056241617752</v>
      </c>
      <c r="EH21" t="s">
        <v>753</v>
      </c>
      <c r="EI21">
        <v>0</v>
      </c>
      <c r="EJ21">
        <v>0</v>
      </c>
      <c r="EK21" s="10">
        <v>45470</v>
      </c>
      <c r="EL21" s="15">
        <v>-1.31</v>
      </c>
      <c r="EM21" s="15">
        <v>-5.81</v>
      </c>
      <c r="EN21" s="15">
        <v>-1.96</v>
      </c>
      <c r="EO21" s="15">
        <v>6.14</v>
      </c>
      <c r="EP21" s="15">
        <v>-2.94</v>
      </c>
    </row>
    <row r="22" spans="1:146" ht="108" x14ac:dyDescent="0.25">
      <c r="A22" s="7"/>
      <c r="B22" s="7"/>
      <c r="C22" s="7" t="str">
        <f>""&amp;CHAR(10)&amp;Basic_Fundamental_Information_Constructure(F22)&amp;CHAR(10)&amp;Basic_Fundamental_Information_Concatenate("")</f>
        <v xml:space="preserve">
市值20.994977亿, 利润-1059.98万; PE90.18; 平均PE45.33; 平均PEG2.48, PB2.91; ROIC5.075%; ROE2.8433%; 股利率.7797%; 毛利40.9567%; 净利11.29%; 上一年度营收增-93.82%, 利润增-129.04%; 当季营收增-67.5%, 利润增43%; 过往5年营收增-18.27%, 利润增-37.2%
Income profile:
</v>
      </c>
      <c r="D22" t="s">
        <v>398</v>
      </c>
      <c r="E22" t="s">
        <v>399</v>
      </c>
      <c r="F22">
        <v>25.65</v>
      </c>
      <c r="G22">
        <v>-1.35</v>
      </c>
      <c r="H22" t="s">
        <v>1727</v>
      </c>
      <c r="I22">
        <v>2099497700</v>
      </c>
      <c r="J22">
        <v>90.18</v>
      </c>
      <c r="K22">
        <v>2.91</v>
      </c>
      <c r="L22" t="s">
        <v>303</v>
      </c>
      <c r="M22" t="s">
        <v>203</v>
      </c>
      <c r="N22" t="s">
        <v>1728</v>
      </c>
      <c r="O22" t="s">
        <v>1729</v>
      </c>
      <c r="P22">
        <v>-15.51</v>
      </c>
      <c r="Q22" t="s">
        <v>1729</v>
      </c>
      <c r="R22">
        <v>-10599837</v>
      </c>
      <c r="S22" s="5">
        <v>-0.20280000000000001</v>
      </c>
      <c r="T22" t="s">
        <v>1730</v>
      </c>
      <c r="U22">
        <v>69578238</v>
      </c>
      <c r="V22">
        <v>81851763</v>
      </c>
      <c r="W22">
        <v>1.41</v>
      </c>
      <c r="X22">
        <v>0.02</v>
      </c>
      <c r="Y22">
        <v>-54.98</v>
      </c>
      <c r="Z22" t="s">
        <v>1731</v>
      </c>
      <c r="AA22" t="s">
        <v>1732</v>
      </c>
      <c r="AB22" t="s">
        <v>1733</v>
      </c>
      <c r="AC22" t="s">
        <v>1734</v>
      </c>
      <c r="AD22" t="s">
        <v>5</v>
      </c>
      <c r="AE22">
        <v>307225</v>
      </c>
      <c r="AF22" t="s">
        <v>1735</v>
      </c>
      <c r="AG22" t="s">
        <v>1736</v>
      </c>
      <c r="AH22" t="s">
        <v>1737</v>
      </c>
      <c r="AI22" t="s">
        <v>1064</v>
      </c>
      <c r="AJ22" t="s">
        <v>1738</v>
      </c>
      <c r="AK22" t="s">
        <v>1739</v>
      </c>
      <c r="AL22" t="s">
        <v>1740</v>
      </c>
      <c r="AM22" t="s">
        <v>5</v>
      </c>
      <c r="AN22" t="s">
        <v>1741</v>
      </c>
      <c r="AO22" t="s">
        <v>1742</v>
      </c>
      <c r="AP22" t="s">
        <v>1743</v>
      </c>
      <c r="AQ22" t="s">
        <v>1744</v>
      </c>
      <c r="AR22" t="s">
        <v>5</v>
      </c>
      <c r="AS22" t="s">
        <v>109</v>
      </c>
      <c r="AT22" t="s">
        <v>5</v>
      </c>
      <c r="AU22" t="s">
        <v>1745</v>
      </c>
      <c r="AV22" t="s">
        <v>1746</v>
      </c>
      <c r="AW22" t="s">
        <v>1747</v>
      </c>
      <c r="AX22" t="s">
        <v>134</v>
      </c>
      <c r="AY22" t="s">
        <v>207</v>
      </c>
      <c r="AZ22" t="s">
        <v>207</v>
      </c>
      <c r="BA22" t="s">
        <v>229</v>
      </c>
      <c r="BB22" t="s">
        <v>134</v>
      </c>
      <c r="BC22" t="s">
        <v>934</v>
      </c>
      <c r="BD22" t="s">
        <v>638</v>
      </c>
      <c r="BE22" t="s">
        <v>400</v>
      </c>
      <c r="BF22" t="s">
        <v>401</v>
      </c>
      <c r="BG22" t="s">
        <v>402</v>
      </c>
      <c r="BH22" t="s">
        <v>188</v>
      </c>
      <c r="BI22" t="s">
        <v>1104</v>
      </c>
      <c r="BJ22" t="s">
        <v>134</v>
      </c>
      <c r="BK22" t="s">
        <v>1748</v>
      </c>
      <c r="BL22" t="s">
        <v>1105</v>
      </c>
      <c r="BM22" t="s">
        <v>934</v>
      </c>
      <c r="BN22" t="s">
        <v>5</v>
      </c>
      <c r="BO22">
        <v>4.72</v>
      </c>
      <c r="BP22">
        <v>5.43</v>
      </c>
      <c r="BQ22">
        <v>-2.2200000000000002</v>
      </c>
      <c r="BR22">
        <v>5.08</v>
      </c>
      <c r="BS22">
        <v>5.67</v>
      </c>
      <c r="BT22" t="s">
        <v>875</v>
      </c>
      <c r="BU22" t="s">
        <v>1547</v>
      </c>
      <c r="BV22">
        <v>42.26</v>
      </c>
      <c r="BW22">
        <v>41</v>
      </c>
      <c r="BX22">
        <v>39.61</v>
      </c>
      <c r="BY22">
        <v>8.64</v>
      </c>
      <c r="BZ22">
        <v>11.5</v>
      </c>
      <c r="CA22">
        <v>13.73</v>
      </c>
      <c r="CB22">
        <v>-3.93</v>
      </c>
      <c r="CC22">
        <v>-10.38</v>
      </c>
      <c r="CD22" t="s">
        <v>1749</v>
      </c>
      <c r="CE22" t="s">
        <v>172</v>
      </c>
      <c r="CF22" s="11">
        <v>-0.67498353929257937</v>
      </c>
      <c r="CG22" s="12">
        <v>0.4299814472240745</v>
      </c>
      <c r="CH22" s="11">
        <v>-0.93818014860153198</v>
      </c>
      <c r="CI22" s="11">
        <v>2.9220778495073318E-2</v>
      </c>
      <c r="CJ22" s="11">
        <v>0</v>
      </c>
      <c r="CK22" s="11">
        <v>-0.15616437792778015</v>
      </c>
      <c r="CL22" s="11">
        <v>0.15141956508159637</v>
      </c>
      <c r="CM22" s="12">
        <v>-1.2903600931167603</v>
      </c>
      <c r="CN22" s="12">
        <v>-8.7660849094390869E-2</v>
      </c>
      <c r="CO22" s="12">
        <v>-0.39511901140213013</v>
      </c>
      <c r="CP22" s="12">
        <v>-9.7939617931842804E-2</v>
      </c>
      <c r="CQ22" s="12">
        <v>1.1196772567927837E-2</v>
      </c>
      <c r="CR22">
        <v>45.325340012384693</v>
      </c>
      <c r="CS22">
        <v>2.4803071310188978</v>
      </c>
      <c r="CT22">
        <v>0.77972709551656927</v>
      </c>
      <c r="CU22" s="11">
        <v>-0.18274083659052848</v>
      </c>
      <c r="CV22" s="12">
        <v>-0.37197655979543925</v>
      </c>
      <c r="CW22">
        <v>0.06</v>
      </c>
      <c r="CX22" t="e">
        <v>#VALUE!</v>
      </c>
      <c r="CY22" t="s">
        <v>740</v>
      </c>
      <c r="CZ22">
        <v>-0.18274083659052848</v>
      </c>
      <c r="DA22" t="e">
        <v>#VALUE!</v>
      </c>
      <c r="DB22" t="s">
        <v>741</v>
      </c>
      <c r="DC22">
        <v>-0.17360379476100204</v>
      </c>
      <c r="DD22" t="e">
        <v>#VALUE!</v>
      </c>
      <c r="DE22" t="s">
        <v>741</v>
      </c>
      <c r="DF22">
        <v>-0.16081193619966505</v>
      </c>
      <c r="DG22" t="e">
        <v>#VALUE!</v>
      </c>
      <c r="DH22" t="s">
        <v>741</v>
      </c>
      <c r="DI22">
        <v>-0.14619266927242278</v>
      </c>
      <c r="DJ22" t="e">
        <v>#VALUE!</v>
      </c>
      <c r="DK22" t="s">
        <v>741</v>
      </c>
      <c r="DL22">
        <v>-0.12791858561336994</v>
      </c>
      <c r="DM22">
        <v>-10599800</v>
      </c>
      <c r="DN22">
        <v>-0.18274083659052848</v>
      </c>
      <c r="DO22">
        <v>1659497700</v>
      </c>
      <c r="DP22">
        <v>622173870</v>
      </c>
      <c r="DQ22">
        <v>1461</v>
      </c>
      <c r="DR22">
        <v>-0.49224270270205089</v>
      </c>
      <c r="DS22">
        <v>0.80195800701951381</v>
      </c>
      <c r="DT22" s="13">
        <v>-0.79</v>
      </c>
      <c r="DU22">
        <v>-1.5616666666666668</v>
      </c>
      <c r="DV22">
        <v>-2.3516666666666666</v>
      </c>
      <c r="DW22">
        <v>-8.3786127167630049</v>
      </c>
      <c r="DX22">
        <v>0.42438677685950577</v>
      </c>
      <c r="DY22">
        <v>-8.0811695600248417</v>
      </c>
      <c r="DZ22">
        <v>3972</v>
      </c>
      <c r="EA22">
        <v>-8.0180765086708945</v>
      </c>
      <c r="EB22">
        <v>8</v>
      </c>
      <c r="EC22">
        <v>0.31692414493258991</v>
      </c>
      <c r="ED22">
        <v>1.4782821476917973</v>
      </c>
      <c r="EE22" s="14">
        <v>3.1101000000000001</v>
      </c>
      <c r="EF22">
        <v>3.0680999999999998</v>
      </c>
      <c r="EG22">
        <v>21.214386776859506</v>
      </c>
      <c r="EH22" t="s">
        <v>1265</v>
      </c>
      <c r="EI22">
        <v>0</v>
      </c>
      <c r="EJ22">
        <v>0</v>
      </c>
      <c r="EK22" s="10">
        <v>45470</v>
      </c>
      <c r="EL22" s="15">
        <v>-0.12</v>
      </c>
      <c r="EM22" s="15">
        <v>-4.71</v>
      </c>
      <c r="EN22" s="15">
        <v>9.98</v>
      </c>
      <c r="EO22" s="15">
        <v>9.98</v>
      </c>
      <c r="EP22" s="15">
        <v>-4.2</v>
      </c>
    </row>
    <row r="23" spans="1:146" ht="108" x14ac:dyDescent="0.25">
      <c r="A23" s="7"/>
      <c r="B23" s="7"/>
      <c r="C23" s="7" t="str">
        <f>""&amp;CHAR(10)&amp;Basic_Fundamental_Information_Constructure(F23)&amp;CHAR(10)&amp;Basic_Fundamental_Information_Concatenate("")</f>
        <v xml:space="preserve">
市值37.4748亿, 利润-422.65万; PE; 平均PE67.37; 平均PEG18.52, PB3.33; ROIC5.815%; ROE2.86%; 股利率0%; 毛利9.8367%; 净利.9433%; 上一年度营收增-87.47%, 利润增-106.8%; 当季营收增-68.51%, 利润增79.01%; 过往5年营收增-3.64%, 利润增-21.87%
Income profile:
</v>
      </c>
      <c r="D23" t="s">
        <v>403</v>
      </c>
      <c r="E23" t="s">
        <v>404</v>
      </c>
      <c r="F23">
        <v>18.7</v>
      </c>
      <c r="G23">
        <v>3.83</v>
      </c>
      <c r="H23" t="s">
        <v>1611</v>
      </c>
      <c r="I23">
        <v>3747480000</v>
      </c>
      <c r="K23">
        <v>3.33</v>
      </c>
      <c r="L23" t="s">
        <v>303</v>
      </c>
      <c r="M23" t="s">
        <v>1266</v>
      </c>
      <c r="N23" t="s">
        <v>272</v>
      </c>
      <c r="O23" t="s">
        <v>1096</v>
      </c>
      <c r="P23">
        <v>-35.15</v>
      </c>
      <c r="Q23" t="s">
        <v>1096</v>
      </c>
      <c r="R23">
        <v>-4226483</v>
      </c>
      <c r="S23" s="5">
        <v>-1.58</v>
      </c>
      <c r="T23" t="s">
        <v>1750</v>
      </c>
      <c r="U23">
        <v>197672710</v>
      </c>
      <c r="V23">
        <v>200400000</v>
      </c>
      <c r="W23">
        <v>1.28</v>
      </c>
      <c r="X23">
        <v>0.16</v>
      </c>
      <c r="Y23">
        <v>-2.4300000000000002</v>
      </c>
      <c r="Z23" t="s">
        <v>183</v>
      </c>
      <c r="AA23" t="s">
        <v>59</v>
      </c>
      <c r="AB23" t="s">
        <v>1751</v>
      </c>
      <c r="AC23" t="s">
        <v>1752</v>
      </c>
      <c r="AD23" t="s">
        <v>5</v>
      </c>
      <c r="AE23">
        <v>-807255</v>
      </c>
      <c r="AF23" t="s">
        <v>1753</v>
      </c>
      <c r="AG23" t="s">
        <v>5</v>
      </c>
      <c r="AH23" t="s">
        <v>1754</v>
      </c>
      <c r="AI23" t="s">
        <v>177</v>
      </c>
      <c r="AJ23" t="s">
        <v>1755</v>
      </c>
      <c r="AK23" t="s">
        <v>1756</v>
      </c>
      <c r="AL23" t="s">
        <v>1757</v>
      </c>
      <c r="AM23" t="s">
        <v>5</v>
      </c>
      <c r="AN23">
        <v>0</v>
      </c>
      <c r="AO23" t="s">
        <v>100</v>
      </c>
      <c r="AP23" t="s">
        <v>5</v>
      </c>
      <c r="AQ23" t="s">
        <v>172</v>
      </c>
      <c r="AR23" t="s">
        <v>5</v>
      </c>
      <c r="AS23" t="s">
        <v>146</v>
      </c>
      <c r="AT23" t="s">
        <v>5</v>
      </c>
      <c r="AU23" t="s">
        <v>1758</v>
      </c>
      <c r="AV23" t="s">
        <v>1759</v>
      </c>
      <c r="AW23" t="s">
        <v>1760</v>
      </c>
      <c r="AX23" t="s">
        <v>936</v>
      </c>
      <c r="AY23" t="s">
        <v>639</v>
      </c>
      <c r="AZ23" t="s">
        <v>405</v>
      </c>
      <c r="BA23" t="s">
        <v>242</v>
      </c>
      <c r="BB23" t="s">
        <v>142</v>
      </c>
      <c r="BC23" t="s">
        <v>937</v>
      </c>
      <c r="BD23" t="s">
        <v>640</v>
      </c>
      <c r="BE23" t="s">
        <v>406</v>
      </c>
      <c r="BF23" t="s">
        <v>407</v>
      </c>
      <c r="BG23" t="s">
        <v>408</v>
      </c>
      <c r="BH23" t="s">
        <v>1761</v>
      </c>
      <c r="BI23" t="s">
        <v>958</v>
      </c>
      <c r="BJ23" t="s">
        <v>936</v>
      </c>
      <c r="BK23" t="s">
        <v>1762</v>
      </c>
      <c r="BL23" t="s">
        <v>1107</v>
      </c>
      <c r="BM23" t="s">
        <v>937</v>
      </c>
      <c r="BN23" t="s">
        <v>5</v>
      </c>
      <c r="BO23">
        <v>5.34</v>
      </c>
      <c r="BP23">
        <v>6.29</v>
      </c>
      <c r="BQ23">
        <v>-3.16</v>
      </c>
      <c r="BR23">
        <v>5.43</v>
      </c>
      <c r="BS23">
        <v>6.31</v>
      </c>
      <c r="BT23" t="s">
        <v>873</v>
      </c>
      <c r="BU23" t="s">
        <v>1296</v>
      </c>
      <c r="BV23">
        <v>9.34</v>
      </c>
      <c r="BW23">
        <v>10.35</v>
      </c>
      <c r="BX23">
        <v>9.82</v>
      </c>
      <c r="BY23">
        <v>-4.28</v>
      </c>
      <c r="BZ23">
        <v>3.51</v>
      </c>
      <c r="CA23">
        <v>3.6</v>
      </c>
      <c r="CB23">
        <v>-7.38</v>
      </c>
      <c r="CC23">
        <v>-18.87</v>
      </c>
      <c r="CD23" t="s">
        <v>1763</v>
      </c>
      <c r="CE23" t="s">
        <v>190</v>
      </c>
      <c r="CF23" s="11">
        <v>-0.68510638297872339</v>
      </c>
      <c r="CG23" s="12">
        <v>0.79005518741865943</v>
      </c>
      <c r="CH23" s="11">
        <v>-0.8747178316116333</v>
      </c>
      <c r="CI23" s="11">
        <v>-7.3706187307834625E-2</v>
      </c>
      <c r="CJ23" s="11">
        <v>0.28303143382072449</v>
      </c>
      <c r="CK23" s="11">
        <v>0.24874377250671387</v>
      </c>
      <c r="CL23" s="11">
        <v>0.23474663496017456</v>
      </c>
      <c r="CM23" s="12">
        <v>-1.0680223703384399</v>
      </c>
      <c r="CN23" s="12">
        <v>-9.7551889717578888E-2</v>
      </c>
      <c r="CO23" s="12">
        <v>-2.5501031428575516E-2</v>
      </c>
      <c r="CP23" s="12">
        <v>-1.6699526458978653E-2</v>
      </c>
      <c r="CQ23" s="12">
        <v>0.11404471099376678</v>
      </c>
      <c r="CR23">
        <v>67.368630469479612</v>
      </c>
      <c r="CS23">
        <v>18.517818573295049</v>
      </c>
      <c r="CT23">
        <v>0</v>
      </c>
      <c r="CU23" s="11">
        <v>-3.6380435526371005E-2</v>
      </c>
      <c r="CV23" s="12">
        <v>-0.21874602138996124</v>
      </c>
      <c r="CW23">
        <v>0.06</v>
      </c>
      <c r="CX23" t="e">
        <v>#VALUE!</v>
      </c>
      <c r="CY23" t="s">
        <v>740</v>
      </c>
      <c r="CZ23">
        <v>-3.6380435526371005E-2</v>
      </c>
      <c r="DA23" t="e">
        <v>#VALUE!</v>
      </c>
      <c r="DB23" t="s">
        <v>741</v>
      </c>
      <c r="DC23">
        <v>-3.456141375005245E-2</v>
      </c>
      <c r="DD23" t="e">
        <v>#VALUE!</v>
      </c>
      <c r="DE23" t="s">
        <v>741</v>
      </c>
      <c r="DF23">
        <v>-3.2014783263206482E-2</v>
      </c>
      <c r="DG23" t="e">
        <v>#VALUE!</v>
      </c>
      <c r="DH23" t="s">
        <v>741</v>
      </c>
      <c r="DI23">
        <v>-2.9104348421096805E-2</v>
      </c>
      <c r="DJ23" t="e">
        <v>#VALUE!</v>
      </c>
      <c r="DK23" t="s">
        <v>741</v>
      </c>
      <c r="DL23">
        <v>-2.5466304868459702E-2</v>
      </c>
      <c r="DM23">
        <v>-4226500</v>
      </c>
      <c r="DN23">
        <v>-3.6380435526371005E-2</v>
      </c>
      <c r="DO23">
        <v>2857480000</v>
      </c>
      <c r="DP23">
        <v>850143880</v>
      </c>
      <c r="DQ23">
        <v>1537</v>
      </c>
      <c r="DR23">
        <v>-0.64872594745235235</v>
      </c>
      <c r="DS23">
        <v>1.0088012088086207</v>
      </c>
      <c r="DT23" s="13">
        <v>-0.42333333333333339</v>
      </c>
      <c r="DU23">
        <v>-1.4283333333333335</v>
      </c>
      <c r="DV23">
        <v>-1.8516666666666668</v>
      </c>
      <c r="DW23">
        <v>-9.3910969793322732</v>
      </c>
      <c r="DX23">
        <v>0.43007853658536715</v>
      </c>
      <c r="DY23">
        <v>-9.0547842925278221</v>
      </c>
      <c r="DZ23">
        <v>4329</v>
      </c>
      <c r="EA23">
        <v>-9.008373098329594</v>
      </c>
      <c r="EB23">
        <v>9</v>
      </c>
      <c r="EC23">
        <v>0.14329391217564871</v>
      </c>
      <c r="ED23">
        <v>1.0229540918163671</v>
      </c>
      <c r="EE23" s="14">
        <v>3.0156999999999998</v>
      </c>
      <c r="EF23">
        <v>3.0056099999999999</v>
      </c>
      <c r="EG23">
        <v>29.140078536585367</v>
      </c>
      <c r="EH23" t="s">
        <v>742</v>
      </c>
      <c r="EI23">
        <v>0</v>
      </c>
      <c r="EJ23">
        <v>0</v>
      </c>
      <c r="EK23" s="10">
        <v>45470</v>
      </c>
      <c r="EL23" s="15">
        <v>0.48</v>
      </c>
      <c r="EM23" s="15">
        <v>-5.81</v>
      </c>
      <c r="EN23" s="15">
        <v>-7.23</v>
      </c>
      <c r="EO23" s="15">
        <v>2.5299999999999998</v>
      </c>
      <c r="EP23" s="15">
        <v>-2.13</v>
      </c>
    </row>
    <row r="24" spans="1:146" ht="108" x14ac:dyDescent="0.25">
      <c r="A24" s="7"/>
      <c r="B24" s="7"/>
      <c r="C24" s="7" t="str">
        <f>""&amp;CHAR(10)&amp;Basic_Fundamental_Information_Constructure(F24)&amp;CHAR(10)&amp;Basic_Fundamental_Information_Concatenate("")</f>
        <v xml:space="preserve">
市值88.237506亿, 利润2.21亿; PE10.47; 平均PE50.75; 平均PEG33.32, PB1.94; ROIC8.0267%; ROE9.0333%; 股利率4.2486%; 毛利28.6167%; 净利8.8267%; 上一年度营收增-81.86%, 利润增394.2%; 当季营收增-60.05%, 利润增-33.7%; 过往5年营收增-1.52%, 利润增76.43%
Income profile:
</v>
      </c>
      <c r="D24" t="s">
        <v>409</v>
      </c>
      <c r="E24" t="s">
        <v>410</v>
      </c>
      <c r="F24">
        <v>15.77</v>
      </c>
      <c r="G24">
        <v>0.06</v>
      </c>
      <c r="H24" t="s">
        <v>1764</v>
      </c>
      <c r="I24">
        <v>8823750600</v>
      </c>
      <c r="J24">
        <v>10.47</v>
      </c>
      <c r="K24">
        <v>1.94</v>
      </c>
      <c r="L24" t="s">
        <v>303</v>
      </c>
      <c r="M24" t="s">
        <v>85</v>
      </c>
      <c r="N24" t="s">
        <v>1765</v>
      </c>
      <c r="O24" t="s">
        <v>1766</v>
      </c>
      <c r="P24">
        <v>-22.74</v>
      </c>
      <c r="Q24" t="s">
        <v>1766</v>
      </c>
      <c r="R24">
        <v>220770700</v>
      </c>
      <c r="S24" s="5">
        <v>0.66400000000000003</v>
      </c>
      <c r="T24" t="s">
        <v>1060</v>
      </c>
      <c r="U24">
        <v>426753310</v>
      </c>
      <c r="V24">
        <v>559527620</v>
      </c>
      <c r="W24">
        <v>1.24</v>
      </c>
      <c r="X24">
        <v>0.14000000000000001</v>
      </c>
      <c r="Y24">
        <v>28.11</v>
      </c>
      <c r="Z24" t="s">
        <v>1101</v>
      </c>
      <c r="AA24" t="s">
        <v>791</v>
      </c>
      <c r="AB24" t="s">
        <v>1767</v>
      </c>
      <c r="AC24" t="s">
        <v>1768</v>
      </c>
      <c r="AD24" t="s">
        <v>5</v>
      </c>
      <c r="AE24">
        <v>-9756948</v>
      </c>
      <c r="AF24" t="s">
        <v>1769</v>
      </c>
      <c r="AG24" t="s">
        <v>1770</v>
      </c>
      <c r="AH24" t="s">
        <v>1771</v>
      </c>
      <c r="AI24" t="s">
        <v>1772</v>
      </c>
      <c r="AJ24" t="s">
        <v>1773</v>
      </c>
      <c r="AK24" t="s">
        <v>5</v>
      </c>
      <c r="AL24" t="s">
        <v>1774</v>
      </c>
      <c r="AM24" t="s">
        <v>5</v>
      </c>
      <c r="AN24">
        <v>0</v>
      </c>
      <c r="AO24" t="s">
        <v>5</v>
      </c>
      <c r="AP24" t="s">
        <v>26</v>
      </c>
      <c r="AQ24" t="s">
        <v>1775</v>
      </c>
      <c r="AR24" t="s">
        <v>5</v>
      </c>
      <c r="AS24" t="s">
        <v>1776</v>
      </c>
      <c r="AT24" t="s">
        <v>5</v>
      </c>
      <c r="AU24" t="s">
        <v>1777</v>
      </c>
      <c r="AV24" t="s">
        <v>1778</v>
      </c>
      <c r="AW24" t="s">
        <v>1779</v>
      </c>
      <c r="AX24" t="s">
        <v>938</v>
      </c>
      <c r="AY24" t="s">
        <v>641</v>
      </c>
      <c r="AZ24" t="s">
        <v>411</v>
      </c>
      <c r="BA24" t="s">
        <v>413</v>
      </c>
      <c r="BB24" t="s">
        <v>414</v>
      </c>
      <c r="BC24" t="s">
        <v>1780</v>
      </c>
      <c r="BD24" t="s">
        <v>642</v>
      </c>
      <c r="BE24" t="s">
        <v>412</v>
      </c>
      <c r="BF24" t="s">
        <v>71</v>
      </c>
      <c r="BG24" t="s">
        <v>50</v>
      </c>
      <c r="BH24" t="s">
        <v>1781</v>
      </c>
      <c r="BI24" t="s">
        <v>1108</v>
      </c>
      <c r="BJ24" t="s">
        <v>938</v>
      </c>
      <c r="BK24" t="s">
        <v>1782</v>
      </c>
      <c r="BL24" t="s">
        <v>164</v>
      </c>
      <c r="BM24" t="s">
        <v>1780</v>
      </c>
      <c r="BN24">
        <v>15.39</v>
      </c>
      <c r="BO24">
        <v>1.46</v>
      </c>
      <c r="BP24">
        <v>7.23</v>
      </c>
      <c r="BQ24">
        <v>17.3</v>
      </c>
      <c r="BR24">
        <v>1.69</v>
      </c>
      <c r="BS24">
        <v>8.11</v>
      </c>
      <c r="BT24" t="s">
        <v>1783</v>
      </c>
      <c r="BU24" t="s">
        <v>1296</v>
      </c>
      <c r="BV24">
        <v>38.799999999999997</v>
      </c>
      <c r="BW24">
        <v>25.27</v>
      </c>
      <c r="BX24">
        <v>21.78</v>
      </c>
      <c r="BY24">
        <v>19.84</v>
      </c>
      <c r="BZ24">
        <v>1.03</v>
      </c>
      <c r="CA24">
        <v>5.61</v>
      </c>
      <c r="CB24">
        <v>-5.23</v>
      </c>
      <c r="CC24">
        <v>-17.78</v>
      </c>
      <c r="CD24" t="s">
        <v>1784</v>
      </c>
      <c r="CE24" t="s">
        <v>189</v>
      </c>
      <c r="CF24" s="11">
        <v>-0.60051020408163269</v>
      </c>
      <c r="CG24" s="12">
        <v>-0.33702492492492492</v>
      </c>
      <c r="CH24" s="11">
        <v>-0.81862401962280273</v>
      </c>
      <c r="CI24" s="11">
        <v>0.19518277049064636</v>
      </c>
      <c r="CJ24" s="11">
        <v>0.37234041094779968</v>
      </c>
      <c r="CK24" s="11">
        <v>-0.13077938556671143</v>
      </c>
      <c r="CL24" s="11">
        <v>0.30573520064353943</v>
      </c>
      <c r="CM24" s="12">
        <v>3.9420483112335205</v>
      </c>
      <c r="CN24" s="12">
        <v>-0.77752089500427246</v>
      </c>
      <c r="CO24" s="12">
        <v>1.3235945701599121</v>
      </c>
      <c r="CP24" s="12">
        <v>-0.64254587888717651</v>
      </c>
      <c r="CQ24" s="12">
        <v>-2.4193547666072845E-2</v>
      </c>
      <c r="CR24">
        <v>50.749019336436668</v>
      </c>
      <c r="CS24">
        <v>33.323924050013822</v>
      </c>
      <c r="CT24">
        <v>4.2485732403297405</v>
      </c>
      <c r="CU24" s="11">
        <v>-1.5229004621505737E-2</v>
      </c>
      <c r="CV24" s="12">
        <v>0.76427651196718216</v>
      </c>
      <c r="CW24">
        <v>0.06</v>
      </c>
      <c r="CX24">
        <v>24.682129411764706</v>
      </c>
      <c r="CY24" t="s">
        <v>1785</v>
      </c>
      <c r="CZ24">
        <v>-1.5229004621505737E-2</v>
      </c>
      <c r="DA24">
        <v>8.2273764705882346</v>
      </c>
      <c r="DB24" t="s">
        <v>1786</v>
      </c>
      <c r="DC24">
        <v>-1.4467554390430449E-2</v>
      </c>
      <c r="DD24">
        <v>4.1136882352941173</v>
      </c>
      <c r="DE24" t="s">
        <v>1787</v>
      </c>
      <c r="DF24">
        <v>-1.3401524066925049E-2</v>
      </c>
      <c r="DG24">
        <v>2.4682129411764704</v>
      </c>
      <c r="DH24" t="s">
        <v>1788</v>
      </c>
      <c r="DI24">
        <v>-1.2183203697204589E-2</v>
      </c>
      <c r="DJ24">
        <v>1.2341064705882352</v>
      </c>
      <c r="DK24" t="s">
        <v>1789</v>
      </c>
      <c r="DL24">
        <v>-1.0660303235054016E-2</v>
      </c>
      <c r="DM24">
        <v>221000000</v>
      </c>
      <c r="DN24">
        <v>-1.5229004621505737E-2</v>
      </c>
      <c r="DO24">
        <v>5454750600</v>
      </c>
      <c r="DP24">
        <v>3492381400</v>
      </c>
      <c r="DQ24">
        <v>1620</v>
      </c>
      <c r="DR24">
        <v>-0.58528119946012691</v>
      </c>
      <c r="DS24">
        <v>-1.101301436892107</v>
      </c>
      <c r="DT24" s="13">
        <v>-0.39000000000000007</v>
      </c>
      <c r="DU24">
        <v>-0.18666666666666665</v>
      </c>
      <c r="DV24">
        <v>-0.57666666666666666</v>
      </c>
      <c r="DW24">
        <v>-8.2941507311586058</v>
      </c>
      <c r="DX24">
        <v>0.36386613418530278</v>
      </c>
      <c r="DY24">
        <v>-8.0570258651174989</v>
      </c>
      <c r="DZ24">
        <v>838</v>
      </c>
      <c r="EA24">
        <v>-8.047674069624648</v>
      </c>
      <c r="EB24">
        <v>8</v>
      </c>
      <c r="EC24">
        <v>0.108448801866117</v>
      </c>
      <c r="ED24">
        <v>0.55940044568309244</v>
      </c>
      <c r="EE24" s="14">
        <v>1.0294099999999999</v>
      </c>
      <c r="EF24">
        <v>1.0656099999999999</v>
      </c>
      <c r="EG24">
        <v>17.193866134185303</v>
      </c>
      <c r="EH24" t="s">
        <v>714</v>
      </c>
      <c r="EI24">
        <v>0</v>
      </c>
      <c r="EJ24">
        <v>1</v>
      </c>
      <c r="EK24" s="10">
        <v>45470</v>
      </c>
      <c r="EL24" s="15">
        <v>-1.68</v>
      </c>
      <c r="EM24" s="15">
        <v>-3.93</v>
      </c>
      <c r="EN24" s="15">
        <v>-1.48</v>
      </c>
      <c r="EO24" s="15">
        <v>4.63</v>
      </c>
      <c r="EP24" s="15">
        <v>-3.62</v>
      </c>
    </row>
    <row r="25" spans="1:146" ht="108" x14ac:dyDescent="0.25">
      <c r="A25" s="7"/>
      <c r="B25" s="7"/>
      <c r="C25" s="7" t="str">
        <f>""&amp;CHAR(10)&amp;Basic_Fundamental_Information_Constructure(F25)&amp;CHAR(10)&amp;Basic_Fundamental_Information_Concatenate("")</f>
        <v xml:space="preserve">
市值19.474603亿, 利润-174.34万; PE; 平均PE63.71; 平均PEG2.14, PB1.49; ROIC.645%; ROE-.17%; 股利率0%; 毛利36.47%; 净利-6.7233%; 上一年度营收增-89.52%, 利润增96.26%; 当季营收增-74.41%, 利润增-120.43%; 过往5年营收增-29.8%, 利润增-7.28%
Income profile:
</v>
      </c>
      <c r="D25" t="s">
        <v>416</v>
      </c>
      <c r="E25" t="s">
        <v>417</v>
      </c>
      <c r="F25">
        <v>3.47</v>
      </c>
      <c r="G25">
        <v>1.17</v>
      </c>
      <c r="H25" t="s">
        <v>1790</v>
      </c>
      <c r="I25">
        <v>1947460300</v>
      </c>
      <c r="K25">
        <v>1.49</v>
      </c>
      <c r="L25" t="s">
        <v>303</v>
      </c>
      <c r="M25" t="s">
        <v>149</v>
      </c>
      <c r="N25" t="s">
        <v>1791</v>
      </c>
      <c r="O25" t="s">
        <v>1792</v>
      </c>
      <c r="P25">
        <v>-30.03</v>
      </c>
      <c r="Q25" t="s">
        <v>1792</v>
      </c>
      <c r="R25">
        <v>-1743369</v>
      </c>
      <c r="S25" s="5">
        <v>-1.8580000000000001</v>
      </c>
      <c r="T25" t="s">
        <v>1793</v>
      </c>
      <c r="U25">
        <v>330399700</v>
      </c>
      <c r="V25">
        <v>561227740</v>
      </c>
      <c r="W25">
        <v>1.1200000000000001</v>
      </c>
      <c r="X25">
        <v>0.03</v>
      </c>
      <c r="Y25">
        <v>-5.42</v>
      </c>
      <c r="Z25" t="s">
        <v>1794</v>
      </c>
      <c r="AA25" t="s">
        <v>1795</v>
      </c>
      <c r="AB25" t="s">
        <v>1796</v>
      </c>
      <c r="AC25" t="s">
        <v>1797</v>
      </c>
      <c r="AD25" t="s">
        <v>5</v>
      </c>
      <c r="AE25">
        <v>-2080966</v>
      </c>
      <c r="AF25" t="s">
        <v>1798</v>
      </c>
      <c r="AG25" t="s">
        <v>1799</v>
      </c>
      <c r="AH25" t="s">
        <v>1800</v>
      </c>
      <c r="AI25" t="s">
        <v>1072</v>
      </c>
      <c r="AJ25" t="s">
        <v>1801</v>
      </c>
      <c r="AK25" t="s">
        <v>1802</v>
      </c>
      <c r="AL25" t="s">
        <v>1803</v>
      </c>
      <c r="AM25" t="s">
        <v>5</v>
      </c>
      <c r="AN25">
        <v>0</v>
      </c>
      <c r="AO25" t="s">
        <v>5</v>
      </c>
      <c r="AP25" t="s">
        <v>5</v>
      </c>
      <c r="AQ25" t="s">
        <v>1804</v>
      </c>
      <c r="AR25" t="s">
        <v>5</v>
      </c>
      <c r="AS25" t="s">
        <v>1172</v>
      </c>
      <c r="AT25" t="s">
        <v>5</v>
      </c>
      <c r="AU25" t="s">
        <v>1805</v>
      </c>
      <c r="AV25" t="s">
        <v>1806</v>
      </c>
      <c r="AW25" t="s">
        <v>1807</v>
      </c>
      <c r="AX25" t="s">
        <v>791</v>
      </c>
      <c r="AY25" t="s">
        <v>643</v>
      </c>
      <c r="AZ25" t="s">
        <v>296</v>
      </c>
      <c r="BA25" t="s">
        <v>351</v>
      </c>
      <c r="BB25" t="s">
        <v>141</v>
      </c>
      <c r="BC25" t="s">
        <v>1808</v>
      </c>
      <c r="BD25" t="s">
        <v>644</v>
      </c>
      <c r="BE25" t="s">
        <v>135</v>
      </c>
      <c r="BF25" t="s">
        <v>418</v>
      </c>
      <c r="BG25" t="s">
        <v>419</v>
      </c>
      <c r="BH25" t="s">
        <v>1167</v>
      </c>
      <c r="BI25" t="s">
        <v>91</v>
      </c>
      <c r="BJ25" t="s">
        <v>791</v>
      </c>
      <c r="BK25" t="s">
        <v>1809</v>
      </c>
      <c r="BL25" t="s">
        <v>1113</v>
      </c>
      <c r="BM25" t="s">
        <v>1808</v>
      </c>
      <c r="BN25">
        <v>-0.09</v>
      </c>
      <c r="BO25" t="s">
        <v>5</v>
      </c>
      <c r="BP25">
        <v>1.38</v>
      </c>
      <c r="BQ25">
        <v>0.81</v>
      </c>
      <c r="BR25">
        <v>-3.39</v>
      </c>
      <c r="BS25">
        <v>2.0699999999999998</v>
      </c>
      <c r="BT25" t="s">
        <v>873</v>
      </c>
      <c r="BU25" t="s">
        <v>1547</v>
      </c>
      <c r="BV25">
        <v>40.409999999999997</v>
      </c>
      <c r="BW25">
        <v>36.979999999999997</v>
      </c>
      <c r="BX25">
        <v>32.020000000000003</v>
      </c>
      <c r="BY25">
        <v>-12.29</v>
      </c>
      <c r="BZ25">
        <v>-11.59</v>
      </c>
      <c r="CA25">
        <v>3.71</v>
      </c>
      <c r="CB25">
        <v>-0.56999999999999995</v>
      </c>
      <c r="CC25">
        <v>-43.21</v>
      </c>
      <c r="CD25" t="s">
        <v>44</v>
      </c>
      <c r="CE25" t="s">
        <v>305</v>
      </c>
      <c r="CF25" s="11">
        <v>-0.74405474860335197</v>
      </c>
      <c r="CG25" s="12">
        <v>-1.2042994585979796</v>
      </c>
      <c r="CH25" s="11">
        <v>-0.89516198635101318</v>
      </c>
      <c r="CI25" s="11">
        <v>-0.42424243688583374</v>
      </c>
      <c r="CJ25" s="11">
        <v>-0.18996798992156982</v>
      </c>
      <c r="CK25" s="11">
        <v>1.4069263823330402E-2</v>
      </c>
      <c r="CL25" s="11">
        <v>5.4406966082751751E-3</v>
      </c>
      <c r="CM25" s="12">
        <v>0.96260714530944824</v>
      </c>
      <c r="CN25" s="12">
        <v>-2.6856379508972168</v>
      </c>
      <c r="CO25" s="12">
        <v>-0.7365761399269104</v>
      </c>
      <c r="CP25" s="12">
        <v>0.46166884899139404</v>
      </c>
      <c r="CQ25" s="12">
        <v>1.6337270736694336</v>
      </c>
      <c r="CR25">
        <v>63.710784762752233</v>
      </c>
      <c r="CS25">
        <v>2.1381431771149737</v>
      </c>
      <c r="CT25">
        <v>0</v>
      </c>
      <c r="CU25" s="11">
        <v>-0.29797249054536223</v>
      </c>
      <c r="CV25" s="12">
        <v>-7.2842204570770258E-2</v>
      </c>
      <c r="CW25">
        <v>0.06</v>
      </c>
      <c r="CX25" t="e">
        <v>#VALUE!</v>
      </c>
      <c r="CY25" t="s">
        <v>740</v>
      </c>
      <c r="CZ25">
        <v>-0.29797249054536223</v>
      </c>
      <c r="DA25" t="e">
        <v>#VALUE!</v>
      </c>
      <c r="DB25" t="s">
        <v>741</v>
      </c>
      <c r="DC25">
        <v>-0.28307386601809409</v>
      </c>
      <c r="DD25" t="e">
        <v>#VALUE!</v>
      </c>
      <c r="DE25" t="s">
        <v>741</v>
      </c>
      <c r="DF25">
        <v>-0.26221579167991876</v>
      </c>
      <c r="DG25" t="e">
        <v>#VALUE!</v>
      </c>
      <c r="DH25" t="s">
        <v>741</v>
      </c>
      <c r="DI25">
        <v>-0.23837799243628979</v>
      </c>
      <c r="DJ25" t="e">
        <v>#VALUE!</v>
      </c>
      <c r="DK25" t="s">
        <v>741</v>
      </c>
      <c r="DL25">
        <v>-0.20858074338175356</v>
      </c>
      <c r="DM25">
        <v>-1743400</v>
      </c>
      <c r="DN25">
        <v>-0.29797249054536223</v>
      </c>
      <c r="DO25">
        <v>807460300</v>
      </c>
      <c r="DP25">
        <v>720100850</v>
      </c>
      <c r="DQ25">
        <v>1645</v>
      </c>
      <c r="DR25">
        <v>-0.44608225805798973</v>
      </c>
      <c r="DS25">
        <v>-1.1314572540272094</v>
      </c>
      <c r="DT25" s="13">
        <v>-1.0566666666666666</v>
      </c>
      <c r="DU25">
        <v>-1.6483333333333334</v>
      </c>
      <c r="DV25">
        <v>-2.7050000000000001</v>
      </c>
      <c r="DW25">
        <v>-3.3077321428571427</v>
      </c>
      <c r="DX25">
        <v>0.23823275862069038</v>
      </c>
      <c r="DY25">
        <v>-3.0394613415948277</v>
      </c>
      <c r="DZ25">
        <v>4794</v>
      </c>
      <c r="EA25">
        <v>-3.0024402708305216</v>
      </c>
      <c r="EB25">
        <v>3</v>
      </c>
      <c r="EC25">
        <v>0.21203513568306512</v>
      </c>
      <c r="ED25">
        <v>1.6535176967553313</v>
      </c>
      <c r="EE25" s="14">
        <v>-1.0156000000000001</v>
      </c>
      <c r="EF25">
        <v>-1.0270999999999999</v>
      </c>
      <c r="EG25">
        <v>11.12823275862069</v>
      </c>
      <c r="EH25" t="s">
        <v>910</v>
      </c>
      <c r="EI25">
        <v>0</v>
      </c>
      <c r="EJ25">
        <v>0</v>
      </c>
      <c r="EK25" s="10">
        <v>45470</v>
      </c>
      <c r="EL25" s="15">
        <v>-4.3099999999999996</v>
      </c>
      <c r="EM25" s="15">
        <v>-7.32</v>
      </c>
      <c r="EN25" s="15">
        <v>2.74</v>
      </c>
      <c r="EO25" s="15">
        <v>3.25</v>
      </c>
      <c r="EP25" s="15">
        <v>1.1499999999999999</v>
      </c>
    </row>
    <row r="26" spans="1:146" ht="108" x14ac:dyDescent="0.25">
      <c r="A26" s="7"/>
      <c r="B26" s="7"/>
      <c r="C26" s="7" t="str">
        <f>""&amp;CHAR(10)&amp;Basic_Fundamental_Information_Constructure(F26)&amp;CHAR(10)&amp;Basic_Fundamental_Information_Concatenate("")</f>
        <v xml:space="preserve">
市值28.23528亿, 利润522.31万; PE; 平均PE-139.47; 平均PEG-6.78, PB6.83; ROIC1.97%; ROE-4.6033%; 股利率0%; 毛利16.4633%; 净利-11.85%; 上一年度营收增-71.33%, 利润增116.1%; 当季营收增-23.87%, 利润增110.98%; 过往5年营收增-20.57%, 利润增-1045.67%
Income profile:
</v>
      </c>
      <c r="D26" t="s">
        <v>420</v>
      </c>
      <c r="E26" t="s">
        <v>421</v>
      </c>
      <c r="F26">
        <v>6.41</v>
      </c>
      <c r="G26">
        <v>3.22</v>
      </c>
      <c r="H26" t="s">
        <v>1810</v>
      </c>
      <c r="I26">
        <v>2823528000</v>
      </c>
      <c r="K26">
        <v>6.83</v>
      </c>
      <c r="L26" t="s">
        <v>303</v>
      </c>
      <c r="M26" t="s">
        <v>1811</v>
      </c>
      <c r="N26" t="s">
        <v>144</v>
      </c>
      <c r="O26" t="s">
        <v>799</v>
      </c>
      <c r="P26">
        <v>162.09</v>
      </c>
      <c r="Q26" t="s">
        <v>799</v>
      </c>
      <c r="R26">
        <v>5223149</v>
      </c>
      <c r="S26" s="5">
        <v>1.234</v>
      </c>
      <c r="T26" t="s">
        <v>1812</v>
      </c>
      <c r="U26">
        <v>368421930</v>
      </c>
      <c r="V26">
        <v>440487990</v>
      </c>
      <c r="W26">
        <v>3.73</v>
      </c>
      <c r="X26">
        <v>0.16</v>
      </c>
      <c r="Y26">
        <v>2.0699999999999998</v>
      </c>
      <c r="Z26" t="s">
        <v>89</v>
      </c>
      <c r="AA26" t="s">
        <v>642</v>
      </c>
      <c r="AB26" t="s">
        <v>1813</v>
      </c>
      <c r="AC26" t="s">
        <v>1814</v>
      </c>
      <c r="AD26" t="s">
        <v>5</v>
      </c>
      <c r="AE26">
        <v>4136717</v>
      </c>
      <c r="AF26" t="s">
        <v>1815</v>
      </c>
      <c r="AG26" t="s">
        <v>1816</v>
      </c>
      <c r="AH26" t="s">
        <v>1817</v>
      </c>
      <c r="AI26" t="s">
        <v>1818</v>
      </c>
      <c r="AJ26" t="s">
        <v>1819</v>
      </c>
      <c r="AK26" t="s">
        <v>1820</v>
      </c>
      <c r="AL26" t="s">
        <v>1821</v>
      </c>
      <c r="AM26" t="s">
        <v>5</v>
      </c>
      <c r="AN26">
        <v>0</v>
      </c>
      <c r="AO26" t="s">
        <v>40</v>
      </c>
      <c r="AP26" t="s">
        <v>1822</v>
      </c>
      <c r="AQ26" t="s">
        <v>1161</v>
      </c>
      <c r="AR26" t="s">
        <v>5</v>
      </c>
      <c r="AS26" t="s">
        <v>1823</v>
      </c>
      <c r="AT26" t="s">
        <v>98</v>
      </c>
      <c r="AU26" t="s">
        <v>1824</v>
      </c>
      <c r="AV26" t="s">
        <v>1825</v>
      </c>
      <c r="AW26" t="s">
        <v>1826</v>
      </c>
      <c r="AX26" t="s">
        <v>779</v>
      </c>
      <c r="AY26" t="s">
        <v>232</v>
      </c>
      <c r="AZ26" t="s">
        <v>62</v>
      </c>
      <c r="BA26" t="s">
        <v>148</v>
      </c>
      <c r="BB26" t="s">
        <v>243</v>
      </c>
      <c r="BC26" t="s">
        <v>1827</v>
      </c>
      <c r="BD26" t="s">
        <v>645</v>
      </c>
      <c r="BE26" t="s">
        <v>258</v>
      </c>
      <c r="BF26" t="s">
        <v>422</v>
      </c>
      <c r="BG26" t="s">
        <v>423</v>
      </c>
      <c r="BH26" t="s">
        <v>1828</v>
      </c>
      <c r="BI26" t="s">
        <v>933</v>
      </c>
      <c r="BJ26" t="s">
        <v>779</v>
      </c>
      <c r="BK26" t="s">
        <v>1829</v>
      </c>
      <c r="BL26" t="s">
        <v>1116</v>
      </c>
      <c r="BM26" t="s">
        <v>1827</v>
      </c>
      <c r="BN26" t="s">
        <v>5</v>
      </c>
      <c r="BO26" t="s">
        <v>5</v>
      </c>
      <c r="BP26">
        <v>1.97</v>
      </c>
      <c r="BQ26">
        <v>-13.5</v>
      </c>
      <c r="BR26">
        <v>-5.07</v>
      </c>
      <c r="BS26">
        <v>4.76</v>
      </c>
      <c r="BT26" t="s">
        <v>873</v>
      </c>
      <c r="BU26" t="s">
        <v>1296</v>
      </c>
      <c r="BV26">
        <v>14.5</v>
      </c>
      <c r="BW26">
        <v>17.36</v>
      </c>
      <c r="BX26">
        <v>17.53</v>
      </c>
      <c r="BY26">
        <v>-30.36</v>
      </c>
      <c r="BZ26">
        <v>-6</v>
      </c>
      <c r="CA26">
        <v>0.81</v>
      </c>
      <c r="CB26">
        <v>-1.08</v>
      </c>
      <c r="CC26">
        <v>-7.77</v>
      </c>
      <c r="CD26" t="s">
        <v>1830</v>
      </c>
      <c r="CE26" t="s">
        <v>1268</v>
      </c>
      <c r="CF26" s="11">
        <v>-0.23867069486404835</v>
      </c>
      <c r="CG26" s="12">
        <v>1.1097685322371504</v>
      </c>
      <c r="CH26" s="11">
        <v>-0.7133105993270874</v>
      </c>
      <c r="CI26" s="11">
        <v>-0.39337471127510071</v>
      </c>
      <c r="CJ26" s="11">
        <v>7.6522983610630035E-2</v>
      </c>
      <c r="CK26" s="11">
        <v>0.1416454017162323</v>
      </c>
      <c r="CL26" s="11">
        <v>-0.14004375040531158</v>
      </c>
      <c r="CM26" s="12">
        <v>1.1609508991241455</v>
      </c>
      <c r="CN26" s="12">
        <v>-2.0745494365692139</v>
      </c>
      <c r="CO26" s="12">
        <v>1.181928277015686</v>
      </c>
      <c r="CP26" s="12">
        <v>-51.637546539306641</v>
      </c>
      <c r="CQ26" s="12">
        <v>-0.914359450340271</v>
      </c>
      <c r="CR26">
        <v>-139.46619577431744</v>
      </c>
      <c r="CS26">
        <v>-6.7796776151308427</v>
      </c>
      <c r="CT26">
        <v>0</v>
      </c>
      <c r="CU26" s="11">
        <v>-0.20571213513612746</v>
      </c>
      <c r="CV26" s="12">
        <v>-10.456715250015259</v>
      </c>
      <c r="CW26">
        <v>0.06</v>
      </c>
      <c r="CX26">
        <v>690.87859700178058</v>
      </c>
      <c r="CY26" t="s">
        <v>1831</v>
      </c>
      <c r="CZ26">
        <v>-0.20571213513612746</v>
      </c>
      <c r="DA26">
        <v>230.29286566726017</v>
      </c>
      <c r="DB26" t="s">
        <v>1832</v>
      </c>
      <c r="DC26">
        <v>-0.19542652837932109</v>
      </c>
      <c r="DD26">
        <v>115.14643283363009</v>
      </c>
      <c r="DE26" t="s">
        <v>1833</v>
      </c>
      <c r="DF26">
        <v>-0.18102667891979216</v>
      </c>
      <c r="DG26">
        <v>69.087859700178058</v>
      </c>
      <c r="DH26" t="s">
        <v>1834</v>
      </c>
      <c r="DI26">
        <v>-0.16456970810890198</v>
      </c>
      <c r="DJ26">
        <v>34.543929850089029</v>
      </c>
      <c r="DK26" t="s">
        <v>1835</v>
      </c>
      <c r="DL26">
        <v>-0.14399849459528921</v>
      </c>
      <c r="DM26">
        <v>5223099.9999999991</v>
      </c>
      <c r="DN26">
        <v>-0.20571213513612746</v>
      </c>
      <c r="DO26">
        <v>3608528000</v>
      </c>
      <c r="DP26">
        <v>31233290</v>
      </c>
      <c r="DQ26">
        <v>1734</v>
      </c>
      <c r="DR26">
        <v>-3.2958559727920889E-2</v>
      </c>
      <c r="DS26">
        <v>11.56648378225241</v>
      </c>
      <c r="DT26" s="13">
        <v>-0.92333333333333334</v>
      </c>
      <c r="DU26">
        <v>-0.3666666666666667</v>
      </c>
      <c r="DV26">
        <v>-1.29</v>
      </c>
      <c r="DW26">
        <v>-2.0777000000000001</v>
      </c>
      <c r="DX26">
        <v>0.44571992337164773</v>
      </c>
      <c r="DY26">
        <v>-2.009768438045977</v>
      </c>
      <c r="DZ26">
        <v>4530</v>
      </c>
      <c r="EA26">
        <v>-2.0011087463926942</v>
      </c>
      <c r="EB26">
        <v>2</v>
      </c>
      <c r="EC26">
        <v>7.4492155847427299E-2</v>
      </c>
      <c r="ED26">
        <v>0.59252466792567937</v>
      </c>
      <c r="EE26" s="14">
        <v>-5.0006000000000004</v>
      </c>
      <c r="EF26">
        <v>-5.0101100000000001</v>
      </c>
      <c r="EG26">
        <v>32.125719923371648</v>
      </c>
      <c r="EH26" t="s">
        <v>1836</v>
      </c>
      <c r="EI26">
        <v>0</v>
      </c>
      <c r="EJ26">
        <v>0</v>
      </c>
      <c r="EK26" s="10">
        <v>45470</v>
      </c>
      <c r="EL26" s="15">
        <v>0.31</v>
      </c>
      <c r="EM26" s="15">
        <v>-5.33</v>
      </c>
      <c r="EN26" s="15">
        <v>-1.29</v>
      </c>
      <c r="EO26" s="15">
        <v>6.51</v>
      </c>
      <c r="EP26" s="15">
        <v>-1.07</v>
      </c>
    </row>
    <row r="27" spans="1:146" ht="96" x14ac:dyDescent="0.25">
      <c r="A27" s="7"/>
      <c r="B27" s="7"/>
      <c r="C27" s="7" t="str">
        <f>""&amp;CHAR(10)&amp;Basic_Fundamental_Information_Constructure(F27)&amp;CHAR(10)&amp;Basic_Fundamental_Information_Concatenate("")</f>
        <v xml:space="preserve">
市值17.895836亿, 利润-288.20万; PE; 平均PE-37.68; 平均PEG-3.1, PB2.66; ROIC0%; ROE-4.4567%; 股利率0%; 毛利28.7867%; 净利-24.2733%; 上一年度营收增-92.19%, 利润增-165.48%; 当季营收增-65.59%, 利润增88.27%; 过往5年营收增-12.14%, 利润增-41.81%
Income profile:
</v>
      </c>
      <c r="D27" t="s">
        <v>424</v>
      </c>
      <c r="E27" t="s">
        <v>425</v>
      </c>
      <c r="F27">
        <v>5.91</v>
      </c>
      <c r="G27">
        <v>-1.34</v>
      </c>
      <c r="H27" t="s">
        <v>1837</v>
      </c>
      <c r="I27">
        <v>1789583600</v>
      </c>
      <c r="K27">
        <v>2.66</v>
      </c>
      <c r="L27" t="s">
        <v>303</v>
      </c>
      <c r="M27" t="s">
        <v>207</v>
      </c>
      <c r="N27" t="s">
        <v>1838</v>
      </c>
      <c r="O27" t="s">
        <v>1839</v>
      </c>
      <c r="P27">
        <v>-21.53</v>
      </c>
      <c r="Q27" t="s">
        <v>1839</v>
      </c>
      <c r="R27">
        <v>-2882044</v>
      </c>
      <c r="S27" s="5">
        <v>-1685.74</v>
      </c>
      <c r="T27" t="s">
        <v>1840</v>
      </c>
      <c r="U27">
        <v>242594550</v>
      </c>
      <c r="V27">
        <v>302806030</v>
      </c>
      <c r="W27">
        <v>1.43</v>
      </c>
      <c r="X27">
        <v>0.03</v>
      </c>
      <c r="Y27">
        <v>-14.86</v>
      </c>
      <c r="Z27" t="s">
        <v>1841</v>
      </c>
      <c r="AA27" t="s">
        <v>1842</v>
      </c>
      <c r="AB27" t="s">
        <v>1843</v>
      </c>
      <c r="AC27" t="s">
        <v>1844</v>
      </c>
      <c r="AD27" t="s">
        <v>5</v>
      </c>
      <c r="AE27">
        <v>-1484576</v>
      </c>
      <c r="AF27" t="s">
        <v>1845</v>
      </c>
      <c r="AG27" t="s">
        <v>1846</v>
      </c>
      <c r="AH27" t="s">
        <v>1847</v>
      </c>
      <c r="AI27" t="s">
        <v>87</v>
      </c>
      <c r="AJ27" t="s">
        <v>1848</v>
      </c>
      <c r="AK27" t="s">
        <v>1849</v>
      </c>
      <c r="AL27" t="s">
        <v>1850</v>
      </c>
      <c r="AM27" t="s">
        <v>5</v>
      </c>
      <c r="AN27">
        <v>0</v>
      </c>
      <c r="AO27" t="s">
        <v>1851</v>
      </c>
      <c r="AP27" t="s">
        <v>1852</v>
      </c>
      <c r="AQ27" t="s">
        <v>187</v>
      </c>
      <c r="AR27" t="s">
        <v>1853</v>
      </c>
      <c r="AS27" t="s">
        <v>210</v>
      </c>
      <c r="AT27" t="s">
        <v>5</v>
      </c>
      <c r="AU27" t="s">
        <v>1854</v>
      </c>
      <c r="AV27" t="s">
        <v>1855</v>
      </c>
      <c r="AW27" t="s">
        <v>1856</v>
      </c>
      <c r="AX27" t="s">
        <v>130</v>
      </c>
      <c r="AY27" t="s">
        <v>89</v>
      </c>
      <c r="AZ27" t="s">
        <v>70</v>
      </c>
      <c r="BA27" t="s">
        <v>43</v>
      </c>
      <c r="BB27" t="s">
        <v>235</v>
      </c>
      <c r="BC27" t="s">
        <v>1857</v>
      </c>
      <c r="BD27" t="s">
        <v>646</v>
      </c>
      <c r="BE27" t="s">
        <v>236</v>
      </c>
      <c r="BF27" t="s">
        <v>426</v>
      </c>
      <c r="BG27" t="s">
        <v>427</v>
      </c>
      <c r="BH27" t="s">
        <v>151</v>
      </c>
      <c r="BI27" t="s">
        <v>1117</v>
      </c>
      <c r="BJ27" t="s">
        <v>130</v>
      </c>
      <c r="BK27" t="s">
        <v>1858</v>
      </c>
      <c r="BL27" t="s">
        <v>1118</v>
      </c>
      <c r="BM27" t="s">
        <v>1857</v>
      </c>
      <c r="BN27" t="s">
        <v>5</v>
      </c>
      <c r="BO27" t="s">
        <v>5</v>
      </c>
      <c r="BP27" t="s">
        <v>5</v>
      </c>
      <c r="BQ27">
        <v>-7.34</v>
      </c>
      <c r="BR27">
        <v>0.65</v>
      </c>
      <c r="BS27">
        <v>-6.68</v>
      </c>
      <c r="BT27" t="s">
        <v>873</v>
      </c>
      <c r="BU27" t="s">
        <v>1547</v>
      </c>
      <c r="BV27">
        <v>23.67</v>
      </c>
      <c r="BW27">
        <v>33.83</v>
      </c>
      <c r="BX27">
        <v>28.86</v>
      </c>
      <c r="BY27">
        <v>-52.39</v>
      </c>
      <c r="BZ27">
        <v>0.8</v>
      </c>
      <c r="CA27">
        <v>-21.23</v>
      </c>
      <c r="CB27">
        <v>-8.94</v>
      </c>
      <c r="CC27">
        <v>1.72</v>
      </c>
      <c r="CD27" t="s">
        <v>1859</v>
      </c>
      <c r="CE27" t="s">
        <v>1216</v>
      </c>
      <c r="CF27" s="11">
        <v>-0.65594573169624759</v>
      </c>
      <c r="CG27" s="12">
        <v>0.88268111487875467</v>
      </c>
      <c r="CH27" s="11">
        <v>-0.92190110683441162</v>
      </c>
      <c r="CI27" s="11">
        <v>0.49794238805770874</v>
      </c>
      <c r="CJ27" s="11">
        <v>0.16267941892147064</v>
      </c>
      <c r="CK27" s="11">
        <v>-0.1144067794084549</v>
      </c>
      <c r="CL27" s="11">
        <v>-0.23127035796642303</v>
      </c>
      <c r="CM27" s="12">
        <v>-1.6547619104385376</v>
      </c>
      <c r="CN27" s="12">
        <v>1.0859063863754272</v>
      </c>
      <c r="CO27" s="12">
        <v>0.55830001831054688</v>
      </c>
      <c r="CP27" s="12">
        <v>-0.32609620690345764</v>
      </c>
      <c r="CQ27" s="12">
        <v>-1.7540014982223511</v>
      </c>
      <c r="CR27">
        <v>-37.681367457059913</v>
      </c>
      <c r="CS27">
        <v>-3.1041245422012143</v>
      </c>
      <c r="CT27">
        <v>0</v>
      </c>
      <c r="CU27" s="11">
        <v>-0.12139128744602204</v>
      </c>
      <c r="CV27" s="12">
        <v>-0.41813064217567442</v>
      </c>
      <c r="CW27">
        <v>0.06</v>
      </c>
      <c r="CX27" t="e">
        <v>#VALUE!</v>
      </c>
      <c r="CY27" t="s">
        <v>740</v>
      </c>
      <c r="CZ27">
        <v>-0.12139128744602204</v>
      </c>
      <c r="DA27" t="e">
        <v>#VALUE!</v>
      </c>
      <c r="DB27" t="s">
        <v>741</v>
      </c>
      <c r="DC27">
        <v>-0.11532172307372093</v>
      </c>
      <c r="DD27" t="e">
        <v>#VALUE!</v>
      </c>
      <c r="DE27" t="s">
        <v>741</v>
      </c>
      <c r="DF27">
        <v>-0.10682433295249939</v>
      </c>
      <c r="DG27" t="e">
        <v>#VALUE!</v>
      </c>
      <c r="DH27" t="s">
        <v>741</v>
      </c>
      <c r="DI27">
        <v>-9.7113029956817642E-2</v>
      </c>
      <c r="DJ27" t="e">
        <v>#VALUE!</v>
      </c>
      <c r="DK27" t="s">
        <v>741</v>
      </c>
      <c r="DL27">
        <v>-8.4973901212215416E-2</v>
      </c>
      <c r="DM27">
        <v>-2882000</v>
      </c>
      <c r="DN27">
        <v>-0.12139128744602204</v>
      </c>
      <c r="DO27">
        <v>1429583600</v>
      </c>
      <c r="DP27">
        <v>341127070</v>
      </c>
      <c r="DQ27">
        <v>1755</v>
      </c>
      <c r="DR27">
        <v>-0.53455444425022558</v>
      </c>
      <c r="DS27">
        <v>1.3008117570544291</v>
      </c>
      <c r="DT27" s="13">
        <v>-0.59</v>
      </c>
      <c r="DU27">
        <v>-2.561666666666667</v>
      </c>
      <c r="DV27">
        <v>-3.1516666666666668</v>
      </c>
      <c r="DW27">
        <v>-5.1923937360178973</v>
      </c>
      <c r="DX27">
        <v>0.26312047642679748</v>
      </c>
      <c r="DY27">
        <v>-5.0179157963595182</v>
      </c>
      <c r="DZ27" t="s">
        <v>894</v>
      </c>
      <c r="EA27" t="e">
        <v>#VALUE!</v>
      </c>
      <c r="EB27" t="e">
        <v>#VALUE!</v>
      </c>
      <c r="EC27">
        <v>0.24786527533814304</v>
      </c>
      <c r="ED27">
        <v>2.661769978622949</v>
      </c>
      <c r="EE27" s="14">
        <v>3.0623100000000001</v>
      </c>
      <c r="EF27">
        <v>3.1251099999999998</v>
      </c>
      <c r="EG27">
        <v>17.093120476426797</v>
      </c>
      <c r="EH27" t="s">
        <v>742</v>
      </c>
      <c r="EI27" t="e">
        <v>#VALUE!</v>
      </c>
      <c r="EJ27">
        <v>0</v>
      </c>
      <c r="EK27" s="10">
        <v>45470</v>
      </c>
      <c r="EL27" s="15">
        <v>-6.53</v>
      </c>
      <c r="EM27" s="15">
        <v>-2.4700000000000002</v>
      </c>
      <c r="EN27" s="15">
        <v>5.22</v>
      </c>
      <c r="EO27" s="15">
        <v>-0.56999999999999995</v>
      </c>
      <c r="EP27" s="15">
        <v>-6.28</v>
      </c>
    </row>
    <row r="28" spans="1:146" ht="108" x14ac:dyDescent="0.25">
      <c r="A28" s="7"/>
      <c r="B28" s="7"/>
      <c r="C28" s="7" t="str">
        <f>""&amp;CHAR(10)&amp;Basic_Fundamental_Information_Constructure(F28)&amp;CHAR(10)&amp;Basic_Fundamental_Information_Concatenate("")</f>
        <v xml:space="preserve">
市值43.325447亿, 利润289.73万; PE; 平均PE657.37; 平均PEG53.28, PB3.27; ROIC0%; ROE-2.4233%; 股利率0%; 毛利43.0667%; 净利-20.63%; 上一年度营收增-78.46%, 利润增114.49%; 当季营收增-53.6%, 利润增106.5%; 过往5年营收增-12.34%, 利润增20.84%
Income profile:
</v>
      </c>
      <c r="D28" t="s">
        <v>428</v>
      </c>
      <c r="E28" t="s">
        <v>429</v>
      </c>
      <c r="F28">
        <v>9.0399999999999991</v>
      </c>
      <c r="G28">
        <v>1.46</v>
      </c>
      <c r="H28" t="s">
        <v>1860</v>
      </c>
      <c r="I28">
        <v>4332544700</v>
      </c>
      <c r="K28">
        <v>3.27</v>
      </c>
      <c r="L28" t="s">
        <v>303</v>
      </c>
      <c r="M28" t="s">
        <v>185</v>
      </c>
      <c r="N28" t="s">
        <v>1030</v>
      </c>
      <c r="O28" t="s">
        <v>1861</v>
      </c>
      <c r="P28">
        <v>-36.97</v>
      </c>
      <c r="Q28" t="s">
        <v>1861</v>
      </c>
      <c r="R28">
        <v>2897348</v>
      </c>
      <c r="S28" s="5">
        <v>-0.68959999999999999</v>
      </c>
      <c r="T28" t="s">
        <v>1862</v>
      </c>
      <c r="U28">
        <v>368888900</v>
      </c>
      <c r="V28">
        <v>479263800</v>
      </c>
      <c r="W28">
        <v>1.42</v>
      </c>
      <c r="X28">
        <v>0.05</v>
      </c>
      <c r="Y28">
        <v>3.09</v>
      </c>
      <c r="Z28" t="s">
        <v>1863</v>
      </c>
      <c r="AA28" t="s">
        <v>1864</v>
      </c>
      <c r="AB28" t="s">
        <v>1865</v>
      </c>
      <c r="AC28" t="s">
        <v>1866</v>
      </c>
      <c r="AD28" t="s">
        <v>5</v>
      </c>
      <c r="AE28">
        <v>1550612</v>
      </c>
      <c r="AF28" t="s">
        <v>1867</v>
      </c>
      <c r="AG28">
        <v>112.74</v>
      </c>
      <c r="AH28" t="s">
        <v>1868</v>
      </c>
      <c r="AI28" t="s">
        <v>53</v>
      </c>
      <c r="AJ28" t="s">
        <v>1869</v>
      </c>
      <c r="AK28" t="s">
        <v>147</v>
      </c>
      <c r="AL28" t="s">
        <v>1870</v>
      </c>
      <c r="AM28" t="s">
        <v>5</v>
      </c>
      <c r="AN28" t="s">
        <v>158</v>
      </c>
      <c r="AO28" t="s">
        <v>171</v>
      </c>
      <c r="AP28" t="s">
        <v>1871</v>
      </c>
      <c r="AQ28" t="s">
        <v>1872</v>
      </c>
      <c r="AR28" t="s">
        <v>5</v>
      </c>
      <c r="AS28" t="s">
        <v>1146</v>
      </c>
      <c r="AT28" t="s">
        <v>623</v>
      </c>
      <c r="AU28" t="s">
        <v>1873</v>
      </c>
      <c r="AV28" t="s">
        <v>1874</v>
      </c>
      <c r="AW28" t="s">
        <v>1875</v>
      </c>
      <c r="AX28" t="s">
        <v>797</v>
      </c>
      <c r="AY28" t="s">
        <v>108</v>
      </c>
      <c r="AZ28" t="s">
        <v>153</v>
      </c>
      <c r="BA28" t="s">
        <v>66</v>
      </c>
      <c r="BB28" t="s">
        <v>264</v>
      </c>
      <c r="BC28" t="s">
        <v>1876</v>
      </c>
      <c r="BD28" t="s">
        <v>647</v>
      </c>
      <c r="BE28" t="s">
        <v>430</v>
      </c>
      <c r="BF28" t="s">
        <v>431</v>
      </c>
      <c r="BG28" t="s">
        <v>432</v>
      </c>
      <c r="BH28" t="s">
        <v>1026</v>
      </c>
      <c r="BI28" t="s">
        <v>48</v>
      </c>
      <c r="BJ28" t="s">
        <v>797</v>
      </c>
      <c r="BK28" t="s">
        <v>1877</v>
      </c>
      <c r="BL28" t="s">
        <v>1121</v>
      </c>
      <c r="BM28" t="s">
        <v>1876</v>
      </c>
      <c r="BN28" t="s">
        <v>5</v>
      </c>
      <c r="BO28" t="s">
        <v>5</v>
      </c>
      <c r="BP28" t="s">
        <v>5</v>
      </c>
      <c r="BQ28">
        <v>-5.09</v>
      </c>
      <c r="BR28">
        <v>-1.35</v>
      </c>
      <c r="BS28">
        <v>-0.83</v>
      </c>
      <c r="BT28" t="s">
        <v>873</v>
      </c>
      <c r="BU28" t="s">
        <v>1296</v>
      </c>
      <c r="BV28">
        <v>34.83</v>
      </c>
      <c r="BW28">
        <v>45.63</v>
      </c>
      <c r="BX28">
        <v>48.74</v>
      </c>
      <c r="BY28">
        <v>-54.16</v>
      </c>
      <c r="BZ28">
        <v>-4.6399999999999997</v>
      </c>
      <c r="CA28">
        <v>-3.09</v>
      </c>
      <c r="CB28">
        <v>-0.99</v>
      </c>
      <c r="CC28">
        <v>-9.0500000000000007</v>
      </c>
      <c r="CD28" t="s">
        <v>1878</v>
      </c>
      <c r="CE28" t="s">
        <v>1879</v>
      </c>
      <c r="CF28" s="11">
        <v>-0.53604356435643563</v>
      </c>
      <c r="CG28" s="12">
        <v>1.0650187941662907</v>
      </c>
      <c r="CH28" s="11">
        <v>-0.78455358743667603</v>
      </c>
      <c r="CI28" s="11">
        <v>0.11253196746110916</v>
      </c>
      <c r="CJ28" s="11">
        <v>0.17771084606647491</v>
      </c>
      <c r="CK28" s="11">
        <v>-3.7681158632040024E-2</v>
      </c>
      <c r="CL28" s="11">
        <v>-8.4880635142326355E-2</v>
      </c>
      <c r="CM28" s="12">
        <v>1.1448650360107422</v>
      </c>
      <c r="CN28" s="12">
        <v>-0.65598553419113159</v>
      </c>
      <c r="CO28" s="12">
        <v>-1.3239376544952393</v>
      </c>
      <c r="CP28" s="12">
        <v>2.3222630023956299</v>
      </c>
      <c r="CQ28" s="12">
        <v>-0.44497859477996826</v>
      </c>
      <c r="CR28">
        <v>657.36581480151517</v>
      </c>
      <c r="CS28">
        <v>53.282140367346948</v>
      </c>
      <c r="CT28">
        <v>0</v>
      </c>
      <c r="CU28" s="11">
        <v>-0.12337451353669167</v>
      </c>
      <c r="CV28" s="12">
        <v>0.20844525098800659</v>
      </c>
      <c r="CW28">
        <v>0.06</v>
      </c>
      <c r="CX28">
        <v>1216.83798709143</v>
      </c>
      <c r="CY28" t="s">
        <v>1880</v>
      </c>
      <c r="CZ28">
        <v>-0.12337451353669167</v>
      </c>
      <c r="DA28">
        <v>405.61266236380999</v>
      </c>
      <c r="DB28" t="s">
        <v>1881</v>
      </c>
      <c r="DC28">
        <v>-0.11720578785985708</v>
      </c>
      <c r="DD28">
        <v>202.80633118190499</v>
      </c>
      <c r="DE28" t="s">
        <v>1882</v>
      </c>
      <c r="DF28">
        <v>-0.10856957191228866</v>
      </c>
      <c r="DG28">
        <v>121.68379870914299</v>
      </c>
      <c r="DH28" t="s">
        <v>1883</v>
      </c>
      <c r="DI28">
        <v>-9.8699610829353343E-2</v>
      </c>
      <c r="DJ28">
        <v>60.841899354571495</v>
      </c>
      <c r="DK28" t="s">
        <v>1884</v>
      </c>
      <c r="DL28">
        <v>-8.6362159475684167E-2</v>
      </c>
      <c r="DM28">
        <v>2897300</v>
      </c>
      <c r="DN28">
        <v>-0.12337451353669167</v>
      </c>
      <c r="DO28">
        <v>3525544700</v>
      </c>
      <c r="DP28">
        <v>550810950</v>
      </c>
      <c r="DQ28">
        <v>1785</v>
      </c>
      <c r="DR28">
        <v>-0.41266905081974398</v>
      </c>
      <c r="DS28">
        <v>0.85657354317828416</v>
      </c>
      <c r="DT28" s="13">
        <v>-0.64</v>
      </c>
      <c r="DU28">
        <v>-0.22333333333333358</v>
      </c>
      <c r="DV28">
        <v>-0.86333333333333362</v>
      </c>
      <c r="DW28">
        <v>-2.0905</v>
      </c>
      <c r="DX28">
        <v>0.26616611226611286</v>
      </c>
      <c r="DY28">
        <v>-2.0096080331600832</v>
      </c>
      <c r="DZ28">
        <v>4886</v>
      </c>
      <c r="EA28">
        <v>-2.0004211740563322</v>
      </c>
      <c r="EB28">
        <v>2</v>
      </c>
      <c r="EC28">
        <v>0.10655071382399421</v>
      </c>
      <c r="ED28">
        <v>1.0036226395567533</v>
      </c>
      <c r="EE28" s="14">
        <v>1.0213000000000001</v>
      </c>
      <c r="EF28">
        <v>1.0213000000000001</v>
      </c>
      <c r="EG28">
        <v>16.106166112266113</v>
      </c>
      <c r="EH28" t="s">
        <v>743</v>
      </c>
      <c r="EI28">
        <v>0</v>
      </c>
      <c r="EJ28">
        <v>0</v>
      </c>
      <c r="EK28" s="10">
        <v>45470</v>
      </c>
      <c r="EL28" s="15">
        <v>-1.4</v>
      </c>
      <c r="EM28" s="15">
        <v>-6.58</v>
      </c>
      <c r="EN28" s="15">
        <v>-5.53</v>
      </c>
      <c r="EO28" s="15">
        <v>5.73</v>
      </c>
      <c r="EP28" s="15">
        <v>0</v>
      </c>
    </row>
    <row r="29" spans="1:146" ht="108" x14ac:dyDescent="0.25">
      <c r="A29" s="7"/>
      <c r="B29" s="7"/>
      <c r="C29" s="7" t="str">
        <f>""&amp;CHAR(10)&amp;Basic_Fundamental_Information_Constructure(F29)&amp;CHAR(10)&amp;Basic_Fundamental_Information_Concatenate("")</f>
        <v xml:space="preserve">
市值38.870788亿, 利润-4797.41万; PE; 平均PE-13.78; 平均PEG-.57, PB1.25; ROIC0%; ROE-7.6367%; 股利率0%; 毛利26.5033%; 净利-12.4567%; 上一年度营收增-80.96%, 利润增91.87%; 当季营收增-63.4%, 利润增38.16%; 过往5年营收增-23.99%, 利润增-66.6%
Income profile:
</v>
      </c>
      <c r="D29" t="s">
        <v>433</v>
      </c>
      <c r="E29" t="s">
        <v>434</v>
      </c>
      <c r="F29">
        <v>2.25</v>
      </c>
      <c r="G29">
        <v>3.21</v>
      </c>
      <c r="H29" t="s">
        <v>149</v>
      </c>
      <c r="I29">
        <v>3887078800</v>
      </c>
      <c r="K29">
        <v>1.25</v>
      </c>
      <c r="L29" t="s">
        <v>303</v>
      </c>
      <c r="M29" t="s">
        <v>1885</v>
      </c>
      <c r="N29" t="s">
        <v>1886</v>
      </c>
      <c r="O29" t="s">
        <v>1088</v>
      </c>
      <c r="P29">
        <v>-16.43</v>
      </c>
      <c r="Q29" t="s">
        <v>1088</v>
      </c>
      <c r="R29">
        <v>-47974092</v>
      </c>
      <c r="S29" s="5">
        <v>-9.4500000000000001E-2</v>
      </c>
      <c r="T29" t="s">
        <v>1887</v>
      </c>
      <c r="U29">
        <v>1708553300</v>
      </c>
      <c r="V29">
        <v>1727590600</v>
      </c>
      <c r="W29">
        <v>1.69</v>
      </c>
      <c r="X29">
        <v>0.08</v>
      </c>
      <c r="Y29">
        <v>-11.61</v>
      </c>
      <c r="Z29" t="s">
        <v>1888</v>
      </c>
      <c r="AA29" t="s">
        <v>1261</v>
      </c>
      <c r="AB29" t="s">
        <v>1889</v>
      </c>
      <c r="AC29" t="s">
        <v>1890</v>
      </c>
      <c r="AD29" t="s">
        <v>5</v>
      </c>
      <c r="AE29">
        <v>119847</v>
      </c>
      <c r="AF29" t="s">
        <v>1891</v>
      </c>
      <c r="AG29" t="s">
        <v>1892</v>
      </c>
      <c r="AH29" t="s">
        <v>1893</v>
      </c>
      <c r="AI29" t="s">
        <v>1894</v>
      </c>
      <c r="AJ29" t="s">
        <v>1895</v>
      </c>
      <c r="AK29" t="s">
        <v>250</v>
      </c>
      <c r="AL29" t="s">
        <v>1896</v>
      </c>
      <c r="AM29" t="s">
        <v>5</v>
      </c>
      <c r="AN29" t="s">
        <v>44</v>
      </c>
      <c r="AO29" t="s">
        <v>1897</v>
      </c>
      <c r="AP29" t="s">
        <v>1898</v>
      </c>
      <c r="AQ29" t="s">
        <v>447</v>
      </c>
      <c r="AR29" t="s">
        <v>5</v>
      </c>
      <c r="AS29" t="s">
        <v>1899</v>
      </c>
      <c r="AT29" t="s">
        <v>170</v>
      </c>
      <c r="AU29" t="s">
        <v>1900</v>
      </c>
      <c r="AV29" t="s">
        <v>1901</v>
      </c>
      <c r="AW29" t="s">
        <v>1902</v>
      </c>
      <c r="AX29" t="s">
        <v>940</v>
      </c>
      <c r="AY29" t="s">
        <v>648</v>
      </c>
      <c r="AZ29" t="s">
        <v>435</v>
      </c>
      <c r="BA29" t="s">
        <v>437</v>
      </c>
      <c r="BB29" t="s">
        <v>438</v>
      </c>
      <c r="BC29" t="s">
        <v>941</v>
      </c>
      <c r="BD29" t="s">
        <v>252</v>
      </c>
      <c r="BE29" t="s">
        <v>436</v>
      </c>
      <c r="BF29" t="s">
        <v>119</v>
      </c>
      <c r="BG29" t="s">
        <v>439</v>
      </c>
      <c r="BH29" t="s">
        <v>1903</v>
      </c>
      <c r="BI29" t="s">
        <v>921</v>
      </c>
      <c r="BJ29" t="s">
        <v>940</v>
      </c>
      <c r="BK29" t="s">
        <v>1904</v>
      </c>
      <c r="BL29" t="s">
        <v>1122</v>
      </c>
      <c r="BM29" t="s">
        <v>941</v>
      </c>
      <c r="BN29" t="s">
        <v>5</v>
      </c>
      <c r="BO29" t="s">
        <v>5</v>
      </c>
      <c r="BP29" t="s">
        <v>5</v>
      </c>
      <c r="BQ29">
        <v>-3.96</v>
      </c>
      <c r="BR29">
        <v>-16.079999999999998</v>
      </c>
      <c r="BS29">
        <v>-2.87</v>
      </c>
      <c r="BT29" t="s">
        <v>873</v>
      </c>
      <c r="BU29" t="s">
        <v>1296</v>
      </c>
      <c r="BV29">
        <v>22.55</v>
      </c>
      <c r="BW29">
        <v>30.09</v>
      </c>
      <c r="BX29">
        <v>26.87</v>
      </c>
      <c r="BY29">
        <v>-10.220000000000001</v>
      </c>
      <c r="BZ29">
        <v>-23.69</v>
      </c>
      <c r="CA29">
        <v>-3.46</v>
      </c>
      <c r="CB29">
        <v>19.05</v>
      </c>
      <c r="CC29">
        <v>-4.26</v>
      </c>
      <c r="CD29" t="s">
        <v>1102</v>
      </c>
      <c r="CE29" t="s">
        <v>1905</v>
      </c>
      <c r="CF29" s="11">
        <v>-0.63401253918495293</v>
      </c>
      <c r="CG29" s="12">
        <v>0.38160503439101606</v>
      </c>
      <c r="CH29" s="11">
        <v>-0.80962085723876953</v>
      </c>
      <c r="CI29" s="11">
        <v>-0.22667089104652405</v>
      </c>
      <c r="CJ29" s="11">
        <v>0.13366685807704926</v>
      </c>
      <c r="CK29" s="11">
        <v>-0.15950730443000793</v>
      </c>
      <c r="CL29" s="11">
        <v>-0.13756477832794189</v>
      </c>
      <c r="CM29" s="12">
        <v>0.91868799924850464</v>
      </c>
      <c r="CN29" s="12">
        <v>-4.2212390899658203</v>
      </c>
      <c r="CO29" s="12">
        <v>0.90923696756362915</v>
      </c>
      <c r="CP29" s="12">
        <v>-5.8069496154785156</v>
      </c>
      <c r="CQ29" s="12">
        <v>4.8702735900878906</v>
      </c>
      <c r="CR29">
        <v>-13.777017798645895</v>
      </c>
      <c r="CS29">
        <v>-0.57418740353169639</v>
      </c>
      <c r="CT29">
        <v>0</v>
      </c>
      <c r="CU29" s="11">
        <v>-0.23993939459323882</v>
      </c>
      <c r="CV29" s="12">
        <v>-0.66599802970886235</v>
      </c>
      <c r="CW29">
        <v>0.06</v>
      </c>
      <c r="CX29" t="e">
        <v>#VALUE!</v>
      </c>
      <c r="CY29" t="s">
        <v>740</v>
      </c>
      <c r="CZ29">
        <v>-0.23993939459323882</v>
      </c>
      <c r="DA29" t="e">
        <v>#VALUE!</v>
      </c>
      <c r="DB29" t="s">
        <v>741</v>
      </c>
      <c r="DC29">
        <v>-0.22794242486357688</v>
      </c>
      <c r="DD29" t="e">
        <v>#VALUE!</v>
      </c>
      <c r="DE29" t="s">
        <v>741</v>
      </c>
      <c r="DF29">
        <v>-0.21114666724205017</v>
      </c>
      <c r="DG29" t="e">
        <v>#VALUE!</v>
      </c>
      <c r="DH29" t="s">
        <v>741</v>
      </c>
      <c r="DI29">
        <v>-0.19195151567459107</v>
      </c>
      <c r="DJ29" t="e">
        <v>#VALUE!</v>
      </c>
      <c r="DK29" t="s">
        <v>741</v>
      </c>
      <c r="DL29">
        <v>-0.16795757621526716</v>
      </c>
      <c r="DM29">
        <v>-47974100</v>
      </c>
      <c r="DN29">
        <v>-0.23993939459323882</v>
      </c>
      <c r="DO29">
        <v>3141078800</v>
      </c>
      <c r="DP29">
        <v>1316527500</v>
      </c>
      <c r="DQ29">
        <v>1805</v>
      </c>
      <c r="DR29">
        <v>-0.39407314459171411</v>
      </c>
      <c r="DS29">
        <v>1.0476030640998784</v>
      </c>
      <c r="DT29" s="13">
        <v>-1.04</v>
      </c>
      <c r="DU29">
        <v>-2.1583333333333337</v>
      </c>
      <c r="DV29">
        <v>-3.1983333333333337</v>
      </c>
      <c r="DW29">
        <v>5.2236220472440946</v>
      </c>
      <c r="DX29">
        <v>0.74329596412555921</v>
      </c>
      <c r="DY29">
        <v>5.0968945305603617</v>
      </c>
      <c r="DZ29">
        <v>4866</v>
      </c>
      <c r="EA29">
        <v>5.0046266664298882</v>
      </c>
      <c r="EB29">
        <v>5</v>
      </c>
      <c r="EC29">
        <v>0.4474439719688218</v>
      </c>
      <c r="ED29">
        <v>1.0326520646731929</v>
      </c>
      <c r="EE29" s="14">
        <v>3.2300000000000002E-2</v>
      </c>
      <c r="EF29">
        <v>5.3000000000000005E-2</v>
      </c>
      <c r="EG29">
        <v>31.433295964125559</v>
      </c>
      <c r="EH29" t="s">
        <v>722</v>
      </c>
      <c r="EI29">
        <v>1</v>
      </c>
      <c r="EJ29">
        <v>0</v>
      </c>
      <c r="EK29" s="10">
        <v>45470</v>
      </c>
      <c r="EL29" s="15">
        <v>-1.5</v>
      </c>
      <c r="EM29" s="15">
        <v>-5.08</v>
      </c>
      <c r="EN29" s="15">
        <v>-1.07</v>
      </c>
      <c r="EO29" s="15">
        <v>4.32</v>
      </c>
      <c r="EP29" s="15">
        <v>2.0699999999999998</v>
      </c>
    </row>
    <row r="30" spans="1:146" ht="96" x14ac:dyDescent="0.25">
      <c r="A30" s="7"/>
      <c r="B30" s="7"/>
      <c r="C30" s="7" t="str">
        <f>""&amp;CHAR(10)&amp;Basic_Fundamental_Information_Constructure(F30)&amp;CHAR(10)&amp;Basic_Fundamental_Information_Concatenate("")</f>
        <v xml:space="preserve">
市值18.4464亿, 利润-481.09万; PE; 平均PE-109.17; 平均PEG-4.71, PB2.93; ROIC4.3%; ROE-6.5867%; 股利率0%; 毛利57.1433%; 净利-34.96%; 上一年度营收增-80.56%, 利润增96.24%; 当季营收增-61%, 利润增86.51%; 过往5年营收增-23.17%, 利润增-101.46%
Income profile:
</v>
      </c>
      <c r="D30" t="s">
        <v>440</v>
      </c>
      <c r="E30" t="s">
        <v>441</v>
      </c>
      <c r="F30">
        <v>5.49</v>
      </c>
      <c r="G30">
        <v>-7.42</v>
      </c>
      <c r="H30" t="s">
        <v>1906</v>
      </c>
      <c r="I30">
        <v>1844640000</v>
      </c>
      <c r="K30">
        <v>2.93</v>
      </c>
      <c r="L30" t="s">
        <v>303</v>
      </c>
      <c r="M30" t="s">
        <v>1907</v>
      </c>
      <c r="N30" t="s">
        <v>251</v>
      </c>
      <c r="O30" t="s">
        <v>1908</v>
      </c>
      <c r="P30">
        <v>-18.57</v>
      </c>
      <c r="Q30" t="s">
        <v>1908</v>
      </c>
      <c r="R30">
        <v>-4810893</v>
      </c>
      <c r="S30" s="5">
        <v>0.76390000000000002</v>
      </c>
      <c r="T30" t="s">
        <v>1909</v>
      </c>
      <c r="U30">
        <v>334375070</v>
      </c>
      <c r="V30">
        <v>336000000</v>
      </c>
      <c r="W30">
        <v>1.04</v>
      </c>
      <c r="X30">
        <v>0.04</v>
      </c>
      <c r="Y30">
        <v>-13.64</v>
      </c>
      <c r="Z30" t="s">
        <v>1910</v>
      </c>
      <c r="AA30" t="s">
        <v>1911</v>
      </c>
      <c r="AB30" t="s">
        <v>1912</v>
      </c>
      <c r="AC30" t="s">
        <v>1913</v>
      </c>
      <c r="AD30" t="s">
        <v>5</v>
      </c>
      <c r="AE30">
        <v>-133670</v>
      </c>
      <c r="AF30" t="s">
        <v>1914</v>
      </c>
      <c r="AG30" t="s">
        <v>5</v>
      </c>
      <c r="AH30" t="s">
        <v>1915</v>
      </c>
      <c r="AI30" t="s">
        <v>1916</v>
      </c>
      <c r="AJ30" t="s">
        <v>1917</v>
      </c>
      <c r="AK30" t="s">
        <v>5</v>
      </c>
      <c r="AL30" t="s">
        <v>1918</v>
      </c>
      <c r="AM30" t="s">
        <v>5</v>
      </c>
      <c r="AN30">
        <v>0</v>
      </c>
      <c r="AO30" t="s">
        <v>5</v>
      </c>
      <c r="AP30" t="s">
        <v>5</v>
      </c>
      <c r="AQ30" t="s">
        <v>1919</v>
      </c>
      <c r="AR30">
        <v>3120</v>
      </c>
      <c r="AS30" t="s">
        <v>1920</v>
      </c>
      <c r="AT30" t="s">
        <v>5</v>
      </c>
      <c r="AU30" t="s">
        <v>1921</v>
      </c>
      <c r="AV30" t="s">
        <v>1922</v>
      </c>
      <c r="AW30" t="s">
        <v>1923</v>
      </c>
      <c r="AX30" t="s">
        <v>69</v>
      </c>
      <c r="AY30" t="s">
        <v>52</v>
      </c>
      <c r="AZ30" t="s">
        <v>181</v>
      </c>
      <c r="BA30" t="s">
        <v>177</v>
      </c>
      <c r="BB30" t="s">
        <v>111</v>
      </c>
      <c r="BC30" t="s">
        <v>1123</v>
      </c>
      <c r="BD30" t="s">
        <v>649</v>
      </c>
      <c r="BE30" t="s">
        <v>442</v>
      </c>
      <c r="BF30" t="s">
        <v>443</v>
      </c>
      <c r="BG30" t="s">
        <v>444</v>
      </c>
      <c r="BH30" t="s">
        <v>618</v>
      </c>
      <c r="BI30" t="s">
        <v>1124</v>
      </c>
      <c r="BJ30" t="s">
        <v>69</v>
      </c>
      <c r="BK30" t="s">
        <v>1924</v>
      </c>
      <c r="BL30" t="s">
        <v>1125</v>
      </c>
      <c r="BM30" t="s">
        <v>1123</v>
      </c>
      <c r="BN30" t="s">
        <v>5</v>
      </c>
      <c r="BO30" t="s">
        <v>5</v>
      </c>
      <c r="BP30">
        <v>4.3</v>
      </c>
      <c r="BQ30">
        <v>-6.37</v>
      </c>
      <c r="BR30">
        <v>-16.64</v>
      </c>
      <c r="BS30">
        <v>3.25</v>
      </c>
      <c r="BT30" t="s">
        <v>873</v>
      </c>
      <c r="BU30" t="s">
        <v>1296</v>
      </c>
      <c r="BV30">
        <v>56.2</v>
      </c>
      <c r="BW30">
        <v>50.36</v>
      </c>
      <c r="BX30">
        <v>64.87</v>
      </c>
      <c r="BY30">
        <v>-40.11</v>
      </c>
      <c r="BZ30">
        <v>-86.4</v>
      </c>
      <c r="CA30">
        <v>21.63</v>
      </c>
      <c r="CB30">
        <v>13.66</v>
      </c>
      <c r="CC30">
        <v>18.059999999999999</v>
      </c>
      <c r="CD30" t="s">
        <v>214</v>
      </c>
      <c r="CE30" t="s">
        <v>1925</v>
      </c>
      <c r="CF30" s="11">
        <v>-0.60998774985976623</v>
      </c>
      <c r="CG30" s="12">
        <v>0.86507139231133834</v>
      </c>
      <c r="CH30" s="11">
        <v>-0.80561268329620361</v>
      </c>
      <c r="CI30" s="11">
        <v>-0.28999999165534973</v>
      </c>
      <c r="CJ30" s="11">
        <v>-6.5420560538768768E-2</v>
      </c>
      <c r="CK30" s="11">
        <v>-0.10833333432674408</v>
      </c>
      <c r="CL30" s="11">
        <v>0.1111111119389534</v>
      </c>
      <c r="CM30" s="12">
        <v>0.96241486072540283</v>
      </c>
      <c r="CN30" s="12">
        <v>-5.8157234191894531</v>
      </c>
      <c r="CO30" s="12">
        <v>2.3266253471374512</v>
      </c>
      <c r="CP30" s="12">
        <v>-2.5824954509735107</v>
      </c>
      <c r="CQ30" s="12">
        <v>3.6004483699798584E-2</v>
      </c>
      <c r="CR30">
        <v>-109.16601404146948</v>
      </c>
      <c r="CS30">
        <v>-4.712518870468271</v>
      </c>
      <c r="CT30">
        <v>0</v>
      </c>
      <c r="CU30" s="11">
        <v>-0.23165109157562255</v>
      </c>
      <c r="CV30" s="12">
        <v>-1.0146348357200623</v>
      </c>
      <c r="CW30">
        <v>0.06</v>
      </c>
      <c r="CX30" t="e">
        <v>#VALUE!</v>
      </c>
      <c r="CY30" t="s">
        <v>740</v>
      </c>
      <c r="CZ30">
        <v>-0.23165109157562255</v>
      </c>
      <c r="DA30" t="e">
        <v>#VALUE!</v>
      </c>
      <c r="DB30" t="s">
        <v>741</v>
      </c>
      <c r="DC30">
        <v>-0.22006853699684142</v>
      </c>
      <c r="DD30" t="e">
        <v>#VALUE!</v>
      </c>
      <c r="DE30" t="s">
        <v>741</v>
      </c>
      <c r="DF30">
        <v>-0.20385296058654784</v>
      </c>
      <c r="DG30" t="e">
        <v>#VALUE!</v>
      </c>
      <c r="DH30" t="s">
        <v>741</v>
      </c>
      <c r="DI30">
        <v>-0.18532087326049806</v>
      </c>
      <c r="DJ30" t="e">
        <v>#VALUE!</v>
      </c>
      <c r="DK30" t="s">
        <v>741</v>
      </c>
      <c r="DL30">
        <v>-0.16215576410293578</v>
      </c>
      <c r="DM30">
        <v>-4810900</v>
      </c>
      <c r="DN30">
        <v>-0.23165109157562255</v>
      </c>
      <c r="DO30">
        <v>1231167900</v>
      </c>
      <c r="DP30">
        <v>208520540</v>
      </c>
      <c r="DQ30">
        <v>1812</v>
      </c>
      <c r="DR30">
        <v>-0.37833665828414365</v>
      </c>
      <c r="DS30">
        <v>1.8797062280314005</v>
      </c>
      <c r="DT30" s="13">
        <v>-0.92333333333333334</v>
      </c>
      <c r="DU30">
        <v>-2.0283333333333338</v>
      </c>
      <c r="DV30">
        <v>-2.9516666666666671</v>
      </c>
      <c r="DW30">
        <v>9.7563676633444079</v>
      </c>
      <c r="DX30">
        <v>0.59702201622248108</v>
      </c>
      <c r="DY30">
        <v>9.2927309380730385</v>
      </c>
      <c r="DZ30">
        <v>4336</v>
      </c>
      <c r="EA30">
        <v>9.0443392849449182</v>
      </c>
      <c r="EB30">
        <v>9</v>
      </c>
      <c r="EC30">
        <v>0.99404761904761907</v>
      </c>
      <c r="ED30">
        <v>2.5684523809523814</v>
      </c>
      <c r="EE30" s="14">
        <v>4.9399999999999999E-2</v>
      </c>
      <c r="EF30">
        <v>4.0310000000000006E-2</v>
      </c>
      <c r="EG30">
        <v>21.387022016222481</v>
      </c>
      <c r="EH30">
        <v>-1</v>
      </c>
      <c r="EI30">
        <v>1</v>
      </c>
      <c r="EJ30">
        <v>0</v>
      </c>
      <c r="EK30" s="10">
        <v>45470</v>
      </c>
      <c r="EL30" s="15">
        <v>5.75</v>
      </c>
      <c r="EM30" s="15">
        <v>20.09</v>
      </c>
      <c r="EN30" s="15">
        <v>9.65</v>
      </c>
      <c r="EO30" s="15">
        <v>4.13</v>
      </c>
      <c r="EP30" s="15">
        <v>-8.9700000000000006</v>
      </c>
    </row>
    <row r="31" spans="1:146" ht="96" x14ac:dyDescent="0.25">
      <c r="A31" s="7"/>
      <c r="B31" s="7"/>
      <c r="C31" s="7" t="str">
        <f>""&amp;CHAR(10)&amp;Basic_Fundamental_Information_Constructure(F31)&amp;CHAR(10)&amp;Basic_Fundamental_Information_Concatenate("")</f>
        <v xml:space="preserve">
市值12.8533264亿, 利润-1550.67万; PE; 平均PE-60.82; 平均PEG-4.25, PB3.79; ROIC5.58%; ROE-14.67%; 股利率0%; 毛利26.9533%; 净利-44.04%; 上一年度营收增-87.89%, 利润增94.5%; 当季营收增-64.16%, 利润增27.5%; 过往5年营收增-14.32%, 利润增-366.03%
Income profile:
</v>
      </c>
      <c r="D31" t="s">
        <v>445</v>
      </c>
      <c r="E31" t="s">
        <v>1926</v>
      </c>
      <c r="F31">
        <v>2.4300000000000002</v>
      </c>
      <c r="G31">
        <v>1.25</v>
      </c>
      <c r="H31" t="s">
        <v>1927</v>
      </c>
      <c r="I31">
        <v>1285332640</v>
      </c>
      <c r="K31">
        <v>3.79</v>
      </c>
      <c r="L31" t="s">
        <v>303</v>
      </c>
      <c r="M31" t="s">
        <v>1928</v>
      </c>
      <c r="N31" t="s">
        <v>1261</v>
      </c>
      <c r="O31" t="s">
        <v>1929</v>
      </c>
      <c r="P31">
        <v>-17.29</v>
      </c>
      <c r="Q31" t="s">
        <v>1929</v>
      </c>
      <c r="R31">
        <v>-15506713</v>
      </c>
      <c r="S31" s="5">
        <v>-6.4450000000000003</v>
      </c>
      <c r="T31" t="s">
        <v>1930</v>
      </c>
      <c r="U31">
        <v>528943480</v>
      </c>
      <c r="V31">
        <v>528943480</v>
      </c>
      <c r="W31">
        <v>5.47</v>
      </c>
      <c r="X31">
        <v>0.03</v>
      </c>
      <c r="Y31">
        <v>-24.39</v>
      </c>
      <c r="Z31" t="s">
        <v>1931</v>
      </c>
      <c r="AA31" t="s">
        <v>1932</v>
      </c>
      <c r="AB31" t="s">
        <v>1933</v>
      </c>
      <c r="AC31" t="s">
        <v>1934</v>
      </c>
      <c r="AD31" t="s">
        <v>5</v>
      </c>
      <c r="AE31">
        <v>20035220</v>
      </c>
      <c r="AF31" t="s">
        <v>1935</v>
      </c>
      <c r="AG31" t="s">
        <v>1936</v>
      </c>
      <c r="AH31" t="s">
        <v>1937</v>
      </c>
      <c r="AI31" t="s">
        <v>1938</v>
      </c>
      <c r="AJ31" t="s">
        <v>1939</v>
      </c>
      <c r="AK31" t="s">
        <v>1940</v>
      </c>
      <c r="AL31" t="s">
        <v>1941</v>
      </c>
      <c r="AM31" t="s">
        <v>5</v>
      </c>
      <c r="AN31">
        <v>0</v>
      </c>
      <c r="AO31" t="s">
        <v>20</v>
      </c>
      <c r="AP31" t="s">
        <v>1942</v>
      </c>
      <c r="AQ31" t="s">
        <v>84</v>
      </c>
      <c r="AR31" t="s">
        <v>1688</v>
      </c>
      <c r="AS31" t="s">
        <v>1078</v>
      </c>
      <c r="AT31" t="s">
        <v>5</v>
      </c>
      <c r="AU31" t="s">
        <v>1943</v>
      </c>
      <c r="AV31" t="s">
        <v>1944</v>
      </c>
      <c r="AW31" t="s">
        <v>1945</v>
      </c>
      <c r="AX31" t="s">
        <v>945</v>
      </c>
      <c r="AY31" t="s">
        <v>650</v>
      </c>
      <c r="AZ31" t="s">
        <v>446</v>
      </c>
      <c r="BA31" t="s">
        <v>447</v>
      </c>
      <c r="BB31" t="s">
        <v>254</v>
      </c>
      <c r="BC31" t="s">
        <v>946</v>
      </c>
      <c r="BD31" t="s">
        <v>947</v>
      </c>
      <c r="BE31" t="s">
        <v>948</v>
      </c>
      <c r="BF31" t="s">
        <v>448</v>
      </c>
      <c r="BG31" t="s">
        <v>449</v>
      </c>
      <c r="BH31" t="s">
        <v>77</v>
      </c>
      <c r="BI31" t="s">
        <v>59</v>
      </c>
      <c r="BJ31" t="s">
        <v>945</v>
      </c>
      <c r="BK31" t="s">
        <v>1946</v>
      </c>
      <c r="BL31" t="s">
        <v>1126</v>
      </c>
      <c r="BM31" t="s">
        <v>946</v>
      </c>
      <c r="BN31" t="s">
        <v>5</v>
      </c>
      <c r="BO31" t="s">
        <v>5</v>
      </c>
      <c r="BP31">
        <v>5.58</v>
      </c>
      <c r="BQ31">
        <v>-9.27</v>
      </c>
      <c r="BR31">
        <v>-37.630000000000003</v>
      </c>
      <c r="BS31">
        <v>2.89</v>
      </c>
      <c r="BT31" t="s">
        <v>873</v>
      </c>
      <c r="BU31" t="s">
        <v>1296</v>
      </c>
      <c r="BV31">
        <v>32</v>
      </c>
      <c r="BW31">
        <v>26.43</v>
      </c>
      <c r="BX31">
        <v>22.43</v>
      </c>
      <c r="BY31">
        <v>-79.36</v>
      </c>
      <c r="BZ31">
        <v>-54.6</v>
      </c>
      <c r="CA31">
        <v>1.84</v>
      </c>
      <c r="CB31">
        <v>7.52</v>
      </c>
      <c r="CC31">
        <v>-15.92</v>
      </c>
      <c r="CD31" t="s">
        <v>74</v>
      </c>
      <c r="CE31" t="s">
        <v>1028</v>
      </c>
      <c r="CF31" s="11">
        <v>-0.64156820512820512</v>
      </c>
      <c r="CG31" s="12">
        <v>0.2750349235142312</v>
      </c>
      <c r="CH31" s="11">
        <v>-0.87886619567871094</v>
      </c>
      <c r="CI31" s="11">
        <v>-0.63779032230377197</v>
      </c>
      <c r="CJ31" s="11">
        <v>0.17218533158302307</v>
      </c>
      <c r="CK31" s="11">
        <v>0.60448652505874634</v>
      </c>
      <c r="CL31" s="11">
        <v>2.4183796718716621E-2</v>
      </c>
      <c r="CM31" s="12">
        <v>0.9450116753578186</v>
      </c>
      <c r="CN31" s="12">
        <v>-18.833992004394531</v>
      </c>
      <c r="CO31" s="12">
        <v>-0.74697411060333252</v>
      </c>
      <c r="CP31" s="12">
        <v>0.40097248554229736</v>
      </c>
      <c r="CQ31" s="12">
        <v>-6.6593706607818604E-2</v>
      </c>
      <c r="CR31">
        <v>-60.818477723406687</v>
      </c>
      <c r="CS31">
        <v>-4.2482819405033805</v>
      </c>
      <c r="CT31">
        <v>0</v>
      </c>
      <c r="CU31" s="11">
        <v>-0.14316017292439936</v>
      </c>
      <c r="CV31" s="12">
        <v>-3.6603151321411134</v>
      </c>
      <c r="CW31">
        <v>0.06</v>
      </c>
      <c r="CX31" t="e">
        <v>#VALUE!</v>
      </c>
      <c r="CY31" t="s">
        <v>740</v>
      </c>
      <c r="CZ31">
        <v>-0.14316017292439936</v>
      </c>
      <c r="DA31" t="e">
        <v>#VALUE!</v>
      </c>
      <c r="DB31" t="s">
        <v>741</v>
      </c>
      <c r="DC31">
        <v>-0.13600216427817938</v>
      </c>
      <c r="DD31" t="e">
        <v>#VALUE!</v>
      </c>
      <c r="DE31" t="s">
        <v>741</v>
      </c>
      <c r="DF31">
        <v>-0.12598095217347144</v>
      </c>
      <c r="DG31" t="e">
        <v>#VALUE!</v>
      </c>
      <c r="DH31" t="s">
        <v>741</v>
      </c>
      <c r="DI31">
        <v>-0.1145281383395195</v>
      </c>
      <c r="DJ31" t="e">
        <v>#VALUE!</v>
      </c>
      <c r="DK31" t="s">
        <v>741</v>
      </c>
      <c r="DL31">
        <v>-0.10021212104707955</v>
      </c>
      <c r="DM31">
        <v>-15506700</v>
      </c>
      <c r="DN31">
        <v>-0.14316017292439936</v>
      </c>
      <c r="DO31">
        <v>2532332640</v>
      </c>
      <c r="DP31">
        <v>-44143300</v>
      </c>
      <c r="DQ31">
        <v>1842</v>
      </c>
      <c r="DR31">
        <v>-0.49840803220380575</v>
      </c>
      <c r="DS31">
        <v>3.9353500556553445</v>
      </c>
      <c r="DT31" s="13">
        <v>-0.70666666666666667</v>
      </c>
      <c r="DU31">
        <v>-1.8483333333333336</v>
      </c>
      <c r="DV31">
        <v>-2.5550000000000002</v>
      </c>
      <c r="DW31">
        <v>7.3208191126279862</v>
      </c>
      <c r="DX31">
        <v>0.28740458015267267</v>
      </c>
      <c r="DY31">
        <v>7.0440820154756008</v>
      </c>
      <c r="DZ31">
        <v>4803</v>
      </c>
      <c r="EA31">
        <v>7.0026483715755399</v>
      </c>
      <c r="EB31">
        <v>7</v>
      </c>
      <c r="EC31">
        <v>0.23821070636885439</v>
      </c>
      <c r="ED31">
        <v>1.7336445852399958</v>
      </c>
      <c r="EE31" s="14">
        <v>-4.0211100000000002</v>
      </c>
      <c r="EF31">
        <v>-4.0424100000000003</v>
      </c>
      <c r="EG31">
        <v>15.137404580152673</v>
      </c>
      <c r="EH31" t="s">
        <v>1165</v>
      </c>
      <c r="EI31">
        <v>1</v>
      </c>
      <c r="EJ31">
        <v>0</v>
      </c>
      <c r="EK31" s="10">
        <v>45470</v>
      </c>
      <c r="EL31" s="15">
        <v>-0.41</v>
      </c>
      <c r="EM31" s="15">
        <v>-4.55</v>
      </c>
      <c r="EN31" s="15">
        <v>-0.43</v>
      </c>
      <c r="EO31" s="15">
        <v>2.17</v>
      </c>
      <c r="EP31" s="15">
        <v>-2.13</v>
      </c>
    </row>
    <row r="32" spans="1:146" ht="108" x14ac:dyDescent="0.25">
      <c r="A32" s="7"/>
      <c r="B32" s="7"/>
      <c r="C32" s="7" t="str">
        <f>""&amp;CHAR(10)&amp;Basic_Fundamental_Information_Constructure(F32)&amp;CHAR(10)&amp;Basic_Fundamental_Information_Concatenate("")</f>
        <v xml:space="preserve">
市值38.836288亿, 利润-868.04万; PE; 平均PE217; 平均PEG10.68, PB2.53; ROIC0%; ROE-5.38%; 股利率0%; 毛利35.34%; 净利-14.4433%; 上一年度营收增-82.95%, 利润增92.83%; 当季营收增-55.02%, 利润增88.74%; 过往5年营收增-20.31%, 利润增-59.08%
Income profile:
</v>
      </c>
      <c r="D32" t="s">
        <v>450</v>
      </c>
      <c r="E32" t="s">
        <v>451</v>
      </c>
      <c r="F32">
        <v>9.2899999999999991</v>
      </c>
      <c r="G32">
        <v>-7.75</v>
      </c>
      <c r="H32" t="s">
        <v>1947</v>
      </c>
      <c r="I32">
        <v>3883628800</v>
      </c>
      <c r="K32">
        <v>2.5299999999999998</v>
      </c>
      <c r="L32" t="s">
        <v>303</v>
      </c>
      <c r="M32" t="s">
        <v>160</v>
      </c>
      <c r="N32" t="s">
        <v>1948</v>
      </c>
      <c r="O32" t="s">
        <v>75</v>
      </c>
      <c r="P32">
        <v>-0.71</v>
      </c>
      <c r="Q32" t="s">
        <v>75</v>
      </c>
      <c r="R32">
        <v>-8680367</v>
      </c>
      <c r="S32" s="5">
        <v>0.75780000000000003</v>
      </c>
      <c r="T32" t="s">
        <v>1949</v>
      </c>
      <c r="U32">
        <v>245965900</v>
      </c>
      <c r="V32">
        <v>418044000</v>
      </c>
      <c r="W32">
        <v>1.1100000000000001</v>
      </c>
      <c r="X32">
        <v>0.09</v>
      </c>
      <c r="Y32">
        <v>-5.98</v>
      </c>
      <c r="Z32" t="s">
        <v>35</v>
      </c>
      <c r="AA32" t="s">
        <v>1950</v>
      </c>
      <c r="AB32" t="s">
        <v>1951</v>
      </c>
      <c r="AC32" t="s">
        <v>1952</v>
      </c>
      <c r="AD32" t="s">
        <v>5</v>
      </c>
      <c r="AE32">
        <v>-8129598</v>
      </c>
      <c r="AF32" t="s">
        <v>1953</v>
      </c>
      <c r="AG32" t="s">
        <v>1954</v>
      </c>
      <c r="AH32" t="s">
        <v>1955</v>
      </c>
      <c r="AI32" t="s">
        <v>181</v>
      </c>
      <c r="AJ32" t="s">
        <v>1956</v>
      </c>
      <c r="AK32" t="s">
        <v>1957</v>
      </c>
      <c r="AL32" t="s">
        <v>1958</v>
      </c>
      <c r="AM32" t="s">
        <v>5</v>
      </c>
      <c r="AN32" t="s">
        <v>1959</v>
      </c>
      <c r="AO32" t="s">
        <v>5</v>
      </c>
      <c r="AP32" t="s">
        <v>5</v>
      </c>
      <c r="AQ32" t="s">
        <v>1960</v>
      </c>
      <c r="AR32" t="s">
        <v>1961</v>
      </c>
      <c r="AS32" t="s">
        <v>618</v>
      </c>
      <c r="AT32" t="s">
        <v>5</v>
      </c>
      <c r="AU32" t="s">
        <v>1962</v>
      </c>
      <c r="AV32" t="s">
        <v>1963</v>
      </c>
      <c r="AW32" t="s">
        <v>1964</v>
      </c>
      <c r="AX32" t="s">
        <v>238</v>
      </c>
      <c r="AY32" t="s">
        <v>277</v>
      </c>
      <c r="AZ32" t="s">
        <v>127</v>
      </c>
      <c r="BA32" t="s">
        <v>278</v>
      </c>
      <c r="BB32" t="s">
        <v>453</v>
      </c>
      <c r="BC32" t="s">
        <v>949</v>
      </c>
      <c r="BD32" t="s">
        <v>652</v>
      </c>
      <c r="BE32" t="s">
        <v>452</v>
      </c>
      <c r="BF32" t="s">
        <v>455</v>
      </c>
      <c r="BG32" t="s">
        <v>182</v>
      </c>
      <c r="BH32" t="s">
        <v>1965</v>
      </c>
      <c r="BI32" t="s">
        <v>976</v>
      </c>
      <c r="BJ32" t="s">
        <v>238</v>
      </c>
      <c r="BK32" t="s">
        <v>1966</v>
      </c>
      <c r="BL32" t="s">
        <v>1128</v>
      </c>
      <c r="BM32" t="s">
        <v>949</v>
      </c>
      <c r="BN32" t="s">
        <v>5</v>
      </c>
      <c r="BO32" t="s">
        <v>5</v>
      </c>
      <c r="BP32" t="s">
        <v>5</v>
      </c>
      <c r="BQ32">
        <v>-6.6</v>
      </c>
      <c r="BR32">
        <v>-6.89</v>
      </c>
      <c r="BS32">
        <v>-2.65</v>
      </c>
      <c r="BT32" t="s">
        <v>873</v>
      </c>
      <c r="BU32" t="s">
        <v>1296</v>
      </c>
      <c r="BV32">
        <v>32.9</v>
      </c>
      <c r="BW32">
        <v>32.979999999999997</v>
      </c>
      <c r="BX32">
        <v>40.14</v>
      </c>
      <c r="BY32">
        <v>-23.3</v>
      </c>
      <c r="BZ32">
        <v>-13.95</v>
      </c>
      <c r="CA32">
        <v>-6.08</v>
      </c>
      <c r="CB32">
        <v>-10.76</v>
      </c>
      <c r="CC32">
        <v>29.93</v>
      </c>
      <c r="CD32" t="s">
        <v>1092</v>
      </c>
      <c r="CE32" t="s">
        <v>1010</v>
      </c>
      <c r="CF32" s="11">
        <v>-0.55015197568389063</v>
      </c>
      <c r="CG32" s="12">
        <v>0.88735281216745832</v>
      </c>
      <c r="CH32" s="11">
        <v>-0.82949310541152954</v>
      </c>
      <c r="CI32" s="11">
        <v>0.11424903571605682</v>
      </c>
      <c r="CJ32" s="11">
        <v>-0.13251669704914093</v>
      </c>
      <c r="CK32" s="11">
        <v>-4.4680852442979813E-2</v>
      </c>
      <c r="CL32" s="11">
        <v>-0.12313432991504669</v>
      </c>
      <c r="CM32" s="12">
        <v>0.9282611608505249</v>
      </c>
      <c r="CN32" s="12">
        <v>-1.475895881652832</v>
      </c>
      <c r="CO32" s="12">
        <v>-1.7794512510299683</v>
      </c>
      <c r="CP32" s="12">
        <v>-0.30514785647392273</v>
      </c>
      <c r="CQ32" s="12">
        <v>-0.32154658436775208</v>
      </c>
      <c r="CR32">
        <v>216.99846715749911</v>
      </c>
      <c r="CS32">
        <v>10.683517434084486</v>
      </c>
      <c r="CT32">
        <v>0</v>
      </c>
      <c r="CU32" s="11">
        <v>-0.20311518982052804</v>
      </c>
      <c r="CV32" s="12">
        <v>-0.59075608253479006</v>
      </c>
      <c r="CW32">
        <v>0.06</v>
      </c>
      <c r="CX32" t="e">
        <v>#VALUE!</v>
      </c>
      <c r="CY32" t="s">
        <v>740</v>
      </c>
      <c r="CZ32">
        <v>-0.20311518982052804</v>
      </c>
      <c r="DA32" t="e">
        <v>#VALUE!</v>
      </c>
      <c r="DB32" t="s">
        <v>741</v>
      </c>
      <c r="DC32">
        <v>-0.19295943032950164</v>
      </c>
      <c r="DD32" t="e">
        <v>#VALUE!</v>
      </c>
      <c r="DE32" t="s">
        <v>741</v>
      </c>
      <c r="DF32">
        <v>-0.17874136704206467</v>
      </c>
      <c r="DG32" t="e">
        <v>#VALUE!</v>
      </c>
      <c r="DH32" t="s">
        <v>741</v>
      </c>
      <c r="DI32">
        <v>-0.16249215185642243</v>
      </c>
      <c r="DJ32" t="e">
        <v>#VALUE!</v>
      </c>
      <c r="DK32" t="s">
        <v>741</v>
      </c>
      <c r="DL32">
        <v>-0.14218063287436961</v>
      </c>
      <c r="DM32">
        <v>-8680400</v>
      </c>
      <c r="DN32">
        <v>-0.20311518982052804</v>
      </c>
      <c r="DO32">
        <v>2537628800</v>
      </c>
      <c r="DP32">
        <v>893114190</v>
      </c>
      <c r="DQ32">
        <v>1859</v>
      </c>
      <c r="DR32">
        <v>-0.34703678586336262</v>
      </c>
      <c r="DS32">
        <v>1.4781088947022485</v>
      </c>
      <c r="DT32" s="13">
        <v>-0.77333333333333332</v>
      </c>
      <c r="DU32">
        <v>-2.3783333333333334</v>
      </c>
      <c r="DV32">
        <v>-3.1516666666666668</v>
      </c>
      <c r="DW32">
        <v>-7.2644384369623989</v>
      </c>
      <c r="DX32">
        <v>0.56951122853368463</v>
      </c>
      <c r="DY32">
        <v>-7.108290509191999</v>
      </c>
      <c r="DZ32">
        <v>4773</v>
      </c>
      <c r="EA32">
        <v>-7.0071416637177499</v>
      </c>
      <c r="EB32">
        <v>7</v>
      </c>
      <c r="EC32">
        <v>0.74154873649663666</v>
      </c>
      <c r="ED32">
        <v>1.8108141726708193</v>
      </c>
      <c r="EE32" s="14">
        <v>6.1439000000000004</v>
      </c>
      <c r="EF32">
        <v>6.0392000000000001</v>
      </c>
      <c r="EG32">
        <v>16.409511228533685</v>
      </c>
      <c r="EH32" t="s">
        <v>1967</v>
      </c>
      <c r="EI32">
        <v>0</v>
      </c>
      <c r="EJ32">
        <v>0</v>
      </c>
      <c r="EK32" s="10">
        <v>45470</v>
      </c>
      <c r="EL32" s="15">
        <v>20.059999999999999</v>
      </c>
      <c r="EM32" s="15">
        <v>20</v>
      </c>
      <c r="EN32" s="15">
        <v>20.04</v>
      </c>
      <c r="EO32" s="15">
        <v>20.04</v>
      </c>
      <c r="EP32" s="15">
        <v>-10.47</v>
      </c>
    </row>
    <row r="33" spans="1:146" ht="108" x14ac:dyDescent="0.25">
      <c r="A33" s="7"/>
      <c r="B33" s="7"/>
      <c r="C33" s="7" t="str">
        <f>""&amp;CHAR(10)&amp;Basic_Fundamental_Information_Constructure(F33)&amp;CHAR(10)&amp;Basic_Fundamental_Information_Concatenate("")</f>
        <v xml:space="preserve">
市值16.971638亿, 利润185.48万; PE; 平均PE-7.63; 平均PEG-.2, PB4; ROIC0%; ROE-130.06%; 股利率0%; 毛利17.8833%; 净利-150.5667%; 上一年度营收增-80.87%, 利润增101.52%; 当季营收增-52.65%, 利润增108.28%; 过往5年营收增-37.86%, 利润增-1242.02%
Income profile:
</v>
      </c>
      <c r="D33" t="s">
        <v>456</v>
      </c>
      <c r="E33" t="s">
        <v>457</v>
      </c>
      <c r="F33">
        <v>4.38</v>
      </c>
      <c r="G33">
        <v>4.53</v>
      </c>
      <c r="H33" t="s">
        <v>1968</v>
      </c>
      <c r="I33">
        <v>1697163800</v>
      </c>
      <c r="K33">
        <v>4</v>
      </c>
      <c r="L33" t="s">
        <v>303</v>
      </c>
      <c r="M33" t="s">
        <v>796</v>
      </c>
      <c r="N33" t="s">
        <v>279</v>
      </c>
      <c r="O33" t="s">
        <v>1969</v>
      </c>
      <c r="P33">
        <v>-14.86</v>
      </c>
      <c r="Q33" t="s">
        <v>1969</v>
      </c>
      <c r="R33">
        <v>1854825</v>
      </c>
      <c r="S33" s="5">
        <v>1.2789999999999999</v>
      </c>
      <c r="T33" t="s">
        <v>1970</v>
      </c>
      <c r="U33">
        <v>296085270</v>
      </c>
      <c r="V33">
        <v>387480310</v>
      </c>
      <c r="W33">
        <v>1.62</v>
      </c>
      <c r="X33">
        <v>0.03</v>
      </c>
      <c r="Y33">
        <v>7.81</v>
      </c>
      <c r="Z33" t="s">
        <v>1971</v>
      </c>
      <c r="AA33" t="s">
        <v>1972</v>
      </c>
      <c r="AB33" t="s">
        <v>1973</v>
      </c>
      <c r="AC33" t="s">
        <v>1974</v>
      </c>
      <c r="AD33" t="s">
        <v>5</v>
      </c>
      <c r="AE33">
        <v>2309164</v>
      </c>
      <c r="AF33" t="s">
        <v>21</v>
      </c>
      <c r="AG33" t="s">
        <v>1975</v>
      </c>
      <c r="AH33" t="s">
        <v>1976</v>
      </c>
      <c r="AI33" t="s">
        <v>66</v>
      </c>
      <c r="AJ33" t="s">
        <v>1977</v>
      </c>
      <c r="AK33" t="s">
        <v>1978</v>
      </c>
      <c r="AL33" t="s">
        <v>1979</v>
      </c>
      <c r="AM33" t="s">
        <v>5</v>
      </c>
      <c r="AN33">
        <v>0</v>
      </c>
      <c r="AO33" t="s">
        <v>1980</v>
      </c>
      <c r="AP33" t="s">
        <v>5</v>
      </c>
      <c r="AQ33" t="s">
        <v>1981</v>
      </c>
      <c r="AR33" t="s">
        <v>5</v>
      </c>
      <c r="AS33" t="s">
        <v>119</v>
      </c>
      <c r="AT33" t="s">
        <v>5</v>
      </c>
      <c r="AU33" t="s">
        <v>1982</v>
      </c>
      <c r="AV33">
        <v>100</v>
      </c>
      <c r="AW33" t="s">
        <v>1983</v>
      </c>
      <c r="AX33" t="s">
        <v>890</v>
      </c>
      <c r="AY33" t="s">
        <v>64</v>
      </c>
      <c r="AZ33" t="s">
        <v>279</v>
      </c>
      <c r="BA33" t="s">
        <v>168</v>
      </c>
      <c r="BB33" t="s">
        <v>185</v>
      </c>
      <c r="BC33" t="s">
        <v>928</v>
      </c>
      <c r="BD33" t="s">
        <v>653</v>
      </c>
      <c r="BE33" t="s">
        <v>458</v>
      </c>
      <c r="BF33" t="s">
        <v>459</v>
      </c>
      <c r="BG33" t="s">
        <v>460</v>
      </c>
      <c r="BH33" t="s">
        <v>182</v>
      </c>
      <c r="BI33" t="s">
        <v>1129</v>
      </c>
      <c r="BJ33" t="s">
        <v>890</v>
      </c>
      <c r="BK33" t="s">
        <v>1984</v>
      </c>
      <c r="BL33" t="s">
        <v>1130</v>
      </c>
      <c r="BM33" t="s">
        <v>928</v>
      </c>
      <c r="BN33" t="s">
        <v>5</v>
      </c>
      <c r="BO33" t="s">
        <v>5</v>
      </c>
      <c r="BP33" t="s">
        <v>5</v>
      </c>
      <c r="BQ33" t="s">
        <v>5</v>
      </c>
      <c r="BR33">
        <v>-120.17</v>
      </c>
      <c r="BS33">
        <v>-139.94999999999999</v>
      </c>
      <c r="BT33" t="s">
        <v>873</v>
      </c>
      <c r="BU33" t="s">
        <v>1547</v>
      </c>
      <c r="BV33">
        <v>15.18</v>
      </c>
      <c r="BW33">
        <v>25.58</v>
      </c>
      <c r="BX33">
        <v>12.89</v>
      </c>
      <c r="BY33">
        <v>-95.74</v>
      </c>
      <c r="BZ33">
        <v>-98</v>
      </c>
      <c r="CA33">
        <v>-257.95999999999998</v>
      </c>
      <c r="CB33">
        <v>4.53</v>
      </c>
      <c r="CC33">
        <v>-3.31</v>
      </c>
      <c r="CD33" t="s">
        <v>1985</v>
      </c>
      <c r="CE33" t="s">
        <v>642</v>
      </c>
      <c r="CF33" s="11">
        <v>-0.52649310628377999</v>
      </c>
      <c r="CG33" s="12">
        <v>1.0827592438080875</v>
      </c>
      <c r="CH33" s="11">
        <v>-0.80867421627044678</v>
      </c>
      <c r="CI33" s="11">
        <v>-0.57534247636795044</v>
      </c>
      <c r="CJ33" s="11">
        <v>-0.31132075190544128</v>
      </c>
      <c r="CK33" s="11">
        <v>-0.17669902741909027</v>
      </c>
      <c r="CL33" s="11">
        <v>-2.0912546664476395E-2</v>
      </c>
      <c r="CM33" s="12">
        <v>1.0152032375335693</v>
      </c>
      <c r="CN33" s="12">
        <v>0.8381962776184082</v>
      </c>
      <c r="CO33" s="12">
        <v>-16.806333541870117</v>
      </c>
      <c r="CP33" s="12">
        <v>1.0919121503829956</v>
      </c>
      <c r="CQ33" s="12">
        <v>-48.239795684814453</v>
      </c>
      <c r="CR33">
        <v>-7.6308102408449043</v>
      </c>
      <c r="CS33">
        <v>-0.20155878911039229</v>
      </c>
      <c r="CT33">
        <v>0</v>
      </c>
      <c r="CU33" s="11">
        <v>-0.37858980372548101</v>
      </c>
      <c r="CV33" s="12">
        <v>-12.420163512229919</v>
      </c>
      <c r="CW33">
        <v>0.06</v>
      </c>
      <c r="CX33">
        <v>921.48145352598658</v>
      </c>
      <c r="CY33" t="s">
        <v>1986</v>
      </c>
      <c r="CZ33">
        <v>-0.37858980372548101</v>
      </c>
      <c r="DA33">
        <v>307.16048450866219</v>
      </c>
      <c r="DB33" t="s">
        <v>1987</v>
      </c>
      <c r="DC33">
        <v>-0.35966031353920697</v>
      </c>
      <c r="DD33">
        <v>153.5802422543311</v>
      </c>
      <c r="DE33" t="s">
        <v>1988</v>
      </c>
      <c r="DF33">
        <v>-0.33315902727842328</v>
      </c>
      <c r="DG33">
        <v>92.148145352598661</v>
      </c>
      <c r="DH33" t="s">
        <v>1989</v>
      </c>
      <c r="DI33">
        <v>-0.30287184298038483</v>
      </c>
      <c r="DJ33">
        <v>46.07407267629933</v>
      </c>
      <c r="DK33" t="s">
        <v>1990</v>
      </c>
      <c r="DL33">
        <v>-0.26501286260783669</v>
      </c>
      <c r="DM33">
        <v>1854800</v>
      </c>
      <c r="DN33">
        <v>-0.37858980372548101</v>
      </c>
      <c r="DO33">
        <v>1709163800</v>
      </c>
      <c r="DP33">
        <v>229786690</v>
      </c>
      <c r="DQ33">
        <v>1920</v>
      </c>
      <c r="DR33">
        <v>-0.14790330255829898</v>
      </c>
      <c r="DS33">
        <v>13.502922756038007</v>
      </c>
      <c r="DT33" s="13">
        <v>-1.1733333333333333</v>
      </c>
      <c r="DU33">
        <v>-0.25000000000000011</v>
      </c>
      <c r="DV33">
        <v>-1.4233333333333333</v>
      </c>
      <c r="DW33">
        <v>4.7306843267108167</v>
      </c>
      <c r="DX33">
        <v>0.60614427860696374</v>
      </c>
      <c r="DY33">
        <v>4.2017742962889741</v>
      </c>
      <c r="DZ33">
        <v>4388</v>
      </c>
      <c r="EA33">
        <v>4.0285090101605947</v>
      </c>
      <c r="EB33">
        <v>4</v>
      </c>
      <c r="EC33">
        <v>0.14324598842196654</v>
      </c>
      <c r="ED33">
        <v>0.51873603590334683</v>
      </c>
      <c r="EE33" s="14">
        <v>2.0387</v>
      </c>
      <c r="EF33">
        <v>2.0846</v>
      </c>
      <c r="EG33">
        <v>33.276144278606964</v>
      </c>
      <c r="EH33" t="s">
        <v>744</v>
      </c>
      <c r="EI33">
        <v>0</v>
      </c>
      <c r="EJ33">
        <v>0</v>
      </c>
      <c r="EK33" s="10">
        <v>45470</v>
      </c>
      <c r="EL33" s="15">
        <v>-0.73</v>
      </c>
      <c r="EM33" s="15">
        <v>-3.69</v>
      </c>
      <c r="EN33" s="15">
        <v>1.79</v>
      </c>
      <c r="EO33" s="15">
        <v>3.76</v>
      </c>
      <c r="EP33" s="15">
        <v>4.59</v>
      </c>
    </row>
    <row r="34" spans="1:146" ht="108" x14ac:dyDescent="0.25">
      <c r="A34" s="7"/>
      <c r="B34" s="7"/>
      <c r="C34" s="7" t="str">
        <f>""&amp;CHAR(10)&amp;Basic_Fundamental_Information_Constructure(F34)&amp;CHAR(10)&amp;Basic_Fundamental_Information_Concatenate("")</f>
        <v xml:space="preserve">
市值82.543313亿, 利润983.36万; PE90.34; 平均PE78.35; 平均PEG15.49, PB4.58; ROIC4.5167%; ROE4.7%; 股利率.1304%; 毛利21.6233%; 净利7.1967%; 上一年度营收增-84.87%, 利润增-88.61%; 当季营收增-61.07%, 利润增-56.15%; 过往5年营收增-5.06%, 利润增-23.31%
Income profile:
</v>
      </c>
      <c r="D34" t="s">
        <v>461</v>
      </c>
      <c r="E34" t="s">
        <v>950</v>
      </c>
      <c r="F34">
        <v>11.5</v>
      </c>
      <c r="G34">
        <v>2.77</v>
      </c>
      <c r="H34" t="s">
        <v>1991</v>
      </c>
      <c r="I34">
        <v>8254331300</v>
      </c>
      <c r="J34">
        <v>90.34</v>
      </c>
      <c r="K34">
        <v>4.58</v>
      </c>
      <c r="L34" t="s">
        <v>303</v>
      </c>
      <c r="M34" t="s">
        <v>1992</v>
      </c>
      <c r="N34" t="s">
        <v>1993</v>
      </c>
      <c r="O34" t="s">
        <v>777</v>
      </c>
      <c r="P34">
        <v>-2.7</v>
      </c>
      <c r="Q34" t="s">
        <v>777</v>
      </c>
      <c r="R34">
        <v>9833567</v>
      </c>
      <c r="S34" s="5">
        <v>8.5699999999999998E-2</v>
      </c>
      <c r="T34" t="s">
        <v>1994</v>
      </c>
      <c r="U34">
        <v>708622440</v>
      </c>
      <c r="V34">
        <v>717767940</v>
      </c>
      <c r="W34">
        <v>1.81</v>
      </c>
      <c r="X34">
        <v>0.06</v>
      </c>
      <c r="Y34">
        <v>4.82</v>
      </c>
      <c r="Z34" t="s">
        <v>113</v>
      </c>
      <c r="AA34" t="s">
        <v>27</v>
      </c>
      <c r="AB34" t="s">
        <v>1995</v>
      </c>
      <c r="AC34" t="s">
        <v>1996</v>
      </c>
      <c r="AD34" t="s">
        <v>5</v>
      </c>
      <c r="AE34">
        <v>959043</v>
      </c>
      <c r="AF34" t="s">
        <v>21</v>
      </c>
      <c r="AG34" t="s">
        <v>1997</v>
      </c>
      <c r="AH34" t="s">
        <v>1998</v>
      </c>
      <c r="AI34" t="s">
        <v>1218</v>
      </c>
      <c r="AJ34" t="s">
        <v>1999</v>
      </c>
      <c r="AK34" t="s">
        <v>2000</v>
      </c>
      <c r="AL34" t="s">
        <v>2001</v>
      </c>
      <c r="AM34" t="s">
        <v>5</v>
      </c>
      <c r="AN34">
        <v>0</v>
      </c>
      <c r="AO34" t="s">
        <v>155</v>
      </c>
      <c r="AP34" t="s">
        <v>2002</v>
      </c>
      <c r="AQ34" t="s">
        <v>1151</v>
      </c>
      <c r="AR34" t="s">
        <v>5</v>
      </c>
      <c r="AS34" t="s">
        <v>2003</v>
      </c>
      <c r="AT34" t="s">
        <v>5</v>
      </c>
      <c r="AU34" t="s">
        <v>2004</v>
      </c>
      <c r="AV34" t="s">
        <v>2005</v>
      </c>
      <c r="AW34" t="s">
        <v>2006</v>
      </c>
      <c r="AX34" t="s">
        <v>951</v>
      </c>
      <c r="AY34" t="s">
        <v>509</v>
      </c>
      <c r="AZ34" t="s">
        <v>462</v>
      </c>
      <c r="BA34" t="s">
        <v>305</v>
      </c>
      <c r="BB34" t="s">
        <v>277</v>
      </c>
      <c r="BC34" t="s">
        <v>952</v>
      </c>
      <c r="BD34" t="s">
        <v>94</v>
      </c>
      <c r="BE34" t="s">
        <v>60</v>
      </c>
      <c r="BF34" t="s">
        <v>110</v>
      </c>
      <c r="BG34" t="s">
        <v>99</v>
      </c>
      <c r="BH34" t="s">
        <v>2007</v>
      </c>
      <c r="BI34" t="s">
        <v>1132</v>
      </c>
      <c r="BJ34" t="s">
        <v>951</v>
      </c>
      <c r="BK34" t="s">
        <v>2008</v>
      </c>
      <c r="BL34" t="s">
        <v>1133</v>
      </c>
      <c r="BM34" t="s">
        <v>952</v>
      </c>
      <c r="BN34">
        <v>1.92</v>
      </c>
      <c r="BO34">
        <v>4.9400000000000004</v>
      </c>
      <c r="BP34">
        <v>6.69</v>
      </c>
      <c r="BQ34">
        <v>1.87</v>
      </c>
      <c r="BR34">
        <v>5.16</v>
      </c>
      <c r="BS34">
        <v>7.07</v>
      </c>
      <c r="BT34" t="s">
        <v>953</v>
      </c>
      <c r="BU34" t="s">
        <v>1296</v>
      </c>
      <c r="BV34">
        <v>20.7</v>
      </c>
      <c r="BW34">
        <v>20.04</v>
      </c>
      <c r="BX34">
        <v>24.13</v>
      </c>
      <c r="BY34">
        <v>6.43</v>
      </c>
      <c r="BZ34">
        <v>6.4</v>
      </c>
      <c r="CA34">
        <v>8.76</v>
      </c>
      <c r="CB34">
        <v>-6.84</v>
      </c>
      <c r="CC34">
        <v>12.91</v>
      </c>
      <c r="CD34" t="s">
        <v>22</v>
      </c>
      <c r="CE34" t="s">
        <v>2009</v>
      </c>
      <c r="CF34" s="11">
        <v>-0.61068702290076338</v>
      </c>
      <c r="CG34" s="12">
        <v>-0.56148892525719174</v>
      </c>
      <c r="CH34" s="11">
        <v>-0.84866470098495483</v>
      </c>
      <c r="CI34" s="11">
        <v>4.6583849936723709E-2</v>
      </c>
      <c r="CJ34" s="11">
        <v>0.13480170071125031</v>
      </c>
      <c r="CK34" s="11">
        <v>0.22306041419506073</v>
      </c>
      <c r="CL34" s="11">
        <v>0.1912708580493927</v>
      </c>
      <c r="CM34" s="12">
        <v>-0.88605433702468872</v>
      </c>
      <c r="CN34" s="12">
        <v>-0.23627610504627228</v>
      </c>
      <c r="CO34" s="12">
        <v>-0.2709677517414093</v>
      </c>
      <c r="CP34" s="12">
        <v>8.3916082978248596E-2</v>
      </c>
      <c r="CQ34" s="12">
        <v>0.14399999380111694</v>
      </c>
      <c r="CR34">
        <v>78.347243560863006</v>
      </c>
      <c r="CS34">
        <v>15.486835499802824</v>
      </c>
      <c r="CT34">
        <v>0.13043478260869565</v>
      </c>
      <c r="CU34" s="11">
        <v>-5.0589575618505481E-2</v>
      </c>
      <c r="CV34" s="12">
        <v>-0.23307642340660095</v>
      </c>
      <c r="CW34">
        <v>0.06</v>
      </c>
      <c r="CX34">
        <v>807.1643446957371</v>
      </c>
      <c r="CY34" t="s">
        <v>2010</v>
      </c>
      <c r="CZ34">
        <v>-5.0589575618505481E-2</v>
      </c>
      <c r="DA34">
        <v>269.05478156524566</v>
      </c>
      <c r="DB34" t="s">
        <v>2011</v>
      </c>
      <c r="DC34">
        <v>-4.8060096837580203E-2</v>
      </c>
      <c r="DD34">
        <v>134.52739078262283</v>
      </c>
      <c r="DE34" t="s">
        <v>2012</v>
      </c>
      <c r="DF34">
        <v>-4.4518826544284823E-2</v>
      </c>
      <c r="DG34">
        <v>80.716434469573713</v>
      </c>
      <c r="DH34" t="s">
        <v>2013</v>
      </c>
      <c r="DI34">
        <v>-4.0471660494804385E-2</v>
      </c>
      <c r="DJ34">
        <v>40.358217234786856</v>
      </c>
      <c r="DK34" t="s">
        <v>2014</v>
      </c>
      <c r="DL34">
        <v>-3.5412702932953836E-2</v>
      </c>
      <c r="DM34">
        <v>9833600</v>
      </c>
      <c r="DN34">
        <v>-5.0589575618505481E-2</v>
      </c>
      <c r="DO34">
        <v>7937331300</v>
      </c>
      <c r="DP34">
        <v>1210287300</v>
      </c>
      <c r="DQ34">
        <v>1926</v>
      </c>
      <c r="DR34">
        <v>-0.56009744728225785</v>
      </c>
      <c r="DS34">
        <v>-0.32841250185059079</v>
      </c>
      <c r="DT34" s="13">
        <v>-0.55666666666666675</v>
      </c>
      <c r="DU34">
        <v>-0.83666666666666678</v>
      </c>
      <c r="DV34">
        <v>-1.3933333333333335</v>
      </c>
      <c r="DW34">
        <v>-7.3463291139240505</v>
      </c>
      <c r="DX34">
        <v>0.34596928982725572</v>
      </c>
      <c r="DY34">
        <v>-7.0332369591097939</v>
      </c>
      <c r="DZ34">
        <v>2894</v>
      </c>
      <c r="EA34">
        <v>-7.0144135227763806</v>
      </c>
      <c r="EB34">
        <v>7</v>
      </c>
      <c r="EC34">
        <v>0.13932079496334149</v>
      </c>
      <c r="ED34">
        <v>1.4517226835180184</v>
      </c>
      <c r="EE34" s="14">
        <v>-1.03911</v>
      </c>
      <c r="EF34">
        <v>-1.0682100000000001</v>
      </c>
      <c r="EG34">
        <v>25.095969289827256</v>
      </c>
      <c r="EH34" t="s">
        <v>753</v>
      </c>
      <c r="EI34">
        <v>0</v>
      </c>
      <c r="EJ34">
        <v>0</v>
      </c>
      <c r="EK34" s="10">
        <v>45470</v>
      </c>
      <c r="EL34" s="15">
        <v>0.93</v>
      </c>
      <c r="EM34" s="15">
        <v>-3.61</v>
      </c>
      <c r="EN34" s="15">
        <v>0.17</v>
      </c>
      <c r="EO34" s="15">
        <v>4.6100000000000003</v>
      </c>
      <c r="EP34" s="15">
        <v>-2.91</v>
      </c>
    </row>
    <row r="35" spans="1:146" ht="108" x14ac:dyDescent="0.25">
      <c r="A35" s="7"/>
      <c r="B35" s="7"/>
      <c r="C35" s="7" t="str">
        <f>""&amp;CHAR(10)&amp;Basic_Fundamental_Information_Constructure(F35)&amp;CHAR(10)&amp;Basic_Fundamental_Information_Concatenate("")</f>
        <v xml:space="preserve">
市值17.687261亿, 利润-1864.52万; PE; 平均PE34.26; 平均PEG.55, PB1.25; ROIC3.67%; ROE-2.88%; 股利率0%; 毛利28.0567%; 净利-6.1567%; 上一年度营收增-74.2%, 利润增-130.69%; 当季营收增-49.05%, 利润增-1387.45%; 过往5年营收增62.13%, 利润增21.68%
Income profile:
</v>
      </c>
      <c r="D35" t="s">
        <v>463</v>
      </c>
      <c r="E35" t="s">
        <v>464</v>
      </c>
      <c r="F35">
        <v>9.76</v>
      </c>
      <c r="G35">
        <v>-7.14</v>
      </c>
      <c r="H35" t="s">
        <v>2015</v>
      </c>
      <c r="I35">
        <v>1768726100</v>
      </c>
      <c r="K35">
        <v>1.25</v>
      </c>
      <c r="L35" t="s">
        <v>303</v>
      </c>
      <c r="M35" t="s">
        <v>2016</v>
      </c>
      <c r="N35" t="s">
        <v>1169</v>
      </c>
      <c r="O35" t="s">
        <v>116</v>
      </c>
      <c r="P35">
        <v>-12.29</v>
      </c>
      <c r="Q35" t="s">
        <v>116</v>
      </c>
      <c r="R35">
        <v>-18645235</v>
      </c>
      <c r="S35" s="5">
        <v>-8.9109999999999996</v>
      </c>
      <c r="T35" t="s">
        <v>2017</v>
      </c>
      <c r="U35">
        <v>136734410</v>
      </c>
      <c r="V35">
        <v>181221940</v>
      </c>
      <c r="W35">
        <v>1.45</v>
      </c>
      <c r="X35">
        <v>7.0000000000000007E-2</v>
      </c>
      <c r="Y35">
        <v>-11.33</v>
      </c>
      <c r="Z35" t="s">
        <v>81</v>
      </c>
      <c r="AA35" t="s">
        <v>99</v>
      </c>
      <c r="AB35" t="s">
        <v>2018</v>
      </c>
      <c r="AC35" t="s">
        <v>2019</v>
      </c>
      <c r="AD35" t="s">
        <v>5</v>
      </c>
      <c r="AE35">
        <v>-601766</v>
      </c>
      <c r="AF35" t="s">
        <v>2020</v>
      </c>
      <c r="AG35" t="s">
        <v>2021</v>
      </c>
      <c r="AH35" t="s">
        <v>2022</v>
      </c>
      <c r="AI35" t="s">
        <v>1115</v>
      </c>
      <c r="AJ35" t="s">
        <v>2023</v>
      </c>
      <c r="AK35" t="s">
        <v>2024</v>
      </c>
      <c r="AL35" t="s">
        <v>2025</v>
      </c>
      <c r="AM35" t="s">
        <v>5</v>
      </c>
      <c r="AN35" t="s">
        <v>51</v>
      </c>
      <c r="AO35" t="s">
        <v>1103</v>
      </c>
      <c r="AP35" t="s">
        <v>2026</v>
      </c>
      <c r="AQ35" t="s">
        <v>48</v>
      </c>
      <c r="AR35" t="s">
        <v>2027</v>
      </c>
      <c r="AS35" t="s">
        <v>1269</v>
      </c>
      <c r="AT35" t="s">
        <v>5</v>
      </c>
      <c r="AU35" t="s">
        <v>2028</v>
      </c>
      <c r="AV35" t="s">
        <v>72</v>
      </c>
      <c r="AW35" t="s">
        <v>2029</v>
      </c>
      <c r="AX35" t="s">
        <v>954</v>
      </c>
      <c r="AY35" t="s">
        <v>244</v>
      </c>
      <c r="AZ35" t="s">
        <v>208</v>
      </c>
      <c r="BA35" t="s">
        <v>341</v>
      </c>
      <c r="BB35" t="s">
        <v>78</v>
      </c>
      <c r="BC35" t="s">
        <v>955</v>
      </c>
      <c r="BD35" t="s">
        <v>1134</v>
      </c>
      <c r="BE35" t="s">
        <v>98</v>
      </c>
      <c r="BF35" t="s">
        <v>38</v>
      </c>
      <c r="BG35" t="s">
        <v>465</v>
      </c>
      <c r="BH35" t="s">
        <v>2030</v>
      </c>
      <c r="BI35" t="s">
        <v>1112</v>
      </c>
      <c r="BJ35" t="s">
        <v>954</v>
      </c>
      <c r="BK35" t="s">
        <v>2031</v>
      </c>
      <c r="BL35" t="s">
        <v>1135</v>
      </c>
      <c r="BM35" t="s">
        <v>955</v>
      </c>
      <c r="BN35" t="s">
        <v>5</v>
      </c>
      <c r="BO35">
        <v>3.67</v>
      </c>
      <c r="BP35" t="s">
        <v>5</v>
      </c>
      <c r="BQ35">
        <v>-0.87</v>
      </c>
      <c r="BR35">
        <v>3.98</v>
      </c>
      <c r="BS35">
        <v>-11.75</v>
      </c>
      <c r="BT35" t="s">
        <v>873</v>
      </c>
      <c r="BU35" t="s">
        <v>1296</v>
      </c>
      <c r="BV35">
        <v>31.35</v>
      </c>
      <c r="BW35">
        <v>25.37</v>
      </c>
      <c r="BX35">
        <v>27.45</v>
      </c>
      <c r="BY35">
        <v>-0.7</v>
      </c>
      <c r="BZ35">
        <v>9.67</v>
      </c>
      <c r="CA35">
        <v>-27.44</v>
      </c>
      <c r="CB35">
        <v>-15.64</v>
      </c>
      <c r="CC35">
        <v>27.25</v>
      </c>
      <c r="CD35" t="s">
        <v>1080</v>
      </c>
      <c r="CE35" t="s">
        <v>1037</v>
      </c>
      <c r="CF35" s="11">
        <v>-0.49050632911392406</v>
      </c>
      <c r="CG35" s="12">
        <v>-13.874539289988034</v>
      </c>
      <c r="CH35" s="11">
        <v>-0.74198716878890991</v>
      </c>
      <c r="CI35" s="11">
        <v>5.0505049526691437E-2</v>
      </c>
      <c r="CJ35" s="11">
        <v>-0.52480000257492065</v>
      </c>
      <c r="CK35" s="11">
        <v>-0.1319444477558136</v>
      </c>
      <c r="CL35" s="11">
        <v>4.4545454978942871</v>
      </c>
      <c r="CM35" s="12">
        <v>-1.3068668842315674</v>
      </c>
      <c r="CN35" s="12">
        <v>1.3727601766586304</v>
      </c>
      <c r="CO35" s="12">
        <v>-2.5980391502380371</v>
      </c>
      <c r="CP35" s="12">
        <v>-0.63043481111526489</v>
      </c>
      <c r="CQ35" s="12">
        <v>4.2463903427124023</v>
      </c>
      <c r="CR35">
        <v>34.264102391077422</v>
      </c>
      <c r="CS35">
        <v>0.55152260894560612</v>
      </c>
      <c r="CT35">
        <v>0</v>
      </c>
      <c r="CU35" s="11">
        <v>0.62126378566026685</v>
      </c>
      <c r="CV35" s="12">
        <v>0.21676193475723265</v>
      </c>
      <c r="CW35">
        <v>0.06</v>
      </c>
      <c r="CX35" t="e">
        <v>#VALUE!</v>
      </c>
      <c r="CY35" t="s">
        <v>740</v>
      </c>
      <c r="CZ35">
        <v>0.62126378566026685</v>
      </c>
      <c r="DA35" t="e">
        <v>#VALUE!</v>
      </c>
      <c r="DB35" t="s">
        <v>741</v>
      </c>
      <c r="DC35">
        <v>0.59020059637725353</v>
      </c>
      <c r="DD35" t="e">
        <v>#VALUE!</v>
      </c>
      <c r="DE35" t="s">
        <v>741</v>
      </c>
      <c r="DF35">
        <v>0.5467121313810348</v>
      </c>
      <c r="DG35" t="e">
        <v>#VALUE!</v>
      </c>
      <c r="DH35" t="s">
        <v>741</v>
      </c>
      <c r="DI35">
        <v>0.49701102852821349</v>
      </c>
      <c r="DJ35" t="e">
        <v>#VALUE!</v>
      </c>
      <c r="DK35" t="s">
        <v>741</v>
      </c>
      <c r="DL35">
        <v>0.43488464996218679</v>
      </c>
      <c r="DM35">
        <v>-18645200</v>
      </c>
      <c r="DN35">
        <v>0.62126378566026685</v>
      </c>
      <c r="DO35">
        <v>1002726100</v>
      </c>
      <c r="DP35">
        <v>1148337500</v>
      </c>
      <c r="DQ35">
        <v>1933</v>
      </c>
      <c r="DR35">
        <v>-1.111770114774191</v>
      </c>
      <c r="DS35">
        <v>-14.091301224745267</v>
      </c>
      <c r="DT35" s="13">
        <v>-0.45333333333333342</v>
      </c>
      <c r="DU35">
        <v>-1.9016666666666671</v>
      </c>
      <c r="DV35">
        <v>-2.3550000000000004</v>
      </c>
      <c r="DW35">
        <v>-7.3646537654464908</v>
      </c>
      <c r="DX35">
        <v>0.43809248554913394</v>
      </c>
      <c r="DY35">
        <v>-7.0758817084166106</v>
      </c>
      <c r="DZ35">
        <v>4383</v>
      </c>
      <c r="EA35">
        <v>-7.0107956951113257</v>
      </c>
      <c r="EB35">
        <v>7</v>
      </c>
      <c r="EC35">
        <v>0.99325721819333801</v>
      </c>
      <c r="ED35">
        <v>4.7731527429846521</v>
      </c>
      <c r="EE35" s="14">
        <v>4.0995100000000004</v>
      </c>
      <c r="EF35">
        <v>3.03851</v>
      </c>
      <c r="EG35">
        <v>23.208092485549134</v>
      </c>
      <c r="EH35" t="s">
        <v>742</v>
      </c>
      <c r="EI35">
        <v>0</v>
      </c>
      <c r="EJ35">
        <v>0</v>
      </c>
      <c r="EK35" s="10">
        <v>45470</v>
      </c>
      <c r="EL35" s="15">
        <v>-1.52</v>
      </c>
      <c r="EM35" s="15">
        <v>0</v>
      </c>
      <c r="EN35" s="15">
        <v>-14.67</v>
      </c>
      <c r="EO35" s="15">
        <v>2.56</v>
      </c>
      <c r="EP35" s="15">
        <v>-8.9</v>
      </c>
    </row>
    <row r="36" spans="1:146" ht="96" x14ac:dyDescent="0.25">
      <c r="A36" s="7"/>
      <c r="B36" s="7"/>
      <c r="C36" s="7" t="str">
        <f>""&amp;CHAR(10)&amp;Basic_Fundamental_Information_Constructure(F36)&amp;CHAR(10)&amp;Basic_Fundamental_Information_Concatenate("")</f>
        <v xml:space="preserve">
市值29.299977亿, 利润-4063.71万; PE; 平均PE-61.78; 平均PEG-3.17, PB5.93; ROIC0%; ROE-17.9267%; 股利率0%; 毛利33.21%; 净利-32.46%; 上一年度营收增-94.7%, 利润增64.97%; 当季营收增-86.76%, 利润增-88.79%; 过往5年营收增-19.5%, 利润增-472.88%
Income profile:
</v>
      </c>
      <c r="D36" t="s">
        <v>466</v>
      </c>
      <c r="E36" t="s">
        <v>467</v>
      </c>
      <c r="F36">
        <v>14.87</v>
      </c>
      <c r="G36">
        <v>1.1599999999999999</v>
      </c>
      <c r="H36" t="s">
        <v>2032</v>
      </c>
      <c r="I36">
        <v>2929997700</v>
      </c>
      <c r="K36">
        <v>5.93</v>
      </c>
      <c r="L36" t="s">
        <v>303</v>
      </c>
      <c r="M36" t="s">
        <v>1187</v>
      </c>
      <c r="N36" t="s">
        <v>1208</v>
      </c>
      <c r="O36" t="s">
        <v>2033</v>
      </c>
      <c r="P36">
        <v>-79.09</v>
      </c>
      <c r="Q36" t="s">
        <v>2033</v>
      </c>
      <c r="R36">
        <v>-40637113</v>
      </c>
      <c r="S36" s="5">
        <v>-108.71</v>
      </c>
      <c r="T36" t="s">
        <v>2034</v>
      </c>
      <c r="U36">
        <v>197040870</v>
      </c>
      <c r="V36">
        <v>197040870</v>
      </c>
      <c r="W36">
        <v>2.42</v>
      </c>
      <c r="X36">
        <v>0.02</v>
      </c>
      <c r="Y36">
        <v>-214.06</v>
      </c>
      <c r="Z36" t="s">
        <v>2035</v>
      </c>
      <c r="AA36" t="s">
        <v>2036</v>
      </c>
      <c r="AB36" t="s">
        <v>2037</v>
      </c>
      <c r="AC36" t="s">
        <v>2038</v>
      </c>
      <c r="AD36" t="s">
        <v>5</v>
      </c>
      <c r="AE36">
        <v>283129</v>
      </c>
      <c r="AF36" t="s">
        <v>2039</v>
      </c>
      <c r="AG36" t="s">
        <v>2040</v>
      </c>
      <c r="AH36" t="s">
        <v>2041</v>
      </c>
      <c r="AI36" t="s">
        <v>132</v>
      </c>
      <c r="AJ36" t="s">
        <v>2042</v>
      </c>
      <c r="AK36" t="s">
        <v>2043</v>
      </c>
      <c r="AL36" t="s">
        <v>2044</v>
      </c>
      <c r="AM36" t="s">
        <v>5</v>
      </c>
      <c r="AN36">
        <v>0</v>
      </c>
      <c r="AO36" t="s">
        <v>2045</v>
      </c>
      <c r="AP36" t="s">
        <v>2046</v>
      </c>
      <c r="AQ36" t="s">
        <v>29</v>
      </c>
      <c r="AR36" t="s">
        <v>2047</v>
      </c>
      <c r="AS36" t="s">
        <v>2048</v>
      </c>
      <c r="AT36" t="s">
        <v>5</v>
      </c>
      <c r="AU36" t="s">
        <v>2049</v>
      </c>
      <c r="AV36" t="s">
        <v>2050</v>
      </c>
      <c r="AW36" t="s">
        <v>2051</v>
      </c>
      <c r="AX36" t="s">
        <v>192</v>
      </c>
      <c r="AY36" t="s">
        <v>629</v>
      </c>
      <c r="AZ36" t="s">
        <v>31</v>
      </c>
      <c r="BA36" t="s">
        <v>34</v>
      </c>
      <c r="BB36" t="s">
        <v>30</v>
      </c>
      <c r="BC36" t="s">
        <v>236</v>
      </c>
      <c r="BD36" t="s">
        <v>654</v>
      </c>
      <c r="BE36" t="s">
        <v>468</v>
      </c>
      <c r="BF36" t="s">
        <v>469</v>
      </c>
      <c r="BG36" t="s">
        <v>470</v>
      </c>
      <c r="BH36" t="s">
        <v>107</v>
      </c>
      <c r="BI36" t="s">
        <v>151</v>
      </c>
      <c r="BJ36" t="s">
        <v>192</v>
      </c>
      <c r="BK36" t="s">
        <v>2052</v>
      </c>
      <c r="BL36" t="s">
        <v>1137</v>
      </c>
      <c r="BM36" t="s">
        <v>236</v>
      </c>
      <c r="BN36" t="s">
        <v>5</v>
      </c>
      <c r="BO36" t="s">
        <v>5</v>
      </c>
      <c r="BP36" t="s">
        <v>5</v>
      </c>
      <c r="BQ36">
        <v>-9.24</v>
      </c>
      <c r="BR36">
        <v>-16.72</v>
      </c>
      <c r="BS36">
        <v>-27.82</v>
      </c>
      <c r="BT36" t="s">
        <v>873</v>
      </c>
      <c r="BU36" t="s">
        <v>1296</v>
      </c>
      <c r="BV36">
        <v>35.94</v>
      </c>
      <c r="BW36">
        <v>33.25</v>
      </c>
      <c r="BX36">
        <v>30.44</v>
      </c>
      <c r="BY36">
        <v>-17.940000000000001</v>
      </c>
      <c r="BZ36">
        <v>-31.25</v>
      </c>
      <c r="CA36">
        <v>-48.19</v>
      </c>
      <c r="CB36">
        <v>-1.39</v>
      </c>
      <c r="CC36">
        <v>-0.34</v>
      </c>
      <c r="CD36" t="s">
        <v>2053</v>
      </c>
      <c r="CE36" t="s">
        <v>1212</v>
      </c>
      <c r="CF36" s="11">
        <v>-0.86759473684210531</v>
      </c>
      <c r="CG36" s="12">
        <v>-0.88792058462796397</v>
      </c>
      <c r="CH36" s="11">
        <v>-0.94703787565231323</v>
      </c>
      <c r="CI36" s="11">
        <v>3.8251366466283798E-2</v>
      </c>
      <c r="CJ36" s="11">
        <v>-2.6595745235681534E-2</v>
      </c>
      <c r="CK36" s="11">
        <v>-0.20000000298023224</v>
      </c>
      <c r="CL36" s="11">
        <v>0.16049382090568542</v>
      </c>
      <c r="CM36" s="12">
        <v>0.64968013763427734</v>
      </c>
      <c r="CN36" s="12">
        <v>0.2969697117805481</v>
      </c>
      <c r="CO36" s="12">
        <v>-24.860136032104492</v>
      </c>
      <c r="CP36" s="12">
        <v>-0.65142196416854858</v>
      </c>
      <c r="CQ36" s="12">
        <v>0.92091172933578491</v>
      </c>
      <c r="CR36">
        <v>-61.78051803602461</v>
      </c>
      <c r="CS36">
        <v>-3.1685942577215993</v>
      </c>
      <c r="CT36">
        <v>0</v>
      </c>
      <c r="CU36" s="11">
        <v>-0.19497768729925155</v>
      </c>
      <c r="CV36" s="12">
        <v>-4.7287992835044861</v>
      </c>
      <c r="CW36">
        <v>0.06</v>
      </c>
      <c r="CX36" t="e">
        <v>#VALUE!</v>
      </c>
      <c r="CY36" t="s">
        <v>740</v>
      </c>
      <c r="CZ36">
        <v>-0.19497768729925155</v>
      </c>
      <c r="DA36" t="e">
        <v>#VALUE!</v>
      </c>
      <c r="DB36" t="s">
        <v>741</v>
      </c>
      <c r="DC36">
        <v>-0.18522880293428898</v>
      </c>
      <c r="DD36" t="e">
        <v>#VALUE!</v>
      </c>
      <c r="DE36" t="s">
        <v>741</v>
      </c>
      <c r="DF36">
        <v>-0.17158036482334135</v>
      </c>
      <c r="DG36" t="e">
        <v>#VALUE!</v>
      </c>
      <c r="DH36" t="s">
        <v>741</v>
      </c>
      <c r="DI36">
        <v>-0.15598214983940126</v>
      </c>
      <c r="DJ36" t="e">
        <v>#VALUE!</v>
      </c>
      <c r="DK36" t="s">
        <v>741</v>
      </c>
      <c r="DL36">
        <v>-0.13648438110947608</v>
      </c>
      <c r="DM36">
        <v>-40637100</v>
      </c>
      <c r="DN36">
        <v>-0.19497768729925155</v>
      </c>
      <c r="DO36">
        <v>3200997700</v>
      </c>
      <c r="DP36">
        <v>370780150</v>
      </c>
      <c r="DQ36">
        <v>1950</v>
      </c>
      <c r="DR36">
        <v>-0.67261704954285373</v>
      </c>
      <c r="DS36">
        <v>3.840878698876522</v>
      </c>
      <c r="DT36" s="13">
        <v>-0.79</v>
      </c>
      <c r="DU36">
        <v>-1.9650000000000001</v>
      </c>
      <c r="DV36">
        <v>-2.7549999999999999</v>
      </c>
      <c r="DW36">
        <v>-3.4000000000000002E-3</v>
      </c>
      <c r="DX36">
        <v>0.41872058823529584</v>
      </c>
      <c r="DY36">
        <v>-8.1165000000000013E-4</v>
      </c>
      <c r="DZ36">
        <v>4727</v>
      </c>
      <c r="EA36">
        <v>-6.0834041095890424E-5</v>
      </c>
      <c r="EB36">
        <v>0</v>
      </c>
      <c r="EC36">
        <v>0.20595980925175575</v>
      </c>
      <c r="ED36">
        <v>0.86276517150984966</v>
      </c>
      <c r="EE36" s="14">
        <v>-2.121</v>
      </c>
      <c r="EF36">
        <v>-2.0529999999999999</v>
      </c>
      <c r="EG36">
        <v>18.238720588235296</v>
      </c>
      <c r="EH36" t="s">
        <v>1119</v>
      </c>
      <c r="EI36">
        <v>0</v>
      </c>
      <c r="EJ36">
        <v>0</v>
      </c>
      <c r="EK36" s="10">
        <v>45470</v>
      </c>
      <c r="EL36" s="15">
        <v>0.92</v>
      </c>
      <c r="EM36" s="15">
        <v>2.52</v>
      </c>
      <c r="EN36" s="15">
        <v>2.6</v>
      </c>
      <c r="EO36" s="15">
        <v>12.65</v>
      </c>
      <c r="EP36" s="15">
        <v>-6.8</v>
      </c>
    </row>
    <row r="37" spans="1:146" ht="108" x14ac:dyDescent="0.25">
      <c r="A37" s="7"/>
      <c r="B37" s="7"/>
      <c r="C37" s="7" t="str">
        <f>""&amp;CHAR(10)&amp;Basic_Fundamental_Information_Constructure(F37)&amp;CHAR(10)&amp;Basic_Fundamental_Information_Concatenate("")</f>
        <v xml:space="preserve">
市值20.487928亿, 利润1544.44万; PE63.15; 平均PE63.8; 平均PEG25.57, PB2.86; ROIC7.7533%; ROE8.5167%; 股利率.4336%; 毛利56.5567%; 净利11.9133%; 上一年度营收增-71.91%, 利润增-69.48%; 当季营收增-50%, 利润增-68.69%; 过往5年营收增2.5%, 利润增60.75%
Income profile:
</v>
      </c>
      <c r="D37" t="s">
        <v>471</v>
      </c>
      <c r="E37" t="s">
        <v>472</v>
      </c>
      <c r="F37">
        <v>18.78</v>
      </c>
      <c r="G37">
        <v>3.36</v>
      </c>
      <c r="H37" t="s">
        <v>2054</v>
      </c>
      <c r="I37">
        <v>2048792800</v>
      </c>
      <c r="J37">
        <v>63.15</v>
      </c>
      <c r="K37">
        <v>2.86</v>
      </c>
      <c r="L37" t="s">
        <v>303</v>
      </c>
      <c r="M37" t="s">
        <v>775</v>
      </c>
      <c r="N37" t="s">
        <v>2055</v>
      </c>
      <c r="O37" t="s">
        <v>61</v>
      </c>
      <c r="P37">
        <v>4.83</v>
      </c>
      <c r="Q37" t="s">
        <v>61</v>
      </c>
      <c r="R37">
        <v>15444381</v>
      </c>
      <c r="S37" s="5">
        <v>-0.31469999999999998</v>
      </c>
      <c r="T37" t="s">
        <v>2056</v>
      </c>
      <c r="U37">
        <v>56782001</v>
      </c>
      <c r="V37">
        <v>109094400</v>
      </c>
      <c r="W37">
        <v>1.24</v>
      </c>
      <c r="X37">
        <v>0.12</v>
      </c>
      <c r="Y37">
        <v>14.07</v>
      </c>
      <c r="Z37" t="s">
        <v>2057</v>
      </c>
      <c r="AA37" t="s">
        <v>2058</v>
      </c>
      <c r="AB37" t="s">
        <v>2059</v>
      </c>
      <c r="AC37" t="s">
        <v>2060</v>
      </c>
      <c r="AD37" t="s">
        <v>5</v>
      </c>
      <c r="AE37">
        <v>-17126</v>
      </c>
      <c r="AF37" t="s">
        <v>2061</v>
      </c>
      <c r="AG37" t="s">
        <v>5</v>
      </c>
      <c r="AH37" t="s">
        <v>2062</v>
      </c>
      <c r="AI37" t="s">
        <v>2063</v>
      </c>
      <c r="AJ37" t="s">
        <v>2064</v>
      </c>
      <c r="AK37" t="s">
        <v>2065</v>
      </c>
      <c r="AL37" t="s">
        <v>2066</v>
      </c>
      <c r="AM37" t="s">
        <v>5</v>
      </c>
      <c r="AN37">
        <v>0</v>
      </c>
      <c r="AO37" t="s">
        <v>2067</v>
      </c>
      <c r="AP37" t="s">
        <v>5</v>
      </c>
      <c r="AQ37" t="s">
        <v>2068</v>
      </c>
      <c r="AR37" t="s">
        <v>5</v>
      </c>
      <c r="AS37" t="s">
        <v>159</v>
      </c>
      <c r="AT37" t="s">
        <v>5</v>
      </c>
      <c r="AU37" t="s">
        <v>2069</v>
      </c>
      <c r="AV37" t="s">
        <v>2070</v>
      </c>
      <c r="AW37" t="s">
        <v>2071</v>
      </c>
      <c r="AX37" t="s">
        <v>788</v>
      </c>
      <c r="AY37" t="s">
        <v>655</v>
      </c>
      <c r="AZ37" t="s">
        <v>70</v>
      </c>
      <c r="BA37" t="s">
        <v>187</v>
      </c>
      <c r="BB37" t="s">
        <v>183</v>
      </c>
      <c r="BC37" t="s">
        <v>957</v>
      </c>
      <c r="BD37" t="s">
        <v>656</v>
      </c>
      <c r="BE37" t="s">
        <v>473</v>
      </c>
      <c r="BF37" t="s">
        <v>474</v>
      </c>
      <c r="BG37" t="s">
        <v>475</v>
      </c>
      <c r="BH37" t="s">
        <v>1161</v>
      </c>
      <c r="BI37" t="s">
        <v>23</v>
      </c>
      <c r="BJ37" t="s">
        <v>788</v>
      </c>
      <c r="BK37" t="s">
        <v>2072</v>
      </c>
      <c r="BL37" t="s">
        <v>1138</v>
      </c>
      <c r="BM37" t="s">
        <v>957</v>
      </c>
      <c r="BN37">
        <v>6.89</v>
      </c>
      <c r="BO37">
        <v>6.99</v>
      </c>
      <c r="BP37">
        <v>9.3800000000000008</v>
      </c>
      <c r="BQ37">
        <v>7.48</v>
      </c>
      <c r="BR37">
        <v>8</v>
      </c>
      <c r="BS37">
        <v>10.07</v>
      </c>
      <c r="BT37" t="s">
        <v>2073</v>
      </c>
      <c r="BU37" t="s">
        <v>1296</v>
      </c>
      <c r="BV37">
        <v>60.14</v>
      </c>
      <c r="BW37">
        <v>55.72</v>
      </c>
      <c r="BX37">
        <v>53.81</v>
      </c>
      <c r="BY37">
        <v>8.89</v>
      </c>
      <c r="BZ37">
        <v>12.65</v>
      </c>
      <c r="CA37">
        <v>14.2</v>
      </c>
      <c r="CB37">
        <v>-3.35</v>
      </c>
      <c r="CC37">
        <v>-8.34</v>
      </c>
      <c r="CD37" t="s">
        <v>2074</v>
      </c>
      <c r="CE37" t="s">
        <v>2075</v>
      </c>
      <c r="CF37" s="11">
        <v>-0.5</v>
      </c>
      <c r="CG37" s="12">
        <v>-0.68691897272061997</v>
      </c>
      <c r="CH37" s="11">
        <v>-0.71907216310501099</v>
      </c>
      <c r="CI37" s="11">
        <v>-6.0532689094543457E-2</v>
      </c>
      <c r="CJ37" s="11">
        <v>0.97607654333114624</v>
      </c>
      <c r="CK37" s="11">
        <v>9.4240836799144745E-2</v>
      </c>
      <c r="CL37" s="11">
        <v>-0.16593886911869049</v>
      </c>
      <c r="CM37" s="12">
        <v>-0.69478738307952881</v>
      </c>
      <c r="CN37" s="12">
        <v>-0.14392465353012085</v>
      </c>
      <c r="CO37" s="12">
        <v>1.0324801206588745</v>
      </c>
      <c r="CP37" s="12">
        <v>-0.55847316980361938</v>
      </c>
      <c r="CQ37" s="12">
        <v>3.4019706249237061</v>
      </c>
      <c r="CR37">
        <v>63.797595748887943</v>
      </c>
      <c r="CS37">
        <v>25.565330197213356</v>
      </c>
      <c r="CT37">
        <v>0.43358040468583597</v>
      </c>
      <c r="CU37" s="11">
        <v>2.495473176240921E-2</v>
      </c>
      <c r="CV37" s="12">
        <v>0.6074531078338623</v>
      </c>
      <c r="CW37">
        <v>0.06</v>
      </c>
      <c r="CX37">
        <v>101.8357314774812</v>
      </c>
      <c r="CY37">
        <v>14933783.82946354</v>
      </c>
      <c r="CZ37">
        <v>2.495473176240921E-2</v>
      </c>
      <c r="DA37">
        <v>35.177296046780143</v>
      </c>
      <c r="DB37">
        <v>43232225.637172066</v>
      </c>
      <c r="DC37">
        <v>2.3706995174288748E-2</v>
      </c>
      <c r="DD37">
        <v>18.614605021161466</v>
      </c>
      <c r="DE37">
        <v>81698902.462401509</v>
      </c>
      <c r="DF37">
        <v>2.1960163950920104E-2</v>
      </c>
      <c r="DG37">
        <v>12.095192642866778</v>
      </c>
      <c r="DH37">
        <v>125735310.29263085</v>
      </c>
      <c r="DI37">
        <v>1.9963785409927368E-2</v>
      </c>
      <c r="DJ37">
        <v>7.3615632917360188</v>
      </c>
      <c r="DK37">
        <v>206585576.96667764</v>
      </c>
      <c r="DL37">
        <v>1.7468312233686445E-2</v>
      </c>
      <c r="DM37">
        <v>15444400</v>
      </c>
      <c r="DN37">
        <v>2.495473176240921E-2</v>
      </c>
      <c r="DO37">
        <v>1520792800</v>
      </c>
      <c r="DP37">
        <v>243866990</v>
      </c>
      <c r="DQ37">
        <v>1979</v>
      </c>
      <c r="DR37">
        <v>-0.52495473176240925</v>
      </c>
      <c r="DS37">
        <v>-1.2943720805544823</v>
      </c>
      <c r="DT37" s="13">
        <v>-0.60666666666666669</v>
      </c>
      <c r="DU37">
        <v>-0.14166666666666669</v>
      </c>
      <c r="DV37">
        <v>-0.74833333333333341</v>
      </c>
      <c r="DW37">
        <v>-8.4016786570743403</v>
      </c>
      <c r="DX37">
        <v>0.3929574612883458</v>
      </c>
      <c r="DY37">
        <v>-8.08152368049352</v>
      </c>
      <c r="DZ37">
        <v>1740</v>
      </c>
      <c r="EA37">
        <v>-8.0537641493665681</v>
      </c>
      <c r="EB37">
        <v>8</v>
      </c>
      <c r="EC37">
        <v>0.1107123738707028</v>
      </c>
      <c r="ED37">
        <v>0.54549546081192068</v>
      </c>
      <c r="EE37" s="14">
        <v>6.6700000000000009E-2</v>
      </c>
      <c r="EF37">
        <v>0.12009999999999998</v>
      </c>
      <c r="EG37">
        <v>19.202957461288346</v>
      </c>
      <c r="EH37" t="s">
        <v>722</v>
      </c>
      <c r="EI37">
        <v>0</v>
      </c>
      <c r="EJ37">
        <v>0</v>
      </c>
      <c r="EK37" s="10">
        <v>45470</v>
      </c>
      <c r="EL37" s="15">
        <v>-2</v>
      </c>
      <c r="EM37" s="15">
        <v>-5.16</v>
      </c>
      <c r="EN37" s="15">
        <v>5.95</v>
      </c>
      <c r="EO37" s="15">
        <v>3.05</v>
      </c>
      <c r="EP37" s="15">
        <v>5.34</v>
      </c>
    </row>
    <row r="38" spans="1:146" ht="108" x14ac:dyDescent="0.25">
      <c r="A38" s="7"/>
      <c r="B38" s="7"/>
      <c r="C38" s="7" t="str">
        <f>""&amp;CHAR(10)&amp;Basic_Fundamental_Information_Constructure(F38)&amp;CHAR(10)&amp;Basic_Fundamental_Information_Concatenate("")</f>
        <v xml:space="preserve">
市值32.724013亿, 利润184.98万; PE; 平均PE32.77; 平均PEG4.84, PB2.17; ROIC6.0333%; ROE7.7933%; 股利率.501%; 毛利28.12%; 净利2.9067%; 上一年度营收增-77.46%, 利润增-98.81%; 当季营收增-47.7%, 利润增-96.26%; 过往5年营收增-6.77%, 利润增1.5%
Income profile:
</v>
      </c>
      <c r="D38" t="s">
        <v>476</v>
      </c>
      <c r="E38" t="s">
        <v>477</v>
      </c>
      <c r="F38">
        <v>9.98</v>
      </c>
      <c r="G38">
        <v>1.42</v>
      </c>
      <c r="H38" t="s">
        <v>2076</v>
      </c>
      <c r="I38">
        <v>3272401300</v>
      </c>
      <c r="K38">
        <v>2.17</v>
      </c>
      <c r="L38" t="s">
        <v>303</v>
      </c>
      <c r="M38" t="s">
        <v>2077</v>
      </c>
      <c r="N38" t="s">
        <v>2078</v>
      </c>
      <c r="O38" t="s">
        <v>56</v>
      </c>
      <c r="P38">
        <v>6.57</v>
      </c>
      <c r="Q38" t="s">
        <v>56</v>
      </c>
      <c r="R38">
        <v>1849798</v>
      </c>
      <c r="S38" s="5">
        <v>-0.87719999999999998</v>
      </c>
      <c r="T38" t="s">
        <v>2079</v>
      </c>
      <c r="U38">
        <v>315116040</v>
      </c>
      <c r="V38">
        <v>327895930</v>
      </c>
      <c r="W38">
        <v>1.62</v>
      </c>
      <c r="X38">
        <v>0.13</v>
      </c>
      <c r="Y38">
        <v>0.57999999999999996</v>
      </c>
      <c r="Z38" t="s">
        <v>2080</v>
      </c>
      <c r="AA38" t="s">
        <v>47</v>
      </c>
      <c r="AB38" t="s">
        <v>2081</v>
      </c>
      <c r="AC38" t="s">
        <v>2082</v>
      </c>
      <c r="AD38" t="s">
        <v>5</v>
      </c>
      <c r="AE38">
        <v>3649794</v>
      </c>
      <c r="AF38" t="s">
        <v>2083</v>
      </c>
      <c r="AG38" t="s">
        <v>2084</v>
      </c>
      <c r="AH38" t="s">
        <v>2085</v>
      </c>
      <c r="AI38" t="s">
        <v>1139</v>
      </c>
      <c r="AJ38" t="s">
        <v>2086</v>
      </c>
      <c r="AK38" t="s">
        <v>5</v>
      </c>
      <c r="AL38" t="s">
        <v>2087</v>
      </c>
      <c r="AM38" t="s">
        <v>5</v>
      </c>
      <c r="AN38" t="s">
        <v>2088</v>
      </c>
      <c r="AO38" t="s">
        <v>945</v>
      </c>
      <c r="AP38" t="s">
        <v>2089</v>
      </c>
      <c r="AQ38" t="s">
        <v>202</v>
      </c>
      <c r="AR38" t="s">
        <v>5</v>
      </c>
      <c r="AS38" t="s">
        <v>575</v>
      </c>
      <c r="AT38" t="s">
        <v>5</v>
      </c>
      <c r="AU38" t="s">
        <v>2090</v>
      </c>
      <c r="AV38" t="s">
        <v>2091</v>
      </c>
      <c r="AW38" t="s">
        <v>2092</v>
      </c>
      <c r="AX38" t="s">
        <v>959</v>
      </c>
      <c r="AY38" t="s">
        <v>657</v>
      </c>
      <c r="AZ38" t="s">
        <v>300</v>
      </c>
      <c r="BA38" t="s">
        <v>335</v>
      </c>
      <c r="BB38" t="s">
        <v>276</v>
      </c>
      <c r="BC38" t="s">
        <v>140</v>
      </c>
      <c r="BD38" t="s">
        <v>86</v>
      </c>
      <c r="BE38" t="s">
        <v>44</v>
      </c>
      <c r="BF38" t="s">
        <v>478</v>
      </c>
      <c r="BG38" t="s">
        <v>95</v>
      </c>
      <c r="BH38" t="s">
        <v>2093</v>
      </c>
      <c r="BI38" t="s">
        <v>1141</v>
      </c>
      <c r="BJ38" t="s">
        <v>959</v>
      </c>
      <c r="BK38" t="s">
        <v>1106</v>
      </c>
      <c r="BL38" t="s">
        <v>1142</v>
      </c>
      <c r="BM38" t="s">
        <v>140</v>
      </c>
      <c r="BN38">
        <v>2.67</v>
      </c>
      <c r="BO38">
        <v>7.31</v>
      </c>
      <c r="BP38">
        <v>8.1199999999999992</v>
      </c>
      <c r="BQ38">
        <v>4.6900000000000004</v>
      </c>
      <c r="BR38">
        <v>9.1999999999999993</v>
      </c>
      <c r="BS38">
        <v>9.49</v>
      </c>
      <c r="BT38" t="s">
        <v>874</v>
      </c>
      <c r="BU38" t="s">
        <v>1296</v>
      </c>
      <c r="BV38">
        <v>27.48</v>
      </c>
      <c r="BW38">
        <v>27.48</v>
      </c>
      <c r="BX38">
        <v>29.4</v>
      </c>
      <c r="BY38">
        <v>-13.18</v>
      </c>
      <c r="BZ38">
        <v>11.06</v>
      </c>
      <c r="CA38">
        <v>10.84</v>
      </c>
      <c r="CB38">
        <v>-4.22</v>
      </c>
      <c r="CC38">
        <v>-0.6</v>
      </c>
      <c r="CD38" t="s">
        <v>2094</v>
      </c>
      <c r="CE38" t="s">
        <v>177</v>
      </c>
      <c r="CF38" s="11">
        <v>-0.47697368421052633</v>
      </c>
      <c r="CG38" s="12">
        <v>-0.96255302867739045</v>
      </c>
      <c r="CH38" s="11">
        <v>-0.7746279239654541</v>
      </c>
      <c r="CI38" s="11">
        <v>-4.2342077940702438E-3</v>
      </c>
      <c r="CJ38" s="11">
        <v>0.22260557115077972</v>
      </c>
      <c r="CK38" s="11">
        <v>0.21871720254421234</v>
      </c>
      <c r="CL38" s="11">
        <v>-1.0504202218726277E-3</v>
      </c>
      <c r="CM38" s="12">
        <v>-0.98814237117767334</v>
      </c>
      <c r="CN38" s="12">
        <v>1.2987012974917889E-2</v>
      </c>
      <c r="CO38" s="12">
        <v>0.29411765933036804</v>
      </c>
      <c r="CP38" s="12">
        <v>1.3171405792236328</v>
      </c>
      <c r="CQ38" s="12">
        <v>-0.56105643510818481</v>
      </c>
      <c r="CR38">
        <v>32.767364222866853</v>
      </c>
      <c r="CS38">
        <v>4.8387999762871958</v>
      </c>
      <c r="CT38">
        <v>0.50100200400801598</v>
      </c>
      <c r="CU38" s="11">
        <v>-6.7717955657280976E-2</v>
      </c>
      <c r="CV38" s="12">
        <v>1.5009289048612118E-2</v>
      </c>
      <c r="CW38">
        <v>0.06</v>
      </c>
      <c r="CX38">
        <v>1383.6097415936858</v>
      </c>
      <c r="CY38" t="s">
        <v>2095</v>
      </c>
      <c r="CZ38">
        <v>-6.7717955657280976E-2</v>
      </c>
      <c r="DA38">
        <v>461.20324719789528</v>
      </c>
      <c r="DB38" t="s">
        <v>2096</v>
      </c>
      <c r="DC38">
        <v>-6.4332057874416926E-2</v>
      </c>
      <c r="DD38">
        <v>230.60162359894764</v>
      </c>
      <c r="DE38" t="s">
        <v>2097</v>
      </c>
      <c r="DF38">
        <v>-5.9591800978407258E-2</v>
      </c>
      <c r="DG38">
        <v>138.36097415936857</v>
      </c>
      <c r="DH38" t="s">
        <v>2098</v>
      </c>
      <c r="DI38">
        <v>-5.4174364525824782E-2</v>
      </c>
      <c r="DJ38">
        <v>69.180487079684283</v>
      </c>
      <c r="DK38" t="s">
        <v>2099</v>
      </c>
      <c r="DL38">
        <v>-4.7402568960096682E-2</v>
      </c>
      <c r="DM38">
        <v>1849800</v>
      </c>
      <c r="DN38">
        <v>-6.7717955657280976E-2</v>
      </c>
      <c r="DO38">
        <v>2559401300</v>
      </c>
      <c r="DP38">
        <v>1111844400</v>
      </c>
      <c r="DQ38">
        <v>2000</v>
      </c>
      <c r="DR38">
        <v>-0.40925572855324532</v>
      </c>
      <c r="DS38">
        <v>-0.97756231772600255</v>
      </c>
      <c r="DT38" s="13">
        <v>-0.52333333333333332</v>
      </c>
      <c r="DU38">
        <v>-0.50666666666666671</v>
      </c>
      <c r="DV38">
        <v>-1.03</v>
      </c>
      <c r="DW38">
        <v>-4.1421800947867302</v>
      </c>
      <c r="DX38">
        <v>0.3154958333333332</v>
      </c>
      <c r="DY38">
        <v>-4.0221084123222752</v>
      </c>
      <c r="DZ38">
        <v>3681</v>
      </c>
      <c r="EA38">
        <v>-4.0061825677511802</v>
      </c>
      <c r="EB38">
        <v>4</v>
      </c>
      <c r="EC38">
        <v>0.11381355053720855</v>
      </c>
      <c r="ED38">
        <v>0.73193955167421565</v>
      </c>
      <c r="EE38" s="14">
        <v>-6.0395000000000003</v>
      </c>
      <c r="EF38">
        <v>-6.0328999999999997</v>
      </c>
      <c r="EG38">
        <v>16.155495833333333</v>
      </c>
      <c r="EH38" t="s">
        <v>2100</v>
      </c>
      <c r="EI38">
        <v>0</v>
      </c>
      <c r="EJ38">
        <v>0</v>
      </c>
      <c r="EK38" s="10">
        <v>45470</v>
      </c>
      <c r="EL38" s="15">
        <v>-4.04</v>
      </c>
      <c r="EM38" s="15">
        <v>-2.2000000000000002</v>
      </c>
      <c r="EN38" s="15">
        <v>-0.98</v>
      </c>
      <c r="EO38" s="15">
        <v>4.3499999999999996</v>
      </c>
      <c r="EP38" s="15">
        <v>-0.66</v>
      </c>
    </row>
    <row r="39" spans="1:146" ht="108" x14ac:dyDescent="0.25">
      <c r="A39" s="7"/>
      <c r="B39" s="7"/>
      <c r="C39" s="7" t="str">
        <f>""&amp;CHAR(10)&amp;Basic_Fundamental_Information_Constructure(F39)&amp;CHAR(10)&amp;Basic_Fundamental_Information_Concatenate("")</f>
        <v xml:space="preserve">
市值25.750827亿, 利润-226.89万; PE; 平均PE59.38; 平均PEG4.51, PB2.43; ROIC2.14%; ROE1.3067%; 股利率0%; 毛利45.0467%; 净利.7733%; 上一年度营收增-88.26%, 利润增-106.16%; 当季营收增-65.17%, 利润增-153.06%; 过往5年营收增-13.17%, 利润增40.7%
Income profile:
</v>
      </c>
      <c r="D39" t="s">
        <v>479</v>
      </c>
      <c r="E39" t="s">
        <v>480</v>
      </c>
      <c r="F39">
        <v>13.88</v>
      </c>
      <c r="G39">
        <v>1.17</v>
      </c>
      <c r="H39" t="s">
        <v>2101</v>
      </c>
      <c r="I39">
        <v>2575082700</v>
      </c>
      <c r="K39">
        <v>2.4300000000000002</v>
      </c>
      <c r="L39" t="s">
        <v>303</v>
      </c>
      <c r="M39" t="s">
        <v>174</v>
      </c>
      <c r="N39" t="s">
        <v>2102</v>
      </c>
      <c r="O39" t="s">
        <v>2103</v>
      </c>
      <c r="P39">
        <v>-35.700000000000003</v>
      </c>
      <c r="Q39" t="s">
        <v>2103</v>
      </c>
      <c r="R39">
        <v>-2268882</v>
      </c>
      <c r="S39" s="5">
        <v>-1.613</v>
      </c>
      <c r="T39" t="s">
        <v>2104</v>
      </c>
      <c r="U39">
        <v>130034237</v>
      </c>
      <c r="V39">
        <v>185524690</v>
      </c>
      <c r="W39">
        <v>1.2</v>
      </c>
      <c r="X39">
        <v>0.06</v>
      </c>
      <c r="Y39">
        <v>-3.13</v>
      </c>
      <c r="Z39" t="s">
        <v>2105</v>
      </c>
      <c r="AA39" t="s">
        <v>2106</v>
      </c>
      <c r="AB39" t="s">
        <v>2107</v>
      </c>
      <c r="AC39" t="s">
        <v>2108</v>
      </c>
      <c r="AD39" t="s">
        <v>5</v>
      </c>
      <c r="AE39">
        <v>-1370711</v>
      </c>
      <c r="AF39" t="s">
        <v>2109</v>
      </c>
      <c r="AG39">
        <v>0</v>
      </c>
      <c r="AH39" t="s">
        <v>2110</v>
      </c>
      <c r="AI39" t="s">
        <v>2111</v>
      </c>
      <c r="AJ39" t="s">
        <v>2112</v>
      </c>
      <c r="AK39" t="s">
        <v>2113</v>
      </c>
      <c r="AL39" t="s">
        <v>2114</v>
      </c>
      <c r="AM39" t="s">
        <v>5</v>
      </c>
      <c r="AN39">
        <v>0</v>
      </c>
      <c r="AO39" t="s">
        <v>5</v>
      </c>
      <c r="AP39" t="s">
        <v>2115</v>
      </c>
      <c r="AQ39" t="s">
        <v>2116</v>
      </c>
      <c r="AR39" t="s">
        <v>5</v>
      </c>
      <c r="AS39" t="s">
        <v>642</v>
      </c>
      <c r="AT39" t="s">
        <v>5</v>
      </c>
      <c r="AU39" t="s">
        <v>2117</v>
      </c>
      <c r="AV39" t="s">
        <v>2118</v>
      </c>
      <c r="AW39" t="s">
        <v>2119</v>
      </c>
      <c r="AX39" t="s">
        <v>156</v>
      </c>
      <c r="AY39" t="s">
        <v>658</v>
      </c>
      <c r="AZ39" t="s">
        <v>157</v>
      </c>
      <c r="BA39" t="s">
        <v>313</v>
      </c>
      <c r="BB39" t="s">
        <v>131</v>
      </c>
      <c r="BC39" t="s">
        <v>2120</v>
      </c>
      <c r="BD39" t="s">
        <v>2121</v>
      </c>
      <c r="BE39" t="s">
        <v>481</v>
      </c>
      <c r="BF39" t="s">
        <v>26</v>
      </c>
      <c r="BG39" t="s">
        <v>20</v>
      </c>
      <c r="BH39" t="s">
        <v>2122</v>
      </c>
      <c r="BI39" t="s">
        <v>118</v>
      </c>
      <c r="BJ39" t="s">
        <v>156</v>
      </c>
      <c r="BK39" t="s">
        <v>2123</v>
      </c>
      <c r="BL39" t="s">
        <v>1144</v>
      </c>
      <c r="BM39" t="s">
        <v>2120</v>
      </c>
      <c r="BN39" t="s">
        <v>5</v>
      </c>
      <c r="BO39">
        <v>3.47</v>
      </c>
      <c r="BP39">
        <v>0.81</v>
      </c>
      <c r="BQ39">
        <v>-0.95</v>
      </c>
      <c r="BR39">
        <v>3.59</v>
      </c>
      <c r="BS39">
        <v>1.28</v>
      </c>
      <c r="BT39" t="s">
        <v>873</v>
      </c>
      <c r="BU39" t="s">
        <v>1296</v>
      </c>
      <c r="BV39">
        <v>48.1</v>
      </c>
      <c r="BW39">
        <v>40.68</v>
      </c>
      <c r="BX39">
        <v>46.36</v>
      </c>
      <c r="BY39">
        <v>-5.71</v>
      </c>
      <c r="BZ39">
        <v>5.89</v>
      </c>
      <c r="CA39">
        <v>2.14</v>
      </c>
      <c r="CB39">
        <v>20.49</v>
      </c>
      <c r="CC39">
        <v>32.82</v>
      </c>
      <c r="CD39" t="s">
        <v>1136</v>
      </c>
      <c r="CE39" t="s">
        <v>279</v>
      </c>
      <c r="CF39" s="11">
        <v>-0.65169567307692311</v>
      </c>
      <c r="CG39" s="12">
        <v>-1.5305836958046863</v>
      </c>
      <c r="CH39" s="11">
        <v>-0.88258135318756104</v>
      </c>
      <c r="CI39" s="11">
        <v>0.30443975329399109</v>
      </c>
      <c r="CJ39" s="11">
        <v>0.17079207301139832</v>
      </c>
      <c r="CK39" s="11">
        <v>-0.42776203155517578</v>
      </c>
      <c r="CL39" s="11">
        <v>0.17666666209697723</v>
      </c>
      <c r="CM39" s="12">
        <v>-1.0615717172622681</v>
      </c>
      <c r="CN39" s="12">
        <v>2.3800241947174072</v>
      </c>
      <c r="CO39" s="12">
        <v>1.7125248908996582</v>
      </c>
      <c r="CP39" s="12">
        <v>-1.1254163980484009</v>
      </c>
      <c r="CQ39" s="12">
        <v>0.12962962687015533</v>
      </c>
      <c r="CR39">
        <v>59.383371345157357</v>
      </c>
      <c r="CS39">
        <v>4.5093652996028597</v>
      </c>
      <c r="CT39">
        <v>0</v>
      </c>
      <c r="CU39" s="11">
        <v>-0.13168897926807405</v>
      </c>
      <c r="CV39" s="12">
        <v>0.40703811943531037</v>
      </c>
      <c r="CW39">
        <v>0.06</v>
      </c>
      <c r="CX39" t="e">
        <v>#VALUE!</v>
      </c>
      <c r="CY39" t="s">
        <v>740</v>
      </c>
      <c r="CZ39">
        <v>-0.13168897926807405</v>
      </c>
      <c r="DA39" t="e">
        <v>#VALUE!</v>
      </c>
      <c r="DB39" t="s">
        <v>741</v>
      </c>
      <c r="DC39">
        <v>-0.12510453030467034</v>
      </c>
      <c r="DD39" t="e">
        <v>#VALUE!</v>
      </c>
      <c r="DE39" t="s">
        <v>741</v>
      </c>
      <c r="DF39">
        <v>-0.11588630175590516</v>
      </c>
      <c r="DG39" t="e">
        <v>#VALUE!</v>
      </c>
      <c r="DH39" t="s">
        <v>741</v>
      </c>
      <c r="DI39">
        <v>-0.10535118341445925</v>
      </c>
      <c r="DJ39" t="e">
        <v>#VALUE!</v>
      </c>
      <c r="DK39" t="s">
        <v>741</v>
      </c>
      <c r="DL39">
        <v>-9.2182285487651824E-2</v>
      </c>
      <c r="DM39">
        <v>-2268900</v>
      </c>
      <c r="DN39">
        <v>-0.13168897926807405</v>
      </c>
      <c r="DO39">
        <v>1727082700</v>
      </c>
      <c r="DP39">
        <v>820778410</v>
      </c>
      <c r="DQ39">
        <v>2014</v>
      </c>
      <c r="DR39">
        <v>-0.52000669380884901</v>
      </c>
      <c r="DS39">
        <v>-1.9376218152399967</v>
      </c>
      <c r="DT39" s="13">
        <v>-0.50666666666666671</v>
      </c>
      <c r="DU39">
        <v>-1.7566666666666668</v>
      </c>
      <c r="DV39">
        <v>-2.2633333333333336</v>
      </c>
      <c r="DW39">
        <v>9.6243144424131621</v>
      </c>
      <c r="DX39">
        <v>0.86669811320754464</v>
      </c>
      <c r="DY39">
        <v>9.2164486392328655</v>
      </c>
      <c r="DZ39">
        <v>4455</v>
      </c>
      <c r="EA39">
        <v>9.0277443950484404</v>
      </c>
      <c r="EB39">
        <v>9</v>
      </c>
      <c r="EC39">
        <v>0.7923473689674404</v>
      </c>
      <c r="ED39">
        <v>2.2854100982462224</v>
      </c>
      <c r="EE39" s="14">
        <v>3.0599999999999999E-2</v>
      </c>
      <c r="EF39">
        <v>1.7009999999999997E-2</v>
      </c>
      <c r="EG39">
        <v>52.346698113207545</v>
      </c>
      <c r="EH39">
        <v>-1</v>
      </c>
      <c r="EI39">
        <v>1</v>
      </c>
      <c r="EJ39">
        <v>0</v>
      </c>
      <c r="EK39" s="10">
        <v>45470</v>
      </c>
      <c r="EL39" s="15">
        <v>10.87</v>
      </c>
      <c r="EM39" s="15">
        <v>4.74</v>
      </c>
      <c r="EN39" s="15">
        <v>-0.54</v>
      </c>
      <c r="EO39" s="15">
        <v>-1.08</v>
      </c>
      <c r="EP39" s="15">
        <v>-4.76</v>
      </c>
    </row>
    <row r="40" spans="1:146" ht="108" x14ac:dyDescent="0.25">
      <c r="A40" s="7"/>
      <c r="B40" s="7"/>
      <c r="C40" s="7" t="str">
        <f>""&amp;CHAR(10)&amp;Basic_Fundamental_Information_Constructure(F40)&amp;CHAR(10)&amp;Basic_Fundamental_Information_Concatenate("")</f>
        <v xml:space="preserve">
市值19.223863亿, 利润-4150.54万; PE; 平均PE-1846.38; 平均PEG-79.63, PB2.14; ROIC2.13%; ROE-2.72%; 股利率0%; 毛利63.8833%; 净利-4.6967%; 上一年度营收增-86.63%, 利润增32.84%; 当季营收增-75.89%, 利润增-74.13%; 过往5年营收增23.19%, 利润增-58.82%
Income profile:
</v>
      </c>
      <c r="D40" t="s">
        <v>482</v>
      </c>
      <c r="E40" t="s">
        <v>483</v>
      </c>
      <c r="F40">
        <v>5.56</v>
      </c>
      <c r="G40">
        <v>1.0900000000000001</v>
      </c>
      <c r="H40" t="s">
        <v>2124</v>
      </c>
      <c r="I40">
        <v>1922386300</v>
      </c>
      <c r="K40">
        <v>2.14</v>
      </c>
      <c r="L40" t="s">
        <v>303</v>
      </c>
      <c r="M40" t="s">
        <v>1017</v>
      </c>
      <c r="N40" t="s">
        <v>248</v>
      </c>
      <c r="O40" t="s">
        <v>2125</v>
      </c>
      <c r="P40">
        <v>-49.93</v>
      </c>
      <c r="Q40" t="s">
        <v>2125</v>
      </c>
      <c r="R40">
        <v>-41505418</v>
      </c>
      <c r="S40" s="5">
        <v>-1.7470000000000001</v>
      </c>
      <c r="T40" t="s">
        <v>2126</v>
      </c>
      <c r="U40">
        <v>301025270</v>
      </c>
      <c r="V40">
        <v>345752940</v>
      </c>
      <c r="W40">
        <v>1.48</v>
      </c>
      <c r="X40">
        <v>0.05</v>
      </c>
      <c r="Y40">
        <v>-67.06</v>
      </c>
      <c r="Z40" t="s">
        <v>2127</v>
      </c>
      <c r="AA40" t="s">
        <v>2128</v>
      </c>
      <c r="AB40" t="s">
        <v>2129</v>
      </c>
      <c r="AC40" t="s">
        <v>2130</v>
      </c>
      <c r="AD40" t="s">
        <v>5</v>
      </c>
      <c r="AE40">
        <v>-424054</v>
      </c>
      <c r="AF40" t="s">
        <v>2131</v>
      </c>
      <c r="AG40">
        <v>3371.9</v>
      </c>
      <c r="AH40" t="s">
        <v>2132</v>
      </c>
      <c r="AI40" t="s">
        <v>235</v>
      </c>
      <c r="AJ40" t="s">
        <v>2133</v>
      </c>
      <c r="AK40" t="s">
        <v>5</v>
      </c>
      <c r="AL40" t="s">
        <v>2134</v>
      </c>
      <c r="AM40" t="s">
        <v>5</v>
      </c>
      <c r="AN40">
        <v>0</v>
      </c>
      <c r="AO40" t="s">
        <v>1961</v>
      </c>
      <c r="AP40" t="s">
        <v>2135</v>
      </c>
      <c r="AQ40" t="s">
        <v>2136</v>
      </c>
      <c r="AR40" t="s">
        <v>5</v>
      </c>
      <c r="AS40" t="s">
        <v>1583</v>
      </c>
      <c r="AT40" t="s">
        <v>5</v>
      </c>
      <c r="AU40" t="s">
        <v>2137</v>
      </c>
      <c r="AV40" t="s">
        <v>2138</v>
      </c>
      <c r="AW40" t="s">
        <v>2139</v>
      </c>
      <c r="AX40" t="s">
        <v>781</v>
      </c>
      <c r="AY40" t="s">
        <v>54</v>
      </c>
      <c r="AZ40" t="s">
        <v>64</v>
      </c>
      <c r="BA40" t="s">
        <v>102</v>
      </c>
      <c r="BB40" t="s">
        <v>129</v>
      </c>
      <c r="BC40" t="s">
        <v>960</v>
      </c>
      <c r="BD40" t="s">
        <v>659</v>
      </c>
      <c r="BE40" t="s">
        <v>484</v>
      </c>
      <c r="BF40" t="s">
        <v>485</v>
      </c>
      <c r="BG40" t="s">
        <v>486</v>
      </c>
      <c r="BH40" t="s">
        <v>1027</v>
      </c>
      <c r="BI40" t="s">
        <v>1145</v>
      </c>
      <c r="BJ40" t="s">
        <v>781</v>
      </c>
      <c r="BK40" t="s">
        <v>2140</v>
      </c>
      <c r="BL40" t="s">
        <v>1147</v>
      </c>
      <c r="BM40" t="s">
        <v>960</v>
      </c>
      <c r="BN40" t="s">
        <v>5</v>
      </c>
      <c r="BO40" t="s">
        <v>5</v>
      </c>
      <c r="BP40">
        <v>2.13</v>
      </c>
      <c r="BQ40">
        <v>-4.6500000000000004</v>
      </c>
      <c r="BR40">
        <v>-5.96</v>
      </c>
      <c r="BS40">
        <v>2.4500000000000002</v>
      </c>
      <c r="BT40" t="s">
        <v>873</v>
      </c>
      <c r="BU40" t="s">
        <v>1296</v>
      </c>
      <c r="BV40">
        <v>76.489999999999995</v>
      </c>
      <c r="BW40">
        <v>76.03</v>
      </c>
      <c r="BX40">
        <v>39.130000000000003</v>
      </c>
      <c r="BY40">
        <v>-12.53</v>
      </c>
      <c r="BZ40">
        <v>-10.06</v>
      </c>
      <c r="CA40">
        <v>8.5</v>
      </c>
      <c r="CB40">
        <v>-1.24</v>
      </c>
      <c r="CC40">
        <v>-29.35</v>
      </c>
      <c r="CD40" t="s">
        <v>2141</v>
      </c>
      <c r="CE40" t="s">
        <v>156</v>
      </c>
      <c r="CF40" s="11">
        <v>-0.75886838487972508</v>
      </c>
      <c r="CG40" s="12">
        <v>-0.74132046183020361</v>
      </c>
      <c r="CH40" s="11">
        <v>-0.86634421348571777</v>
      </c>
      <c r="CI40" s="11">
        <v>2.034682035446167</v>
      </c>
      <c r="CJ40" s="11">
        <v>-0.40753424167633057</v>
      </c>
      <c r="CK40" s="11">
        <v>-0.3733905553817749</v>
      </c>
      <c r="CL40" s="11">
        <v>0.77186310291290283</v>
      </c>
      <c r="CM40" s="12">
        <v>0.328407883644104</v>
      </c>
      <c r="CN40" s="12">
        <v>-5.0000710487365723</v>
      </c>
      <c r="CO40" s="12">
        <v>-0.35600432753562927</v>
      </c>
      <c r="CP40" s="12">
        <v>-0.46644574403762817</v>
      </c>
      <c r="CQ40" s="12">
        <v>2.5532979965209961</v>
      </c>
      <c r="CR40">
        <v>-1846.3771090123259</v>
      </c>
      <c r="CS40">
        <v>-79.634914612275296</v>
      </c>
      <c r="CT40">
        <v>0</v>
      </c>
      <c r="CU40" s="11">
        <v>0.23185522556304933</v>
      </c>
      <c r="CV40" s="12">
        <v>-0.58816304802894592</v>
      </c>
      <c r="CW40">
        <v>0.06</v>
      </c>
      <c r="CX40" t="e">
        <v>#VALUE!</v>
      </c>
      <c r="CY40" t="s">
        <v>740</v>
      </c>
      <c r="CZ40">
        <v>0.23185522556304933</v>
      </c>
      <c r="DA40" t="e">
        <v>#VALUE!</v>
      </c>
      <c r="DB40" t="s">
        <v>741</v>
      </c>
      <c r="DC40">
        <v>0.22026246428489685</v>
      </c>
      <c r="DD40" t="e">
        <v>#VALUE!</v>
      </c>
      <c r="DE40" t="s">
        <v>741</v>
      </c>
      <c r="DF40">
        <v>0.20403259849548341</v>
      </c>
      <c r="DG40" t="e">
        <v>#VALUE!</v>
      </c>
      <c r="DH40" t="s">
        <v>741</v>
      </c>
      <c r="DI40">
        <v>0.18548418045043946</v>
      </c>
      <c r="DJ40" t="e">
        <v>#VALUE!</v>
      </c>
      <c r="DK40" t="s">
        <v>741</v>
      </c>
      <c r="DL40">
        <v>0.16229865789413453</v>
      </c>
      <c r="DM40">
        <v>-41505400</v>
      </c>
      <c r="DN40">
        <v>0.23185522556304933</v>
      </c>
      <c r="DO40">
        <v>1502386300</v>
      </c>
      <c r="DP40">
        <v>400734760</v>
      </c>
      <c r="DQ40">
        <v>2019</v>
      </c>
      <c r="DR40">
        <v>-0.99072361044277435</v>
      </c>
      <c r="DS40">
        <v>-0.15315741380125769</v>
      </c>
      <c r="DT40" s="13">
        <v>-0.50666666666666671</v>
      </c>
      <c r="DU40">
        <v>-1.5166666666666668</v>
      </c>
      <c r="DV40">
        <v>-2.0233333333333334</v>
      </c>
      <c r="DW40">
        <v>-3.150982142857143</v>
      </c>
      <c r="DX40">
        <v>0.31421361426256145</v>
      </c>
      <c r="DY40">
        <v>-3.0217736805105346</v>
      </c>
      <c r="DZ40">
        <v>4552</v>
      </c>
      <c r="EA40">
        <v>-3.0023776347798194</v>
      </c>
      <c r="EB40">
        <v>3</v>
      </c>
      <c r="EC40">
        <v>0.25735081240379332</v>
      </c>
      <c r="ED40">
        <v>1.7845112177498765</v>
      </c>
      <c r="EE40" s="14">
        <v>-6.0465</v>
      </c>
      <c r="EF40">
        <v>-6.0806000000000004</v>
      </c>
      <c r="EG40">
        <v>17.144213614262561</v>
      </c>
      <c r="EH40" t="s">
        <v>2100</v>
      </c>
      <c r="EI40">
        <v>0</v>
      </c>
      <c r="EJ40">
        <v>0</v>
      </c>
      <c r="EK40" s="10">
        <v>45470</v>
      </c>
      <c r="EL40" s="15">
        <v>-0.83</v>
      </c>
      <c r="EM40" s="15">
        <v>-5.36</v>
      </c>
      <c r="EN40" s="15">
        <v>-3.54</v>
      </c>
      <c r="EO40" s="15">
        <v>7.71</v>
      </c>
      <c r="EP40" s="15">
        <v>3.41</v>
      </c>
    </row>
    <row r="41" spans="1:146" ht="108" x14ac:dyDescent="0.25">
      <c r="A41" s="7"/>
      <c r="B41" s="7"/>
      <c r="C41" s="7" t="str">
        <f>""&amp;CHAR(10)&amp;Basic_Fundamental_Information_Constructure(F41)&amp;CHAR(10)&amp;Basic_Fundamental_Information_Concatenate("")</f>
        <v xml:space="preserve">
市值70.611亿, 利润-7928.53万; PE; 平均PE29.92; 平均PEG.74, PB3.17; ROIC1.37%; ROE-2.26%; 股利率0%; 毛利43.3167%; 净利-13.8767%; 上一年度营收增-81.79%, 利润增-173.51%; 当季营收增-50.62%, 利润增38.06%; 过往5年营收增40.26%, 利润增2538.83%
Income profile:
</v>
      </c>
      <c r="D41" t="s">
        <v>487</v>
      </c>
      <c r="E41" t="s">
        <v>488</v>
      </c>
      <c r="F41">
        <v>33.130000000000003</v>
      </c>
      <c r="G41">
        <v>-1.25</v>
      </c>
      <c r="H41" t="s">
        <v>2142</v>
      </c>
      <c r="I41">
        <v>7061100000</v>
      </c>
      <c r="K41">
        <v>3.17</v>
      </c>
      <c r="L41" t="s">
        <v>303</v>
      </c>
      <c r="M41" t="s">
        <v>660</v>
      </c>
      <c r="N41" t="s">
        <v>2143</v>
      </c>
      <c r="O41" t="s">
        <v>1218</v>
      </c>
      <c r="P41">
        <v>50.64</v>
      </c>
      <c r="Q41" t="s">
        <v>1218</v>
      </c>
      <c r="R41">
        <v>-79285263</v>
      </c>
      <c r="S41" s="5">
        <v>0.1278</v>
      </c>
      <c r="T41" t="s">
        <v>2144</v>
      </c>
      <c r="U41">
        <v>125882232</v>
      </c>
      <c r="V41">
        <v>213133110</v>
      </c>
      <c r="W41">
        <v>1.44</v>
      </c>
      <c r="X41">
        <v>0.05</v>
      </c>
      <c r="Y41">
        <v>-47.8</v>
      </c>
      <c r="Z41" t="s">
        <v>143</v>
      </c>
      <c r="AA41" t="s">
        <v>90</v>
      </c>
      <c r="AB41" t="s">
        <v>2145</v>
      </c>
      <c r="AC41" t="s">
        <v>2146</v>
      </c>
      <c r="AD41" t="s">
        <v>5</v>
      </c>
      <c r="AE41">
        <v>1490281</v>
      </c>
      <c r="AF41" t="s">
        <v>2147</v>
      </c>
      <c r="AG41" t="s">
        <v>2148</v>
      </c>
      <c r="AH41" t="s">
        <v>2149</v>
      </c>
      <c r="AI41" t="s">
        <v>891</v>
      </c>
      <c r="AJ41" t="s">
        <v>2150</v>
      </c>
      <c r="AK41" t="s">
        <v>2151</v>
      </c>
      <c r="AL41" t="s">
        <v>2152</v>
      </c>
      <c r="AM41" t="s">
        <v>5</v>
      </c>
      <c r="AN41">
        <v>0</v>
      </c>
      <c r="AO41" t="s">
        <v>36</v>
      </c>
      <c r="AP41" t="s">
        <v>2153</v>
      </c>
      <c r="AQ41" t="s">
        <v>1204</v>
      </c>
      <c r="AR41" t="s">
        <v>5</v>
      </c>
      <c r="AS41" t="s">
        <v>1690</v>
      </c>
      <c r="AT41" t="s">
        <v>5</v>
      </c>
      <c r="AU41" t="s">
        <v>2154</v>
      </c>
      <c r="AV41" t="s">
        <v>2155</v>
      </c>
      <c r="AW41" t="s">
        <v>2156</v>
      </c>
      <c r="AX41" t="s">
        <v>961</v>
      </c>
      <c r="AY41" t="s">
        <v>660</v>
      </c>
      <c r="AZ41" t="s">
        <v>489</v>
      </c>
      <c r="BA41" t="s">
        <v>490</v>
      </c>
      <c r="BB41" t="s">
        <v>162</v>
      </c>
      <c r="BC41" t="s">
        <v>962</v>
      </c>
      <c r="BD41" t="s">
        <v>661</v>
      </c>
      <c r="BE41" t="s">
        <v>196</v>
      </c>
      <c r="BF41" t="s">
        <v>491</v>
      </c>
      <c r="BG41" t="s">
        <v>492</v>
      </c>
      <c r="BH41" t="s">
        <v>2157</v>
      </c>
      <c r="BI41" t="s">
        <v>101</v>
      </c>
      <c r="BJ41" t="s">
        <v>961</v>
      </c>
      <c r="BK41" t="s">
        <v>2158</v>
      </c>
      <c r="BL41" t="s">
        <v>1123</v>
      </c>
      <c r="BM41" t="s">
        <v>962</v>
      </c>
      <c r="BN41" t="s">
        <v>5</v>
      </c>
      <c r="BO41" t="s">
        <v>5</v>
      </c>
      <c r="BP41">
        <v>1.37</v>
      </c>
      <c r="BQ41">
        <v>-7.59</v>
      </c>
      <c r="BR41">
        <v>-1.07</v>
      </c>
      <c r="BS41">
        <v>1.88</v>
      </c>
      <c r="BT41" t="s">
        <v>873</v>
      </c>
      <c r="BU41" t="s">
        <v>1296</v>
      </c>
      <c r="BV41">
        <v>33.64</v>
      </c>
      <c r="BW41">
        <v>48.13</v>
      </c>
      <c r="BX41">
        <v>48.18</v>
      </c>
      <c r="BY41">
        <v>-42.24</v>
      </c>
      <c r="BZ41">
        <v>-3.68</v>
      </c>
      <c r="CA41">
        <v>4.29</v>
      </c>
      <c r="CB41">
        <v>-11.37</v>
      </c>
      <c r="CC41">
        <v>23.02</v>
      </c>
      <c r="CD41" t="s">
        <v>109</v>
      </c>
      <c r="CE41" t="s">
        <v>2159</v>
      </c>
      <c r="CF41" s="11">
        <v>-0.50621118012422361</v>
      </c>
      <c r="CG41" s="12">
        <v>0.3805838828125</v>
      </c>
      <c r="CH41" s="11">
        <v>-0.81786942481994629</v>
      </c>
      <c r="CI41" s="11">
        <v>-7.6190479099750519E-2</v>
      </c>
      <c r="CJ41" s="11">
        <v>-0.43174988031387329</v>
      </c>
      <c r="CK41" s="11">
        <v>-0.50373023748397827</v>
      </c>
      <c r="CL41" s="11">
        <v>3.8424856662750244</v>
      </c>
      <c r="CM41" s="12">
        <v>-1.7350980043411255</v>
      </c>
      <c r="CN41" s="12">
        <v>-1.6806619167327881</v>
      </c>
      <c r="CO41" s="12">
        <v>-0.92937296628952026</v>
      </c>
      <c r="CP41" s="12">
        <v>-0.30848625302314758</v>
      </c>
      <c r="CQ41" s="12">
        <v>131.5953369140625</v>
      </c>
      <c r="CR41">
        <v>29.922216475546744</v>
      </c>
      <c r="CS41">
        <v>0.74324452218690717</v>
      </c>
      <c r="CT41">
        <v>0</v>
      </c>
      <c r="CU41" s="11">
        <v>0.40258912891149523</v>
      </c>
      <c r="CV41" s="12">
        <v>25.388343554735183</v>
      </c>
      <c r="CW41">
        <v>0.06</v>
      </c>
      <c r="CX41" t="e">
        <v>#VALUE!</v>
      </c>
      <c r="CY41" t="s">
        <v>740</v>
      </c>
      <c r="CZ41">
        <v>0.40258912891149523</v>
      </c>
      <c r="DA41" t="e">
        <v>#VALUE!</v>
      </c>
      <c r="DB41" t="s">
        <v>741</v>
      </c>
      <c r="DC41">
        <v>0.38245967246592044</v>
      </c>
      <c r="DD41" t="e">
        <v>#VALUE!</v>
      </c>
      <c r="DE41" t="s">
        <v>741</v>
      </c>
      <c r="DF41">
        <v>0.35427843344211579</v>
      </c>
      <c r="DG41" t="e">
        <v>#VALUE!</v>
      </c>
      <c r="DH41" t="s">
        <v>741</v>
      </c>
      <c r="DI41">
        <v>0.32207130312919618</v>
      </c>
      <c r="DJ41" t="e">
        <v>#VALUE!</v>
      </c>
      <c r="DK41" t="s">
        <v>741</v>
      </c>
      <c r="DL41">
        <v>0.28181239023804666</v>
      </c>
      <c r="DM41">
        <v>-79285300</v>
      </c>
      <c r="DN41">
        <v>0.40258912891149523</v>
      </c>
      <c r="DO41">
        <v>5763100000</v>
      </c>
      <c r="DP41">
        <v>1245710200</v>
      </c>
      <c r="DQ41">
        <v>2020</v>
      </c>
      <c r="DR41">
        <v>-0.90880030903571885</v>
      </c>
      <c r="DS41">
        <v>-25.007759671922685</v>
      </c>
      <c r="DT41" s="13">
        <v>-0.58166666666666667</v>
      </c>
      <c r="DU41">
        <v>-1.7733333333333334</v>
      </c>
      <c r="DV41">
        <v>-2.355</v>
      </c>
      <c r="DW41">
        <v>-7.3306193660947949</v>
      </c>
      <c r="DX41">
        <v>0.28325581395348809</v>
      </c>
      <c r="DY41">
        <v>-7.0407507590768006</v>
      </c>
      <c r="DZ41">
        <v>4535</v>
      </c>
      <c r="EA41">
        <v>-7.0045854572346693</v>
      </c>
      <c r="EB41">
        <v>7</v>
      </c>
      <c r="EC41">
        <v>0.49734177857208578</v>
      </c>
      <c r="ED41">
        <v>4.0350370714339032</v>
      </c>
      <c r="EE41" s="14">
        <v>7.0706100000000003</v>
      </c>
      <c r="EF41">
        <v>7.0861099999999997</v>
      </c>
      <c r="EG41">
        <v>16.123255813953488</v>
      </c>
      <c r="EH41" t="s">
        <v>1658</v>
      </c>
      <c r="EI41">
        <v>0</v>
      </c>
      <c r="EJ41">
        <v>0</v>
      </c>
      <c r="EK41" s="10">
        <v>45470</v>
      </c>
      <c r="EL41" s="15">
        <v>0.68</v>
      </c>
      <c r="EM41" s="15">
        <v>-4.3099999999999996</v>
      </c>
      <c r="EN41" s="15">
        <v>-5.13</v>
      </c>
      <c r="EO41" s="15">
        <v>1.34</v>
      </c>
      <c r="EP41" s="15">
        <v>-1.55</v>
      </c>
    </row>
    <row r="42" spans="1:146" ht="108" x14ac:dyDescent="0.25">
      <c r="A42" s="7"/>
      <c r="B42" s="7"/>
      <c r="C42" s="7" t="str">
        <f>""&amp;CHAR(10)&amp;Basic_Fundamental_Information_Constructure(F42)&amp;CHAR(10)&amp;Basic_Fundamental_Information_Concatenate("")</f>
        <v xml:space="preserve">
市值15.126211亿, 利润-1494.72万; PE; 平均PE-34.14; 平均PEG-1.02, PB4.12; ROIC0%; ROE-18.1467%; 股利率0%; 毛利29.5633%; 净利-39.3667%; 上一年度营收增-83.91%, 利润增75.45%; 当季营收增-65.13%, 利润增-35.99%; 过往5年营收增-33.5%, 利润增-307.19%
Income profile:
</v>
      </c>
      <c r="D42" t="s">
        <v>493</v>
      </c>
      <c r="E42" t="s">
        <v>494</v>
      </c>
      <c r="F42">
        <v>7.9</v>
      </c>
      <c r="G42">
        <v>4.6399999999999997</v>
      </c>
      <c r="H42" t="s">
        <v>2160</v>
      </c>
      <c r="I42">
        <v>1512621100</v>
      </c>
      <c r="K42">
        <v>4.12</v>
      </c>
      <c r="L42" t="s">
        <v>303</v>
      </c>
      <c r="M42" t="s">
        <v>1013</v>
      </c>
      <c r="N42" t="s">
        <v>2161</v>
      </c>
      <c r="O42" t="s">
        <v>2162</v>
      </c>
      <c r="P42">
        <v>-14.3</v>
      </c>
      <c r="Q42" t="s">
        <v>2162</v>
      </c>
      <c r="R42">
        <v>-14947214</v>
      </c>
      <c r="S42" s="5">
        <v>-5.0380000000000003</v>
      </c>
      <c r="T42" t="s">
        <v>2163</v>
      </c>
      <c r="U42">
        <v>144458030</v>
      </c>
      <c r="V42">
        <v>191471030</v>
      </c>
      <c r="W42">
        <v>1.97</v>
      </c>
      <c r="X42">
        <v>0.04</v>
      </c>
      <c r="Y42">
        <v>-51.91</v>
      </c>
      <c r="Z42" t="s">
        <v>2164</v>
      </c>
      <c r="AA42" t="s">
        <v>2165</v>
      </c>
      <c r="AB42" t="s">
        <v>2166</v>
      </c>
      <c r="AC42" t="s">
        <v>2167</v>
      </c>
      <c r="AD42" t="s">
        <v>5</v>
      </c>
      <c r="AE42">
        <v>-413793</v>
      </c>
      <c r="AF42" t="s">
        <v>2168</v>
      </c>
      <c r="AG42">
        <v>2903.02</v>
      </c>
      <c r="AH42" t="s">
        <v>2169</v>
      </c>
      <c r="AI42" t="s">
        <v>1120</v>
      </c>
      <c r="AJ42" t="s">
        <v>2170</v>
      </c>
      <c r="AK42" t="s">
        <v>2171</v>
      </c>
      <c r="AL42" t="s">
        <v>2172</v>
      </c>
      <c r="AM42" t="s">
        <v>5</v>
      </c>
      <c r="AN42" t="s">
        <v>2173</v>
      </c>
      <c r="AO42" t="s">
        <v>5</v>
      </c>
      <c r="AP42" t="s">
        <v>2174</v>
      </c>
      <c r="AQ42" t="s">
        <v>43</v>
      </c>
      <c r="AR42" t="s">
        <v>5</v>
      </c>
      <c r="AS42" t="s">
        <v>164</v>
      </c>
      <c r="AT42" t="s">
        <v>5</v>
      </c>
      <c r="AU42" t="s">
        <v>2175</v>
      </c>
      <c r="AV42" t="s">
        <v>2176</v>
      </c>
      <c r="AW42" t="s">
        <v>2177</v>
      </c>
      <c r="AX42" t="s">
        <v>91</v>
      </c>
      <c r="AY42" t="s">
        <v>618</v>
      </c>
      <c r="AZ42" t="s">
        <v>234</v>
      </c>
      <c r="BA42" t="s">
        <v>150</v>
      </c>
      <c r="BB42" t="s">
        <v>239</v>
      </c>
      <c r="BC42" t="s">
        <v>963</v>
      </c>
      <c r="BD42" t="s">
        <v>662</v>
      </c>
      <c r="BE42" t="s">
        <v>186</v>
      </c>
      <c r="BF42" t="s">
        <v>496</v>
      </c>
      <c r="BG42" t="s">
        <v>497</v>
      </c>
      <c r="BH42" t="s">
        <v>1218</v>
      </c>
      <c r="BI42" t="s">
        <v>1149</v>
      </c>
      <c r="BJ42" t="s">
        <v>91</v>
      </c>
      <c r="BK42" t="s">
        <v>2178</v>
      </c>
      <c r="BL42" t="s">
        <v>1150</v>
      </c>
      <c r="BM42" t="s">
        <v>963</v>
      </c>
      <c r="BN42" t="s">
        <v>5</v>
      </c>
      <c r="BO42" t="s">
        <v>5</v>
      </c>
      <c r="BP42" t="s">
        <v>5</v>
      </c>
      <c r="BQ42">
        <v>-8.2799999999999994</v>
      </c>
      <c r="BR42">
        <v>-13.49</v>
      </c>
      <c r="BS42">
        <v>-32.67</v>
      </c>
      <c r="BT42" t="s">
        <v>873</v>
      </c>
      <c r="BU42" t="s">
        <v>1547</v>
      </c>
      <c r="BV42">
        <v>31.11</v>
      </c>
      <c r="BW42">
        <v>24.84</v>
      </c>
      <c r="BX42">
        <v>32.74</v>
      </c>
      <c r="BY42">
        <v>-25.25</v>
      </c>
      <c r="BZ42">
        <v>-34.049999999999997</v>
      </c>
      <c r="CA42">
        <v>-58.8</v>
      </c>
      <c r="CB42">
        <v>2.0699999999999998</v>
      </c>
      <c r="CC42">
        <v>-3.66</v>
      </c>
      <c r="CD42" t="s">
        <v>2179</v>
      </c>
      <c r="CE42" t="s">
        <v>118</v>
      </c>
      <c r="CF42" s="11">
        <v>-0.65133885762439336</v>
      </c>
      <c r="CG42" s="12">
        <v>-0.35986371534885414</v>
      </c>
      <c r="CH42" s="11">
        <v>-0.83912348747253418</v>
      </c>
      <c r="CI42" s="11">
        <v>0.23448276519775391</v>
      </c>
      <c r="CJ42" s="11">
        <v>-0.46296295523643494</v>
      </c>
      <c r="CK42" s="11">
        <v>-3.9145909249782562E-2</v>
      </c>
      <c r="CL42" s="11">
        <v>-0.56835639476776123</v>
      </c>
      <c r="CM42" s="12">
        <v>0.75445431470870972</v>
      </c>
      <c r="CN42" s="12">
        <v>0.28768551349639893</v>
      </c>
      <c r="CO42" s="12">
        <v>0.37162792682647705</v>
      </c>
      <c r="CP42" s="12">
        <v>-16.172475814819336</v>
      </c>
      <c r="CQ42" s="12">
        <v>-0.60081762075424194</v>
      </c>
      <c r="CR42">
        <v>-34.137150018788034</v>
      </c>
      <c r="CS42">
        <v>-1.0189549316644819</v>
      </c>
      <c r="CT42">
        <v>0</v>
      </c>
      <c r="CU42" s="11">
        <v>-0.33502119630575178</v>
      </c>
      <c r="CV42" s="12">
        <v>-3.0719051361083984</v>
      </c>
      <c r="CW42">
        <v>0.06</v>
      </c>
      <c r="CX42" t="e">
        <v>#VALUE!</v>
      </c>
      <c r="CY42" t="s">
        <v>740</v>
      </c>
      <c r="CZ42">
        <v>-0.33502119630575178</v>
      </c>
      <c r="DA42" t="e">
        <v>#VALUE!</v>
      </c>
      <c r="DB42" t="s">
        <v>741</v>
      </c>
      <c r="DC42">
        <v>-0.31827013649046415</v>
      </c>
      <c r="DD42" t="e">
        <v>#VALUE!</v>
      </c>
      <c r="DE42" t="s">
        <v>741</v>
      </c>
      <c r="DF42">
        <v>-0.29481865274906155</v>
      </c>
      <c r="DG42" t="e">
        <v>#VALUE!</v>
      </c>
      <c r="DH42" t="s">
        <v>741</v>
      </c>
      <c r="DI42">
        <v>-0.26801695704460143</v>
      </c>
      <c r="DJ42" t="e">
        <v>#VALUE!</v>
      </c>
      <c r="DK42" t="s">
        <v>741</v>
      </c>
      <c r="DL42">
        <v>-0.23451483741402623</v>
      </c>
      <c r="DM42">
        <v>-14947200</v>
      </c>
      <c r="DN42">
        <v>-0.33502119630575178</v>
      </c>
      <c r="DO42">
        <v>1517621100</v>
      </c>
      <c r="DP42">
        <v>250958620</v>
      </c>
      <c r="DQ42">
        <v>2055</v>
      </c>
      <c r="DR42">
        <v>-0.31631766131864159</v>
      </c>
      <c r="DS42">
        <v>2.7120414207595442</v>
      </c>
      <c r="DT42" s="13">
        <v>-0.85666666666666658</v>
      </c>
      <c r="DU42">
        <v>-2.3816666666666668</v>
      </c>
      <c r="DV42">
        <v>-3.2383333333333333</v>
      </c>
      <c r="DW42">
        <v>-1.0366</v>
      </c>
      <c r="DX42">
        <v>0.42438605769230692</v>
      </c>
      <c r="DY42">
        <v>-1.0082125297115385</v>
      </c>
      <c r="DZ42">
        <v>4854</v>
      </c>
      <c r="EA42">
        <v>-1.0004114300599127</v>
      </c>
      <c r="EB42">
        <v>1</v>
      </c>
      <c r="EC42">
        <v>0.24375645756958633</v>
      </c>
      <c r="ED42">
        <v>1.0863262186451914</v>
      </c>
      <c r="EE42" s="14">
        <v>-2.0146999999999999</v>
      </c>
      <c r="EF42">
        <v>-2.0339999999999998</v>
      </c>
      <c r="EG42">
        <v>20.224386057692307</v>
      </c>
      <c r="EH42" t="s">
        <v>1119</v>
      </c>
      <c r="EI42">
        <v>0</v>
      </c>
      <c r="EJ42">
        <v>0</v>
      </c>
      <c r="EK42" s="10">
        <v>45470</v>
      </c>
      <c r="EL42" s="15">
        <v>-2.08</v>
      </c>
      <c r="EM42" s="15">
        <v>-1.86</v>
      </c>
      <c r="EN42" s="15">
        <v>1.49</v>
      </c>
      <c r="EO42" s="15">
        <v>3.74</v>
      </c>
      <c r="EP42" s="15">
        <v>1.93</v>
      </c>
    </row>
    <row r="43" spans="1:146" ht="108" x14ac:dyDescent="0.25">
      <c r="A43" s="7"/>
      <c r="B43" s="7"/>
      <c r="C43" s="7" t="str">
        <f>""&amp;CHAR(10)&amp;Basic_Fundamental_Information_Constructure(F43)&amp;CHAR(10)&amp;Basic_Fundamental_Information_Concatenate("")</f>
        <v xml:space="preserve">
市值18.058822亿, 利润-1050.16万; PE45.54; 平均PE44.74; 平均PEG17.87, PB1.77; ROIC5.2267%; ROE6.3067%; 股利率.3147%; 毛利40.1767%; 净利6.3333%; 上一年度营收增-82.07%, 利润增-114.75%; 当季营收增-59.36%, 利润增-191.29%; 过往5年营收增-2.5%, 利润增-6.13%
Income profile:
</v>
      </c>
      <c r="D43" t="s">
        <v>498</v>
      </c>
      <c r="E43" t="s">
        <v>499</v>
      </c>
      <c r="F43">
        <v>12.71</v>
      </c>
      <c r="G43">
        <v>2.17</v>
      </c>
      <c r="H43" t="s">
        <v>2180</v>
      </c>
      <c r="I43">
        <v>1805882200</v>
      </c>
      <c r="J43">
        <v>45.54</v>
      </c>
      <c r="K43">
        <v>1.77</v>
      </c>
      <c r="L43" t="s">
        <v>303</v>
      </c>
      <c r="M43" t="s">
        <v>2181</v>
      </c>
      <c r="N43" t="s">
        <v>1384</v>
      </c>
      <c r="O43" t="s">
        <v>187</v>
      </c>
      <c r="P43">
        <v>15.84</v>
      </c>
      <c r="Q43" t="s">
        <v>187</v>
      </c>
      <c r="R43">
        <v>-10501618</v>
      </c>
      <c r="S43" s="5">
        <v>-0.26490000000000002</v>
      </c>
      <c r="T43" t="s">
        <v>2182</v>
      </c>
      <c r="U43">
        <v>142064820</v>
      </c>
      <c r="V43">
        <v>142083570</v>
      </c>
      <c r="W43">
        <v>2.02</v>
      </c>
      <c r="X43">
        <v>7.0000000000000007E-2</v>
      </c>
      <c r="Y43">
        <v>-6.56</v>
      </c>
      <c r="Z43" t="s">
        <v>70</v>
      </c>
      <c r="AA43" t="s">
        <v>979</v>
      </c>
      <c r="AB43" t="s">
        <v>2183</v>
      </c>
      <c r="AC43" t="s">
        <v>2184</v>
      </c>
      <c r="AD43" t="s">
        <v>5</v>
      </c>
      <c r="AE43">
        <v>8408902</v>
      </c>
      <c r="AF43" t="s">
        <v>2185</v>
      </c>
      <c r="AG43" t="s">
        <v>2186</v>
      </c>
      <c r="AH43" t="s">
        <v>2187</v>
      </c>
      <c r="AI43" t="s">
        <v>234</v>
      </c>
      <c r="AJ43" t="s">
        <v>2188</v>
      </c>
      <c r="AK43" t="s">
        <v>2189</v>
      </c>
      <c r="AL43" t="s">
        <v>2190</v>
      </c>
      <c r="AM43" t="s">
        <v>5</v>
      </c>
      <c r="AN43" t="s">
        <v>2191</v>
      </c>
      <c r="AO43" t="s">
        <v>780</v>
      </c>
      <c r="AP43" t="s">
        <v>2192</v>
      </c>
      <c r="AQ43" t="s">
        <v>39</v>
      </c>
      <c r="AR43" t="s">
        <v>2193</v>
      </c>
      <c r="AS43" t="s">
        <v>575</v>
      </c>
      <c r="AT43" t="s">
        <v>2194</v>
      </c>
      <c r="AU43" t="s">
        <v>2195</v>
      </c>
      <c r="AV43" t="s">
        <v>2196</v>
      </c>
      <c r="AW43" t="s">
        <v>2197</v>
      </c>
      <c r="AX43" t="s">
        <v>964</v>
      </c>
      <c r="AY43" t="s">
        <v>664</v>
      </c>
      <c r="AZ43" t="s">
        <v>500</v>
      </c>
      <c r="BA43" t="s">
        <v>195</v>
      </c>
      <c r="BB43" t="s">
        <v>138</v>
      </c>
      <c r="BC43" t="s">
        <v>965</v>
      </c>
      <c r="BD43" t="s">
        <v>665</v>
      </c>
      <c r="BE43" t="s">
        <v>501</v>
      </c>
      <c r="BF43" t="s">
        <v>502</v>
      </c>
      <c r="BG43" t="s">
        <v>503</v>
      </c>
      <c r="BH43" t="s">
        <v>782</v>
      </c>
      <c r="BI43" t="s">
        <v>34</v>
      </c>
      <c r="BJ43" t="s">
        <v>964</v>
      </c>
      <c r="BK43" t="s">
        <v>2198</v>
      </c>
      <c r="BL43" t="s">
        <v>1153</v>
      </c>
      <c r="BM43" t="s">
        <v>965</v>
      </c>
      <c r="BN43">
        <v>2.81</v>
      </c>
      <c r="BO43">
        <v>6.01</v>
      </c>
      <c r="BP43">
        <v>6.86</v>
      </c>
      <c r="BQ43">
        <v>2.93</v>
      </c>
      <c r="BR43">
        <v>7.89</v>
      </c>
      <c r="BS43">
        <v>8.1</v>
      </c>
      <c r="BT43" t="s">
        <v>876</v>
      </c>
      <c r="BU43" t="s">
        <v>1296</v>
      </c>
      <c r="BV43">
        <v>41.85</v>
      </c>
      <c r="BW43">
        <v>38.26</v>
      </c>
      <c r="BX43">
        <v>40.42</v>
      </c>
      <c r="BY43">
        <v>5.25</v>
      </c>
      <c r="BZ43">
        <v>6.95</v>
      </c>
      <c r="CA43">
        <v>6.8</v>
      </c>
      <c r="CB43">
        <v>0.63</v>
      </c>
      <c r="CC43">
        <v>4.18</v>
      </c>
      <c r="CD43" t="s">
        <v>2199</v>
      </c>
      <c r="CE43" t="s">
        <v>642</v>
      </c>
      <c r="CF43" s="11">
        <v>-0.59361702127659577</v>
      </c>
      <c r="CG43" s="12">
        <v>-1.9129380775617009</v>
      </c>
      <c r="CH43" s="11">
        <v>-0.82065725326538086</v>
      </c>
      <c r="CI43" s="11">
        <v>0.12341772019863129</v>
      </c>
      <c r="CJ43" s="11">
        <v>0.1476997584104538</v>
      </c>
      <c r="CK43" s="11">
        <v>9.9866844713687897E-2</v>
      </c>
      <c r="CL43" s="11">
        <v>0.32451498508453369</v>
      </c>
      <c r="CM43" s="12">
        <v>-1.1474666595458984</v>
      </c>
      <c r="CN43" s="12">
        <v>0.21912780404090881</v>
      </c>
      <c r="CO43" s="12">
        <v>1.1135176420211792</v>
      </c>
      <c r="CP43" s="12">
        <v>-0.38676932454109192</v>
      </c>
      <c r="CQ43" s="12">
        <v>-0.1049434170126915</v>
      </c>
      <c r="CR43">
        <v>44.739459879060149</v>
      </c>
      <c r="CS43">
        <v>17.873200111184918</v>
      </c>
      <c r="CT43">
        <v>0.3147128245476003</v>
      </c>
      <c r="CU43" s="11">
        <v>-2.5031588971614838E-2</v>
      </c>
      <c r="CV43" s="12">
        <v>-6.130679100751877E-2</v>
      </c>
      <c r="CW43">
        <v>0.06</v>
      </c>
      <c r="CX43" t="e">
        <v>#VALUE!</v>
      </c>
      <c r="CY43" t="s">
        <v>740</v>
      </c>
      <c r="CZ43">
        <v>-2.5031588971614838E-2</v>
      </c>
      <c r="DA43" t="e">
        <v>#VALUE!</v>
      </c>
      <c r="DB43" t="s">
        <v>741</v>
      </c>
      <c r="DC43">
        <v>-2.3780009523034093E-2</v>
      </c>
      <c r="DD43" t="e">
        <v>#VALUE!</v>
      </c>
      <c r="DE43" t="s">
        <v>741</v>
      </c>
      <c r="DF43">
        <v>-2.2027798295021057E-2</v>
      </c>
      <c r="DG43" t="e">
        <v>#VALUE!</v>
      </c>
      <c r="DH43" t="s">
        <v>741</v>
      </c>
      <c r="DI43">
        <v>-2.0025271177291873E-2</v>
      </c>
      <c r="DJ43" t="e">
        <v>#VALUE!</v>
      </c>
      <c r="DK43" t="s">
        <v>741</v>
      </c>
      <c r="DL43">
        <v>-1.7522112280130384E-2</v>
      </c>
      <c r="DM43">
        <v>-10501600</v>
      </c>
      <c r="DN43">
        <v>-2.5031588971614838E-2</v>
      </c>
      <c r="DO43">
        <v>1939882200</v>
      </c>
      <c r="DP43">
        <v>631834500</v>
      </c>
      <c r="DQ43">
        <v>2112</v>
      </c>
      <c r="DR43">
        <v>-0.56858543230498093</v>
      </c>
      <c r="DS43">
        <v>-1.8516312865541822</v>
      </c>
      <c r="DT43" s="13">
        <v>-0.67333333333333334</v>
      </c>
      <c r="DU43">
        <v>-1.3483333333333334</v>
      </c>
      <c r="DV43">
        <v>-2.0216666666666665</v>
      </c>
      <c r="DW43">
        <v>1.0418000000000001</v>
      </c>
      <c r="DX43">
        <v>0.40523582089552207</v>
      </c>
      <c r="DY43">
        <v>1.0089968573134329</v>
      </c>
      <c r="DZ43">
        <v>3228</v>
      </c>
      <c r="EA43">
        <v>1.0033135196602507</v>
      </c>
      <c r="EB43">
        <v>1</v>
      </c>
      <c r="EC43">
        <v>0.30448559252839719</v>
      </c>
      <c r="ED43">
        <v>1.4146604002137613</v>
      </c>
      <c r="EE43" s="14">
        <v>-3.1227999999999998</v>
      </c>
      <c r="EF43">
        <v>-3.0676999999999999</v>
      </c>
      <c r="EG43">
        <v>19.215235820895522</v>
      </c>
      <c r="EH43" t="s">
        <v>1114</v>
      </c>
      <c r="EI43">
        <v>0</v>
      </c>
      <c r="EJ43">
        <v>0</v>
      </c>
      <c r="EK43" s="10">
        <v>45470</v>
      </c>
      <c r="EL43" s="15">
        <v>0.99</v>
      </c>
      <c r="EM43" s="15">
        <v>3.25</v>
      </c>
      <c r="EN43" s="15">
        <v>4.72</v>
      </c>
      <c r="EO43" s="15">
        <v>2.41</v>
      </c>
      <c r="EP43" s="15">
        <v>-5.51</v>
      </c>
    </row>
    <row r="44" spans="1:146" ht="108" x14ac:dyDescent="0.25">
      <c r="A44" s="7"/>
      <c r="B44" s="7"/>
      <c r="C44" s="7" t="str">
        <f>""&amp;CHAR(10)&amp;Basic_Fundamental_Information_Constructure(F44)&amp;CHAR(10)&amp;Basic_Fundamental_Information_Concatenate("")</f>
        <v xml:space="preserve">
市值32.549047亿, 利润-7400.50万; PE; 平均PE3596.45; 平均PEG544.85, PB2.01; ROIC7%; ROE-16.41%; 股利率0%; 毛利59.9733%; 净利-26.8167%; 上一年度营收增-79.66%, 利润增83.44%; 当季营收增-60.18%, 利润增59.11%; 过往5年营收增6.6%, 利润增-32.42%
Income profile:
</v>
      </c>
      <c r="D44" t="s">
        <v>504</v>
      </c>
      <c r="E44" t="s">
        <v>505</v>
      </c>
      <c r="F44">
        <v>12.5</v>
      </c>
      <c r="G44">
        <v>2.12</v>
      </c>
      <c r="H44" t="s">
        <v>2200</v>
      </c>
      <c r="I44">
        <v>3254904700</v>
      </c>
      <c r="K44">
        <v>2.0099999999999998</v>
      </c>
      <c r="L44" t="s">
        <v>303</v>
      </c>
      <c r="M44" t="s">
        <v>2201</v>
      </c>
      <c r="N44" t="s">
        <v>2202</v>
      </c>
      <c r="O44" t="s">
        <v>115</v>
      </c>
      <c r="P44">
        <v>-4.28</v>
      </c>
      <c r="Q44" t="s">
        <v>115</v>
      </c>
      <c r="R44">
        <v>-74005003</v>
      </c>
      <c r="S44" s="6">
        <v>0.35820000000000002</v>
      </c>
      <c r="T44" t="s">
        <v>2203</v>
      </c>
      <c r="U44">
        <v>155525910</v>
      </c>
      <c r="V44">
        <v>260392380</v>
      </c>
      <c r="W44">
        <v>1.38</v>
      </c>
      <c r="X44">
        <v>7.0000000000000007E-2</v>
      </c>
      <c r="Y44">
        <v>-56.29</v>
      </c>
      <c r="Z44" t="s">
        <v>41</v>
      </c>
      <c r="AA44" t="s">
        <v>2204</v>
      </c>
      <c r="AB44" t="s">
        <v>2205</v>
      </c>
      <c r="AC44" t="s">
        <v>2206</v>
      </c>
      <c r="AD44" t="s">
        <v>5</v>
      </c>
      <c r="AE44">
        <v>1685121</v>
      </c>
      <c r="AF44" t="s">
        <v>2207</v>
      </c>
      <c r="AG44" t="s">
        <v>2208</v>
      </c>
      <c r="AH44" t="s">
        <v>2209</v>
      </c>
      <c r="AI44" t="s">
        <v>2210</v>
      </c>
      <c r="AJ44" t="s">
        <v>2211</v>
      </c>
      <c r="AK44" t="s">
        <v>2212</v>
      </c>
      <c r="AL44" t="s">
        <v>2213</v>
      </c>
      <c r="AM44" t="s">
        <v>5</v>
      </c>
      <c r="AN44">
        <v>0</v>
      </c>
      <c r="AO44" t="s">
        <v>52</v>
      </c>
      <c r="AP44" t="s">
        <v>2214</v>
      </c>
      <c r="AQ44" t="s">
        <v>99</v>
      </c>
      <c r="AR44" t="s">
        <v>2215</v>
      </c>
      <c r="AS44" t="s">
        <v>2216</v>
      </c>
      <c r="AT44" t="s">
        <v>5</v>
      </c>
      <c r="AU44" t="s">
        <v>2217</v>
      </c>
      <c r="AV44" t="s">
        <v>2218</v>
      </c>
      <c r="AW44" t="s">
        <v>1029</v>
      </c>
      <c r="AX44" t="s">
        <v>967</v>
      </c>
      <c r="AY44" t="s">
        <v>233</v>
      </c>
      <c r="AZ44" t="s">
        <v>240</v>
      </c>
      <c r="BA44" t="s">
        <v>196</v>
      </c>
      <c r="BB44" t="s">
        <v>203</v>
      </c>
      <c r="BC44" t="s">
        <v>968</v>
      </c>
      <c r="BD44" t="s">
        <v>95</v>
      </c>
      <c r="BE44" t="s">
        <v>71</v>
      </c>
      <c r="BF44" t="s">
        <v>99</v>
      </c>
      <c r="BG44" t="s">
        <v>506</v>
      </c>
      <c r="BH44" t="s">
        <v>141</v>
      </c>
      <c r="BI44" t="s">
        <v>976</v>
      </c>
      <c r="BJ44" t="s">
        <v>967</v>
      </c>
      <c r="BK44" t="s">
        <v>2219</v>
      </c>
      <c r="BL44" t="s">
        <v>1155</v>
      </c>
      <c r="BM44" t="s">
        <v>968</v>
      </c>
      <c r="BN44" t="s">
        <v>5</v>
      </c>
      <c r="BO44" t="s">
        <v>5</v>
      </c>
      <c r="BP44">
        <v>7</v>
      </c>
      <c r="BQ44">
        <v>-25.2</v>
      </c>
      <c r="BR44">
        <v>-31.32</v>
      </c>
      <c r="BS44">
        <v>7.29</v>
      </c>
      <c r="BT44" t="s">
        <v>873</v>
      </c>
      <c r="BU44" t="s">
        <v>1296</v>
      </c>
      <c r="BV44">
        <v>54.66</v>
      </c>
      <c r="BW44">
        <v>61.12</v>
      </c>
      <c r="BX44">
        <v>64.14</v>
      </c>
      <c r="BY44">
        <v>-20.28</v>
      </c>
      <c r="BZ44">
        <v>-69.37</v>
      </c>
      <c r="CA44">
        <v>9.1999999999999993</v>
      </c>
      <c r="CB44">
        <v>-3.62</v>
      </c>
      <c r="CC44">
        <v>-13.67</v>
      </c>
      <c r="CD44" t="s">
        <v>2220</v>
      </c>
      <c r="CE44" t="s">
        <v>90</v>
      </c>
      <c r="CF44" s="11">
        <v>-0.60182370820668696</v>
      </c>
      <c r="CG44" s="12">
        <v>0.59113258011049719</v>
      </c>
      <c r="CH44" s="11">
        <v>-0.79658383131027222</v>
      </c>
      <c r="CI44" s="11">
        <v>-0.49291339516639709</v>
      </c>
      <c r="CJ44" s="11">
        <v>0.27895265817642212</v>
      </c>
      <c r="CK44" s="11">
        <v>0.64676618576049805</v>
      </c>
      <c r="CL44" s="11">
        <v>0.69382023811340332</v>
      </c>
      <c r="CM44" s="12">
        <v>0.83444070816040039</v>
      </c>
      <c r="CN44" s="12">
        <v>-4.8205127716064453</v>
      </c>
      <c r="CO44" s="12">
        <v>-0.5165289044380188</v>
      </c>
      <c r="CP44" s="12">
        <v>0.93599998950958252</v>
      </c>
      <c r="CQ44" s="12">
        <v>1.9456677436828613</v>
      </c>
      <c r="CR44">
        <v>3596.4473131744685</v>
      </c>
      <c r="CS44">
        <v>544.84715384407707</v>
      </c>
      <c r="CT44">
        <v>0</v>
      </c>
      <c r="CU44" s="11">
        <v>6.6008371114730832E-2</v>
      </c>
      <c r="CV44" s="12">
        <v>-0.324186646938324</v>
      </c>
      <c r="CW44">
        <v>0.06</v>
      </c>
      <c r="CX44" t="e">
        <v>#VALUE!</v>
      </c>
      <c r="CY44" t="s">
        <v>740</v>
      </c>
      <c r="CZ44">
        <v>6.6008371114730832E-2</v>
      </c>
      <c r="DA44" t="e">
        <v>#VALUE!</v>
      </c>
      <c r="DB44" t="s">
        <v>741</v>
      </c>
      <c r="DC44">
        <v>6.2707952558994293E-2</v>
      </c>
      <c r="DD44" t="e">
        <v>#VALUE!</v>
      </c>
      <c r="DE44" t="s">
        <v>741</v>
      </c>
      <c r="DF44">
        <v>5.8087366580963133E-2</v>
      </c>
      <c r="DG44" t="e">
        <v>#VALUE!</v>
      </c>
      <c r="DH44" t="s">
        <v>741</v>
      </c>
      <c r="DI44">
        <v>5.2806696891784667E-2</v>
      </c>
      <c r="DJ44" t="e">
        <v>#VALUE!</v>
      </c>
      <c r="DK44" t="s">
        <v>741</v>
      </c>
      <c r="DL44">
        <v>4.6205859780311581E-2</v>
      </c>
      <c r="DM44">
        <v>-74005000</v>
      </c>
      <c r="DN44">
        <v>6.6008371114730832E-2</v>
      </c>
      <c r="DO44">
        <v>2561904700</v>
      </c>
      <c r="DP44">
        <v>682897930</v>
      </c>
      <c r="DQ44">
        <v>2125</v>
      </c>
      <c r="DR44">
        <v>-0.66783207932141775</v>
      </c>
      <c r="DS44">
        <v>0.91531922704882118</v>
      </c>
      <c r="DT44" s="13">
        <v>-0.35666666666666674</v>
      </c>
      <c r="DU44">
        <v>-0.94833333333333358</v>
      </c>
      <c r="DV44">
        <v>-1.3050000000000004</v>
      </c>
      <c r="DW44">
        <v>-8.2648134601316752</v>
      </c>
      <c r="DX44">
        <v>0.3887526785714297</v>
      </c>
      <c r="DY44">
        <v>-8.0446879807189884</v>
      </c>
      <c r="DZ44">
        <v>3556</v>
      </c>
      <c r="EA44">
        <v>-8.0135900434515275</v>
      </c>
      <c r="EB44">
        <v>8</v>
      </c>
      <c r="EC44">
        <v>7.2583921234561477E-2</v>
      </c>
      <c r="ED44">
        <v>0.43012011334586681</v>
      </c>
      <c r="EE44" s="14">
        <v>3.08311</v>
      </c>
      <c r="EF44">
        <v>3.0981100000000001</v>
      </c>
      <c r="EG44">
        <v>22.16875267857143</v>
      </c>
      <c r="EH44" t="s">
        <v>742</v>
      </c>
      <c r="EI44">
        <v>0</v>
      </c>
      <c r="EJ44">
        <v>0</v>
      </c>
      <c r="EK44" s="10">
        <v>45470</v>
      </c>
      <c r="EL44" s="15">
        <v>-2.4700000000000002</v>
      </c>
      <c r="EM44" s="15">
        <v>-4.54</v>
      </c>
      <c r="EN44" s="15">
        <v>-2.57</v>
      </c>
      <c r="EO44" s="15">
        <v>6.56</v>
      </c>
      <c r="EP44" s="15">
        <v>-1.5</v>
      </c>
    </row>
    <row r="45" spans="1:146" ht="108" x14ac:dyDescent="0.25">
      <c r="A45" s="7"/>
      <c r="B45" s="7"/>
      <c r="C45" s="7" t="str">
        <f>""&amp;CHAR(10)&amp;Basic_Fundamental_Information_Constructure(F45)&amp;CHAR(10)&amp;Basic_Fundamental_Information_Concatenate("")</f>
        <v xml:space="preserve">
市值38.091371亿, 利润-146.53万; PE70.24; 平均PE70.5; 平均PEG7.71, PB2.39; ROIC3.3567%; ROE4.7467%; 股利率1.0601%; 毛利23.2533%; 净利4.0533%; 上一年度营收增-74.62%, 利润增-102.62%; 当季营收增-52.37%, 利润增-103.75%; 过往5年营收增-9.14%, 利润增-21.81%
Income profile:
</v>
      </c>
      <c r="D45" t="s">
        <v>507</v>
      </c>
      <c r="E45" t="s">
        <v>508</v>
      </c>
      <c r="F45">
        <v>14.15</v>
      </c>
      <c r="G45">
        <v>1.22</v>
      </c>
      <c r="H45" t="s">
        <v>2221</v>
      </c>
      <c r="I45">
        <v>3809137100</v>
      </c>
      <c r="J45">
        <v>70.239999999999995</v>
      </c>
      <c r="K45">
        <v>2.39</v>
      </c>
      <c r="L45" t="s">
        <v>303</v>
      </c>
      <c r="M45" t="s">
        <v>800</v>
      </c>
      <c r="N45" t="s">
        <v>2222</v>
      </c>
      <c r="O45" t="s">
        <v>2223</v>
      </c>
      <c r="P45">
        <v>15.94</v>
      </c>
      <c r="Q45" t="s">
        <v>2223</v>
      </c>
      <c r="R45">
        <v>-1465255</v>
      </c>
      <c r="S45" s="5">
        <v>-1.17</v>
      </c>
      <c r="T45" t="s">
        <v>2224</v>
      </c>
      <c r="U45">
        <v>193378580</v>
      </c>
      <c r="V45">
        <v>269196970</v>
      </c>
      <c r="W45">
        <v>1.64</v>
      </c>
      <c r="X45">
        <v>0.15</v>
      </c>
      <c r="Y45">
        <v>-0.28999999999999998</v>
      </c>
      <c r="Z45" t="s">
        <v>1204</v>
      </c>
      <c r="AA45" t="s">
        <v>146</v>
      </c>
      <c r="AB45" t="s">
        <v>2225</v>
      </c>
      <c r="AC45" t="s">
        <v>2226</v>
      </c>
      <c r="AD45" t="s">
        <v>5</v>
      </c>
      <c r="AE45">
        <v>-613093</v>
      </c>
      <c r="AF45" t="s">
        <v>2227</v>
      </c>
      <c r="AG45" t="s">
        <v>2228</v>
      </c>
      <c r="AH45" t="s">
        <v>2229</v>
      </c>
      <c r="AI45" t="s">
        <v>1160</v>
      </c>
      <c r="AJ45" t="s">
        <v>2230</v>
      </c>
      <c r="AK45" t="s">
        <v>2231</v>
      </c>
      <c r="AL45" t="s">
        <v>2232</v>
      </c>
      <c r="AM45" t="s">
        <v>5</v>
      </c>
      <c r="AN45" t="s">
        <v>2233</v>
      </c>
      <c r="AO45" t="s">
        <v>2234</v>
      </c>
      <c r="AP45" t="s">
        <v>137</v>
      </c>
      <c r="AQ45" t="s">
        <v>235</v>
      </c>
      <c r="AR45" t="s">
        <v>5</v>
      </c>
      <c r="AS45" t="s">
        <v>2235</v>
      </c>
      <c r="AT45" t="s">
        <v>747</v>
      </c>
      <c r="AU45" t="s">
        <v>2236</v>
      </c>
      <c r="AV45" t="s">
        <v>2237</v>
      </c>
      <c r="AW45" t="s">
        <v>2238</v>
      </c>
      <c r="AX45" t="s">
        <v>969</v>
      </c>
      <c r="AY45" t="s">
        <v>324</v>
      </c>
      <c r="AZ45" t="s">
        <v>509</v>
      </c>
      <c r="BA45" t="s">
        <v>263</v>
      </c>
      <c r="BB45" t="s">
        <v>297</v>
      </c>
      <c r="BC45" t="s">
        <v>970</v>
      </c>
      <c r="BD45" t="s">
        <v>666</v>
      </c>
      <c r="BE45" t="s">
        <v>510</v>
      </c>
      <c r="BF45" t="s">
        <v>511</v>
      </c>
      <c r="BG45" t="s">
        <v>512</v>
      </c>
      <c r="BH45" t="s">
        <v>2239</v>
      </c>
      <c r="BI45" t="s">
        <v>943</v>
      </c>
      <c r="BJ45" t="s">
        <v>969</v>
      </c>
      <c r="BK45" t="s">
        <v>2240</v>
      </c>
      <c r="BL45" t="s">
        <v>1158</v>
      </c>
      <c r="BM45" t="s">
        <v>970</v>
      </c>
      <c r="BN45">
        <v>2.12</v>
      </c>
      <c r="BO45">
        <v>2.75</v>
      </c>
      <c r="BP45">
        <v>5.2</v>
      </c>
      <c r="BQ45">
        <v>3.01</v>
      </c>
      <c r="BR45">
        <v>3.62</v>
      </c>
      <c r="BS45">
        <v>7.61</v>
      </c>
      <c r="BT45" t="s">
        <v>871</v>
      </c>
      <c r="BU45" t="s">
        <v>1547</v>
      </c>
      <c r="BV45">
        <v>23.07</v>
      </c>
      <c r="BW45">
        <v>23.84</v>
      </c>
      <c r="BX45">
        <v>22.85</v>
      </c>
      <c r="BY45">
        <v>3.89</v>
      </c>
      <c r="BZ45">
        <v>3.72</v>
      </c>
      <c r="CA45">
        <v>4.55</v>
      </c>
      <c r="CB45">
        <v>-5.98</v>
      </c>
      <c r="CC45">
        <v>-8.18</v>
      </c>
      <c r="CD45" t="s">
        <v>2241</v>
      </c>
      <c r="CE45" t="s">
        <v>61</v>
      </c>
      <c r="CF45" s="11">
        <v>-0.52369077306733169</v>
      </c>
      <c r="CG45" s="12">
        <v>-1.0375092796911718</v>
      </c>
      <c r="CH45" s="11">
        <v>-0.74617940187454224</v>
      </c>
      <c r="CI45" s="11">
        <v>-7.9510778188705444E-2</v>
      </c>
      <c r="CJ45" s="11">
        <v>0.26940998435020447</v>
      </c>
      <c r="CK45" s="11">
        <v>5.228758230805397E-2</v>
      </c>
      <c r="CL45" s="11">
        <v>4.7048818320035934E-2</v>
      </c>
      <c r="CM45" s="12">
        <v>-1.026211142539978</v>
      </c>
      <c r="CN45" s="12">
        <v>-0.2472386360168457</v>
      </c>
      <c r="CO45" s="12">
        <v>0.48927640914916992</v>
      </c>
      <c r="CP45" s="12">
        <v>-0.3194366991519928</v>
      </c>
      <c r="CQ45" s="12">
        <v>1.3191718608140945E-2</v>
      </c>
      <c r="CR45">
        <v>70.504867511209753</v>
      </c>
      <c r="CS45">
        <v>7.7148292929660798</v>
      </c>
      <c r="CT45">
        <v>1.0600706713780919</v>
      </c>
      <c r="CU45" s="11">
        <v>-9.1388759016990659E-2</v>
      </c>
      <c r="CV45" s="12">
        <v>-0.21808366999030113</v>
      </c>
      <c r="CW45">
        <v>0.06</v>
      </c>
      <c r="CX45" t="e">
        <v>#VALUE!</v>
      </c>
      <c r="CY45" t="s">
        <v>740</v>
      </c>
      <c r="CZ45">
        <v>-9.1388759016990659E-2</v>
      </c>
      <c r="DA45" t="e">
        <v>#VALUE!</v>
      </c>
      <c r="DB45" t="s">
        <v>741</v>
      </c>
      <c r="DC45">
        <v>-8.6819321066141125E-2</v>
      </c>
      <c r="DD45" t="e">
        <v>#VALUE!</v>
      </c>
      <c r="DE45" t="s">
        <v>741</v>
      </c>
      <c r="DF45">
        <v>-8.0422107934951775E-2</v>
      </c>
      <c r="DG45" t="e">
        <v>#VALUE!</v>
      </c>
      <c r="DH45" t="s">
        <v>741</v>
      </c>
      <c r="DI45">
        <v>-7.3111007213592524E-2</v>
      </c>
      <c r="DJ45" t="e">
        <v>#VALUE!</v>
      </c>
      <c r="DK45" t="s">
        <v>741</v>
      </c>
      <c r="DL45">
        <v>-6.3972131311893457E-2</v>
      </c>
      <c r="DM45">
        <v>-1465300</v>
      </c>
      <c r="DN45">
        <v>-9.1388759016990659E-2</v>
      </c>
      <c r="DO45">
        <v>3184137100</v>
      </c>
      <c r="DP45">
        <v>1016749100</v>
      </c>
      <c r="DQ45">
        <v>2157</v>
      </c>
      <c r="DR45">
        <v>-0.43230201405034102</v>
      </c>
      <c r="DS45">
        <v>-0.81942560970087064</v>
      </c>
      <c r="DT45" s="13">
        <v>-0.64</v>
      </c>
      <c r="DU45">
        <v>-1.781666666666667</v>
      </c>
      <c r="DV45">
        <v>-2.4216666666666669</v>
      </c>
      <c r="DW45">
        <v>-8.7310513447432765</v>
      </c>
      <c r="DX45">
        <v>0.29371559633027516</v>
      </c>
      <c r="DY45">
        <v>-8.0758214261680994</v>
      </c>
      <c r="DZ45">
        <v>3734</v>
      </c>
      <c r="EA45">
        <v>-8.0204168850112136</v>
      </c>
      <c r="EB45">
        <v>8</v>
      </c>
      <c r="EC45">
        <v>4.1995272086457737E-2</v>
      </c>
      <c r="ED45">
        <v>0.40490797500432496</v>
      </c>
      <c r="EE45" s="14">
        <v>2.0110999999999999</v>
      </c>
      <c r="EF45">
        <v>2.0030100000000002</v>
      </c>
      <c r="EG45">
        <v>19.103715596330275</v>
      </c>
      <c r="EH45" t="s">
        <v>746</v>
      </c>
      <c r="EI45">
        <v>0</v>
      </c>
      <c r="EJ45">
        <v>0</v>
      </c>
      <c r="EK45" s="10">
        <v>45470</v>
      </c>
      <c r="EL45" s="15">
        <v>0.86</v>
      </c>
      <c r="EM45" s="15">
        <v>-5.25</v>
      </c>
      <c r="EN45" s="15">
        <v>-1.8</v>
      </c>
      <c r="EO45" s="15">
        <v>5.36</v>
      </c>
      <c r="EP45" s="15">
        <v>-1.41</v>
      </c>
    </row>
    <row r="46" spans="1:146" ht="108" x14ac:dyDescent="0.25">
      <c r="A46" s="7"/>
      <c r="B46" s="7"/>
      <c r="C46" s="7" t="str">
        <f>""&amp;CHAR(10)&amp;Basic_Fundamental_Information_Constructure(F46)&amp;CHAR(10)&amp;Basic_Fundamental_Information_Concatenate("")</f>
        <v xml:space="preserve">
市值19.108153亿, 利润2280.31万; PE28.27; 平均PE68.87; 平均PEG11.6, PB3.13; ROIC5.9333%; ROE7.93%; 股利率2.8112%; 毛利25.3633%; 净利6.53%; 上一年度营收增-71.93%, 利润增-37.74%; 当季营收增-43.39%, 利润增-15.13%; 过往5年营收增-5.94%, 利润增-2.69%
Income profile:
</v>
      </c>
      <c r="D46" t="s">
        <v>513</v>
      </c>
      <c r="E46" t="s">
        <v>514</v>
      </c>
      <c r="F46">
        <v>12.45</v>
      </c>
      <c r="G46">
        <v>1.1399999999999999</v>
      </c>
      <c r="H46" t="s">
        <v>2242</v>
      </c>
      <c r="I46">
        <v>1910815300</v>
      </c>
      <c r="J46">
        <v>28.27</v>
      </c>
      <c r="K46">
        <v>3.13</v>
      </c>
      <c r="L46" t="s">
        <v>303</v>
      </c>
      <c r="M46" t="s">
        <v>200</v>
      </c>
      <c r="N46" t="s">
        <v>246</v>
      </c>
      <c r="O46" t="s">
        <v>2243</v>
      </c>
      <c r="P46">
        <v>18.11</v>
      </c>
      <c r="Q46" t="s">
        <v>2243</v>
      </c>
      <c r="R46">
        <v>22803128</v>
      </c>
      <c r="S46" s="5">
        <v>1.1020000000000001</v>
      </c>
      <c r="T46" t="s">
        <v>2244</v>
      </c>
      <c r="U46">
        <v>129376048</v>
      </c>
      <c r="V46">
        <v>153479140</v>
      </c>
      <c r="W46">
        <v>1.49</v>
      </c>
      <c r="X46">
        <v>0.18</v>
      </c>
      <c r="Y46">
        <v>13.67</v>
      </c>
      <c r="Z46" t="s">
        <v>69</v>
      </c>
      <c r="AA46" t="s">
        <v>979</v>
      </c>
      <c r="AB46" t="s">
        <v>2245</v>
      </c>
      <c r="AC46" t="s">
        <v>2246</v>
      </c>
      <c r="AD46" t="s">
        <v>5</v>
      </c>
      <c r="AE46">
        <v>-278492</v>
      </c>
      <c r="AF46" t="s">
        <v>2247</v>
      </c>
      <c r="AG46" t="s">
        <v>2248</v>
      </c>
      <c r="AH46" t="s">
        <v>2249</v>
      </c>
      <c r="AI46" t="s">
        <v>1264</v>
      </c>
      <c r="AJ46" t="s">
        <v>2250</v>
      </c>
      <c r="AK46" t="s">
        <v>5</v>
      </c>
      <c r="AL46" t="s">
        <v>2251</v>
      </c>
      <c r="AM46" t="s">
        <v>5</v>
      </c>
      <c r="AN46" t="s">
        <v>2252</v>
      </c>
      <c r="AO46" t="s">
        <v>2253</v>
      </c>
      <c r="AP46" t="s">
        <v>2254</v>
      </c>
      <c r="AQ46" t="s">
        <v>2255</v>
      </c>
      <c r="AR46" t="s">
        <v>5</v>
      </c>
      <c r="AS46" t="s">
        <v>1154</v>
      </c>
      <c r="AT46" t="s">
        <v>2256</v>
      </c>
      <c r="AU46" t="s">
        <v>2257</v>
      </c>
      <c r="AV46" t="s">
        <v>2258</v>
      </c>
      <c r="AW46" t="s">
        <v>2259</v>
      </c>
      <c r="AX46" t="s">
        <v>789</v>
      </c>
      <c r="AY46" t="s">
        <v>161</v>
      </c>
      <c r="AZ46" t="s">
        <v>166</v>
      </c>
      <c r="BA46" t="s">
        <v>107</v>
      </c>
      <c r="BB46" t="s">
        <v>58</v>
      </c>
      <c r="BC46" t="s">
        <v>971</v>
      </c>
      <c r="BD46" t="s">
        <v>667</v>
      </c>
      <c r="BE46" t="s">
        <v>515</v>
      </c>
      <c r="BF46" t="s">
        <v>516</v>
      </c>
      <c r="BG46" t="s">
        <v>517</v>
      </c>
      <c r="BH46" t="s">
        <v>967</v>
      </c>
      <c r="BI46" t="s">
        <v>173</v>
      </c>
      <c r="BJ46" t="s">
        <v>789</v>
      </c>
      <c r="BK46" t="s">
        <v>2260</v>
      </c>
      <c r="BL46" t="s">
        <v>1162</v>
      </c>
      <c r="BM46" t="s">
        <v>971</v>
      </c>
      <c r="BN46">
        <v>5.67</v>
      </c>
      <c r="BO46">
        <v>6.89</v>
      </c>
      <c r="BP46">
        <v>5.24</v>
      </c>
      <c r="BQ46">
        <v>8.52</v>
      </c>
      <c r="BR46">
        <v>8.6199999999999992</v>
      </c>
      <c r="BS46">
        <v>6.65</v>
      </c>
      <c r="BT46" t="s">
        <v>2261</v>
      </c>
      <c r="BU46" t="s">
        <v>1296</v>
      </c>
      <c r="BV46">
        <v>30.6</v>
      </c>
      <c r="BW46">
        <v>22.85</v>
      </c>
      <c r="BX46">
        <v>22.64</v>
      </c>
      <c r="BY46">
        <v>8.64</v>
      </c>
      <c r="BZ46">
        <v>6.16</v>
      </c>
      <c r="CA46">
        <v>4.79</v>
      </c>
      <c r="CB46">
        <v>-8.0500000000000007</v>
      </c>
      <c r="CC46">
        <v>-2.12</v>
      </c>
      <c r="CD46" t="s">
        <v>2262</v>
      </c>
      <c r="CE46" t="s">
        <v>167</v>
      </c>
      <c r="CF46" s="11">
        <v>-0.43389830508474575</v>
      </c>
      <c r="CG46" s="12">
        <v>-0.1512936158492785</v>
      </c>
      <c r="CH46" s="11">
        <v>-0.71932774782180786</v>
      </c>
      <c r="CI46" s="11">
        <v>9.7785979509353638E-2</v>
      </c>
      <c r="CJ46" s="11">
        <v>0.29047620296478271</v>
      </c>
      <c r="CK46" s="11">
        <v>1.2048192322254181E-2</v>
      </c>
      <c r="CL46" s="11">
        <v>2.2167487069964409E-2</v>
      </c>
      <c r="CM46" s="12">
        <v>-0.37742546200752258</v>
      </c>
      <c r="CN46" s="12">
        <v>0.40868586301803589</v>
      </c>
      <c r="CO46" s="12">
        <v>0.14484418928623199</v>
      </c>
      <c r="CP46" s="12">
        <v>-0.14267216622829437</v>
      </c>
      <c r="CQ46" s="12">
        <v>-0.16795024275779724</v>
      </c>
      <c r="CR46">
        <v>68.870121678704791</v>
      </c>
      <c r="CS46">
        <v>11.600159699748016</v>
      </c>
      <c r="CT46">
        <v>2.811244979919679</v>
      </c>
      <c r="CU46" s="11">
        <v>-5.9369977191090585E-2</v>
      </c>
      <c r="CV46" s="12">
        <v>-2.6903563737869264E-2</v>
      </c>
      <c r="CW46">
        <v>0.06</v>
      </c>
      <c r="CX46">
        <v>70.113945033789264</v>
      </c>
      <c r="CY46" t="s">
        <v>2263</v>
      </c>
      <c r="CZ46">
        <v>-5.9369977191090585E-2</v>
      </c>
      <c r="DA46">
        <v>23.371315011263089</v>
      </c>
      <c r="DB46" t="s">
        <v>2264</v>
      </c>
      <c r="DC46">
        <v>-5.6401478331536054E-2</v>
      </c>
      <c r="DD46">
        <v>11.685657505631545</v>
      </c>
      <c r="DE46" t="s">
        <v>2265</v>
      </c>
      <c r="DF46">
        <v>-5.2245579928159716E-2</v>
      </c>
      <c r="DG46">
        <v>7.0113945033789262</v>
      </c>
      <c r="DH46" t="s">
        <v>2266</v>
      </c>
      <c r="DI46">
        <v>-4.7495981752872472E-2</v>
      </c>
      <c r="DJ46">
        <v>3.5056972516894631</v>
      </c>
      <c r="DK46" t="s">
        <v>2267</v>
      </c>
      <c r="DL46">
        <v>-4.1558984033763409E-2</v>
      </c>
      <c r="DM46">
        <v>22803100</v>
      </c>
      <c r="DN46">
        <v>-5.9369977191090585E-2</v>
      </c>
      <c r="DO46">
        <v>1598815300</v>
      </c>
      <c r="DP46">
        <v>298598110</v>
      </c>
      <c r="DQ46">
        <v>2204</v>
      </c>
      <c r="DR46">
        <v>-0.37452832789365514</v>
      </c>
      <c r="DS46">
        <v>-0.12439005211140924</v>
      </c>
      <c r="DT46" s="13">
        <v>-0.64</v>
      </c>
      <c r="DU46">
        <v>-0.33666666666666667</v>
      </c>
      <c r="DV46">
        <v>-0.97666666666666668</v>
      </c>
      <c r="DW46">
        <v>-5.2633540372670806</v>
      </c>
      <c r="DX46">
        <v>0.29985681818181875</v>
      </c>
      <c r="DY46">
        <v>-5.0420989384528516</v>
      </c>
      <c r="DZ46" t="s">
        <v>894</v>
      </c>
      <c r="EA46" t="e">
        <v>#VALUE!</v>
      </c>
      <c r="EB46" t="e">
        <v>#VALUE!</v>
      </c>
      <c r="EC46">
        <v>0.13748513315881233</v>
      </c>
      <c r="ED46">
        <v>0.86005173080849939</v>
      </c>
      <c r="EE46" s="14">
        <v>-2.1184099999999999</v>
      </c>
      <c r="EF46">
        <v>-2.1184099999999999</v>
      </c>
      <c r="EG46">
        <v>14.159856818181819</v>
      </c>
      <c r="EH46" t="s">
        <v>1075</v>
      </c>
      <c r="EI46" t="e">
        <v>#VALUE!</v>
      </c>
      <c r="EJ46">
        <v>0</v>
      </c>
      <c r="EK46" s="10">
        <v>45470</v>
      </c>
      <c r="EL46" s="15">
        <v>0</v>
      </c>
      <c r="EM46" s="15">
        <v>0</v>
      </c>
      <c r="EN46" s="15">
        <v>0</v>
      </c>
      <c r="EO46" s="15">
        <v>0</v>
      </c>
      <c r="EP46" s="15">
        <v>0</v>
      </c>
    </row>
    <row r="47" spans="1:146" ht="96" x14ac:dyDescent="0.25">
      <c r="A47" s="7"/>
      <c r="B47" s="7"/>
      <c r="C47" s="7" t="str">
        <f>""&amp;CHAR(10)&amp;Basic_Fundamental_Information_Constructure(F47)&amp;CHAR(10)&amp;Basic_Fundamental_Information_Concatenate("")</f>
        <v xml:space="preserve">
市值20.184亿, 利润879.38万; PE47.71; 平均PE11.15; 平均PEG.67, PB1.05; ROIC7.65%; ROE5.8567%; 股利率1.1891%; 毛利31.2433%; 净利12.84%; 上一年度营收增-91.16%, 利润增-94.89%; 当季营收增-45.68%, 利润增201.05%; 过往5年营收增-16.69%, 利润增-20.66%
Income profile:
</v>
      </c>
      <c r="D47" t="s">
        <v>518</v>
      </c>
      <c r="E47" t="s">
        <v>519</v>
      </c>
      <c r="F47">
        <v>8.41</v>
      </c>
      <c r="G47">
        <v>0.48</v>
      </c>
      <c r="H47" t="s">
        <v>2268</v>
      </c>
      <c r="I47">
        <v>2018400000</v>
      </c>
      <c r="J47">
        <v>47.71</v>
      </c>
      <c r="K47">
        <v>1.05</v>
      </c>
      <c r="L47" t="s">
        <v>303</v>
      </c>
      <c r="M47" t="s">
        <v>956</v>
      </c>
      <c r="N47" t="s">
        <v>2269</v>
      </c>
      <c r="O47" t="s">
        <v>2270</v>
      </c>
      <c r="P47">
        <v>4.83</v>
      </c>
      <c r="Q47" t="s">
        <v>2270</v>
      </c>
      <c r="R47">
        <v>8793819</v>
      </c>
      <c r="S47" s="5">
        <v>1.98</v>
      </c>
      <c r="T47" t="s">
        <v>2271</v>
      </c>
      <c r="U47">
        <v>181199140</v>
      </c>
      <c r="V47">
        <v>240000000</v>
      </c>
      <c r="W47">
        <v>1.1399999999999999</v>
      </c>
      <c r="X47">
        <v>0.03</v>
      </c>
      <c r="Y47">
        <v>11.03</v>
      </c>
      <c r="Z47" t="s">
        <v>2272</v>
      </c>
      <c r="AA47" t="s">
        <v>2273</v>
      </c>
      <c r="AB47" t="s">
        <v>2274</v>
      </c>
      <c r="AC47" t="s">
        <v>2275</v>
      </c>
      <c r="AD47" t="s">
        <v>5</v>
      </c>
      <c r="AE47">
        <v>-12290065</v>
      </c>
      <c r="AF47" t="s">
        <v>2276</v>
      </c>
      <c r="AG47" t="s">
        <v>2277</v>
      </c>
      <c r="AH47" t="s">
        <v>2278</v>
      </c>
      <c r="AI47" t="s">
        <v>2279</v>
      </c>
      <c r="AJ47" t="s">
        <v>2280</v>
      </c>
      <c r="AK47" t="s">
        <v>2281</v>
      </c>
      <c r="AL47" t="s">
        <v>2282</v>
      </c>
      <c r="AM47" t="s">
        <v>5</v>
      </c>
      <c r="AN47" t="s">
        <v>972</v>
      </c>
      <c r="AO47" t="s">
        <v>2283</v>
      </c>
      <c r="AP47" t="s">
        <v>2284</v>
      </c>
      <c r="AQ47" t="s">
        <v>2285</v>
      </c>
      <c r="AR47" t="s">
        <v>5</v>
      </c>
      <c r="AS47" t="s">
        <v>119</v>
      </c>
      <c r="AT47" t="s">
        <v>5</v>
      </c>
      <c r="AU47" t="s">
        <v>2286</v>
      </c>
      <c r="AV47" t="s">
        <v>2287</v>
      </c>
      <c r="AW47" t="s">
        <v>2288</v>
      </c>
      <c r="AX47" t="s">
        <v>961</v>
      </c>
      <c r="AY47" t="s">
        <v>668</v>
      </c>
      <c r="AZ47" t="s">
        <v>520</v>
      </c>
      <c r="BA47" t="s">
        <v>262</v>
      </c>
      <c r="BB47" t="s">
        <v>454</v>
      </c>
      <c r="BC47" t="s">
        <v>760</v>
      </c>
      <c r="BD47" t="s">
        <v>81</v>
      </c>
      <c r="BE47" t="s">
        <v>154</v>
      </c>
      <c r="BF47" t="s">
        <v>178</v>
      </c>
      <c r="BG47" t="s">
        <v>174</v>
      </c>
      <c r="BH47" t="s">
        <v>1192</v>
      </c>
      <c r="BI47" t="s">
        <v>69</v>
      </c>
      <c r="BJ47" t="s">
        <v>961</v>
      </c>
      <c r="BK47" t="s">
        <v>2289</v>
      </c>
      <c r="BL47" t="s">
        <v>1164</v>
      </c>
      <c r="BM47" t="s">
        <v>760</v>
      </c>
      <c r="BN47" t="s">
        <v>5</v>
      </c>
      <c r="BO47">
        <v>6.99</v>
      </c>
      <c r="BP47">
        <v>8.31</v>
      </c>
      <c r="BQ47">
        <v>-0.67</v>
      </c>
      <c r="BR47">
        <v>8.9</v>
      </c>
      <c r="BS47">
        <v>9.34</v>
      </c>
      <c r="BT47" t="s">
        <v>2290</v>
      </c>
      <c r="BU47" t="s">
        <v>1296</v>
      </c>
      <c r="BV47">
        <v>29.94</v>
      </c>
      <c r="BW47">
        <v>31.23</v>
      </c>
      <c r="BX47">
        <v>32.56</v>
      </c>
      <c r="BY47">
        <v>5.66</v>
      </c>
      <c r="BZ47">
        <v>19.5</v>
      </c>
      <c r="CA47">
        <v>13.36</v>
      </c>
      <c r="CB47">
        <v>-4.32</v>
      </c>
      <c r="CC47">
        <v>-11.19</v>
      </c>
      <c r="CD47" t="s">
        <v>2291</v>
      </c>
      <c r="CE47" t="s">
        <v>1136</v>
      </c>
      <c r="CF47" s="11">
        <v>-0.45682253521126759</v>
      </c>
      <c r="CG47" s="12">
        <v>2.0105050330943186</v>
      </c>
      <c r="CH47" s="11">
        <v>-0.91164809465408325</v>
      </c>
      <c r="CI47" s="11">
        <v>-0.30604133009910583</v>
      </c>
      <c r="CJ47" s="11">
        <v>0.22373540699481964</v>
      </c>
      <c r="CK47" s="11">
        <v>-1.7208412289619446E-2</v>
      </c>
      <c r="CL47" s="11">
        <v>0.17660292983055115</v>
      </c>
      <c r="CM47" s="12">
        <v>-0.94887328147888184</v>
      </c>
      <c r="CN47" s="12">
        <v>1.7751479521393776E-2</v>
      </c>
      <c r="CO47" s="12">
        <v>-0.29288703203201294</v>
      </c>
      <c r="CP47" s="12">
        <v>-0.16433566808700562</v>
      </c>
      <c r="CQ47" s="12">
        <v>0.35545024275779724</v>
      </c>
      <c r="CR47">
        <v>11.153498942432716</v>
      </c>
      <c r="CS47">
        <v>0.66822670759405178</v>
      </c>
      <c r="CT47">
        <v>1.1890749108204517</v>
      </c>
      <c r="CU47" s="11">
        <v>-0.16691190004348755</v>
      </c>
      <c r="CV47" s="12">
        <v>-0.20657885186374186</v>
      </c>
      <c r="CW47">
        <v>0.06</v>
      </c>
      <c r="CX47">
        <v>44.394914598921964</v>
      </c>
      <c r="CY47" t="s">
        <v>2292</v>
      </c>
      <c r="CZ47">
        <v>-0.16691190004348755</v>
      </c>
      <c r="DA47">
        <v>14.798304866307323</v>
      </c>
      <c r="DB47" t="s">
        <v>2293</v>
      </c>
      <c r="DC47">
        <v>-0.15856630504131317</v>
      </c>
      <c r="DD47">
        <v>7.3991524331536613</v>
      </c>
      <c r="DE47" t="s">
        <v>2294</v>
      </c>
      <c r="DF47">
        <v>-0.14688247203826904</v>
      </c>
      <c r="DG47">
        <v>4.4394914598921966</v>
      </c>
      <c r="DH47" t="s">
        <v>2295</v>
      </c>
      <c r="DI47">
        <v>-0.13352952003479004</v>
      </c>
      <c r="DJ47">
        <v>2.2197457299460983</v>
      </c>
      <c r="DK47" t="s">
        <v>2296</v>
      </c>
      <c r="DL47">
        <v>-0.11683833003044128</v>
      </c>
      <c r="DM47">
        <v>8793800</v>
      </c>
      <c r="DN47">
        <v>-0.16691190004348755</v>
      </c>
      <c r="DO47">
        <v>390400000</v>
      </c>
      <c r="DP47">
        <v>1573123500</v>
      </c>
      <c r="DQ47">
        <v>2229</v>
      </c>
      <c r="DR47">
        <v>-0.28991063516778004</v>
      </c>
      <c r="DS47">
        <v>2.2170838849580603</v>
      </c>
      <c r="DT47" s="13">
        <v>-0.69</v>
      </c>
      <c r="DU47">
        <v>-0.70333333333333325</v>
      </c>
      <c r="DV47">
        <v>-1.3933333333333331</v>
      </c>
      <c r="DW47">
        <v>-8.3860589812332442</v>
      </c>
      <c r="DX47">
        <v>0.39351428571428415</v>
      </c>
      <c r="DY47">
        <v>-8.0515443891229417</v>
      </c>
      <c r="DZ47">
        <v>940</v>
      </c>
      <c r="EA47">
        <v>-8.042062642395825</v>
      </c>
      <c r="EB47">
        <v>8</v>
      </c>
      <c r="EC47">
        <v>8.1777500000000003E-2</v>
      </c>
      <c r="ED47">
        <v>0.61250000000000004</v>
      </c>
      <c r="EE47" s="14">
        <v>9.900000000000006E-3</v>
      </c>
      <c r="EF47">
        <v>1.4000000000000002E-3</v>
      </c>
      <c r="EG47">
        <v>26.133514285714284</v>
      </c>
      <c r="EH47" t="s">
        <v>722</v>
      </c>
      <c r="EI47">
        <v>0</v>
      </c>
      <c r="EJ47">
        <v>1</v>
      </c>
      <c r="EK47" s="10">
        <v>45470</v>
      </c>
      <c r="EL47" s="15">
        <v>1.37</v>
      </c>
      <c r="EM47" s="15">
        <v>-2.59</v>
      </c>
      <c r="EN47" s="15">
        <v>-1.0900000000000001</v>
      </c>
      <c r="EO47" s="15">
        <v>4.74</v>
      </c>
      <c r="EP47" s="15">
        <v>-0.85</v>
      </c>
    </row>
    <row r="48" spans="1:146" ht="108" x14ac:dyDescent="0.25">
      <c r="A48" s="7"/>
      <c r="B48" s="7"/>
      <c r="C48" s="7" t="str">
        <f>""&amp;CHAR(10)&amp;Basic_Fundamental_Information_Constructure(F48)&amp;CHAR(10)&amp;Basic_Fundamental_Information_Concatenate("")</f>
        <v xml:space="preserve">
市值17.792545亿, 利润705.95万; PE16.3; 平均PE26.93; 平均PEG6.38, PB1.79; ROIC7.68%; ROE8.2167%; 股利率2.3586%; 毛利47.47%; 净利19.1167%; 上一年度营收增-78.93%, 利润增-92.26%; 当季营收增-65.09%, 利润增-84.53%; 过往5年营收增-4.22%, 利润增-14.98%
Income profile:
</v>
      </c>
      <c r="D48" t="s">
        <v>521</v>
      </c>
      <c r="E48" t="s">
        <v>522</v>
      </c>
      <c r="F48">
        <v>12.38</v>
      </c>
      <c r="G48">
        <v>0.9</v>
      </c>
      <c r="H48" t="s">
        <v>2297</v>
      </c>
      <c r="I48">
        <v>1779254500</v>
      </c>
      <c r="J48">
        <v>16.3</v>
      </c>
      <c r="K48">
        <v>1.79</v>
      </c>
      <c r="L48" t="s">
        <v>303</v>
      </c>
      <c r="M48" t="s">
        <v>2298</v>
      </c>
      <c r="N48" t="s">
        <v>1894</v>
      </c>
      <c r="O48" t="s">
        <v>2299</v>
      </c>
      <c r="P48">
        <v>29.24</v>
      </c>
      <c r="Q48" t="s">
        <v>2299</v>
      </c>
      <c r="R48">
        <v>7059541</v>
      </c>
      <c r="S48" s="5">
        <v>0.2213</v>
      </c>
      <c r="T48" t="s">
        <v>2300</v>
      </c>
      <c r="U48">
        <v>98821729</v>
      </c>
      <c r="V48">
        <v>143720080</v>
      </c>
      <c r="W48">
        <v>1.44</v>
      </c>
      <c r="X48">
        <v>0.06</v>
      </c>
      <c r="Y48">
        <v>8.57</v>
      </c>
      <c r="Z48" t="s">
        <v>2301</v>
      </c>
      <c r="AA48" t="s">
        <v>2302</v>
      </c>
      <c r="AB48" t="s">
        <v>2303</v>
      </c>
      <c r="AC48" t="s">
        <v>2304</v>
      </c>
      <c r="AD48" t="s">
        <v>5</v>
      </c>
      <c r="AE48">
        <v>-1099224</v>
      </c>
      <c r="AF48" t="s">
        <v>2305</v>
      </c>
      <c r="AG48" t="s">
        <v>5</v>
      </c>
      <c r="AH48" t="s">
        <v>2306</v>
      </c>
      <c r="AI48" t="s">
        <v>155</v>
      </c>
      <c r="AJ48" t="s">
        <v>2307</v>
      </c>
      <c r="AK48" t="s">
        <v>2308</v>
      </c>
      <c r="AL48" t="s">
        <v>2309</v>
      </c>
      <c r="AM48" t="s">
        <v>5</v>
      </c>
      <c r="AN48">
        <v>0</v>
      </c>
      <c r="AO48" t="s">
        <v>1166</v>
      </c>
      <c r="AP48" t="s">
        <v>54</v>
      </c>
      <c r="AQ48" t="s">
        <v>74</v>
      </c>
      <c r="AR48" t="s">
        <v>5</v>
      </c>
      <c r="AS48" t="s">
        <v>1029</v>
      </c>
      <c r="AT48" t="s">
        <v>5</v>
      </c>
      <c r="AU48" t="s">
        <v>2310</v>
      </c>
      <c r="AV48" t="s">
        <v>2311</v>
      </c>
      <c r="AW48" t="s">
        <v>2312</v>
      </c>
      <c r="AX48" t="s">
        <v>274</v>
      </c>
      <c r="AY48" t="s">
        <v>77</v>
      </c>
      <c r="AZ48" t="s">
        <v>213</v>
      </c>
      <c r="BA48" t="s">
        <v>146</v>
      </c>
      <c r="BB48" t="s">
        <v>106</v>
      </c>
      <c r="BC48" t="s">
        <v>974</v>
      </c>
      <c r="BD48" t="s">
        <v>669</v>
      </c>
      <c r="BE48" t="s">
        <v>523</v>
      </c>
      <c r="BF48" t="s">
        <v>524</v>
      </c>
      <c r="BG48" t="s">
        <v>525</v>
      </c>
      <c r="BH48" t="s">
        <v>1574</v>
      </c>
      <c r="BI48" t="s">
        <v>1093</v>
      </c>
      <c r="BJ48" t="s">
        <v>274</v>
      </c>
      <c r="BK48" t="s">
        <v>20</v>
      </c>
      <c r="BL48" t="s">
        <v>1168</v>
      </c>
      <c r="BM48" t="s">
        <v>974</v>
      </c>
      <c r="BN48">
        <v>4.8499999999999996</v>
      </c>
      <c r="BO48">
        <v>10.029999999999999</v>
      </c>
      <c r="BP48">
        <v>8.16</v>
      </c>
      <c r="BQ48">
        <v>5.28</v>
      </c>
      <c r="BR48">
        <v>10.75</v>
      </c>
      <c r="BS48">
        <v>8.6199999999999992</v>
      </c>
      <c r="BT48" t="s">
        <v>2313</v>
      </c>
      <c r="BU48" t="s">
        <v>1296</v>
      </c>
      <c r="BV48">
        <v>42.46</v>
      </c>
      <c r="BW48">
        <v>49.78</v>
      </c>
      <c r="BX48">
        <v>50.17</v>
      </c>
      <c r="BY48">
        <v>17.45</v>
      </c>
      <c r="BZ48">
        <v>21</v>
      </c>
      <c r="CA48">
        <v>18.899999999999999</v>
      </c>
      <c r="CB48">
        <v>-6.5</v>
      </c>
      <c r="CC48">
        <v>-11.85</v>
      </c>
      <c r="CD48" t="s">
        <v>2314</v>
      </c>
      <c r="CE48" t="s">
        <v>2315</v>
      </c>
      <c r="CF48" s="11">
        <v>-0.65090954198473283</v>
      </c>
      <c r="CG48" s="12">
        <v>-0.8453445688535256</v>
      </c>
      <c r="CH48" s="11">
        <v>-0.78925877809524536</v>
      </c>
      <c r="CI48" s="11">
        <v>0.23295454680919647</v>
      </c>
      <c r="CJ48" s="11">
        <v>0.30855017900466919</v>
      </c>
      <c r="CK48" s="11">
        <v>-0.12944984436035156</v>
      </c>
      <c r="CL48" s="11">
        <v>0.16603773832321167</v>
      </c>
      <c r="CM48" s="12">
        <v>-0.92261630296707153</v>
      </c>
      <c r="CN48" s="12">
        <v>0.3712039589881897</v>
      </c>
      <c r="CO48" s="12">
        <v>3.0443644151091576E-2</v>
      </c>
      <c r="CP48" s="12">
        <v>-0.22615893185138702</v>
      </c>
      <c r="CQ48" s="12">
        <v>-1.9235484069213271E-3</v>
      </c>
      <c r="CR48">
        <v>26.930315100665215</v>
      </c>
      <c r="CS48">
        <v>6.3765698337050694</v>
      </c>
      <c r="CT48">
        <v>2.3586429725363489</v>
      </c>
      <c r="CU48" s="11">
        <v>-4.2233231663703921E-2</v>
      </c>
      <c r="CV48" s="12">
        <v>-0.14981023601721971</v>
      </c>
      <c r="CW48">
        <v>0.06</v>
      </c>
      <c r="CX48">
        <v>173.98604717047951</v>
      </c>
      <c r="CY48" t="s">
        <v>2316</v>
      </c>
      <c r="CZ48">
        <v>-4.2233231663703921E-2</v>
      </c>
      <c r="DA48">
        <v>57.995349056826498</v>
      </c>
      <c r="DB48" t="s">
        <v>2317</v>
      </c>
      <c r="DC48">
        <v>-4.0121570080518726E-2</v>
      </c>
      <c r="DD48">
        <v>28.997674528413249</v>
      </c>
      <c r="DE48" t="s">
        <v>2318</v>
      </c>
      <c r="DF48">
        <v>-3.716524386405945E-2</v>
      </c>
      <c r="DG48">
        <v>17.398604717047949</v>
      </c>
      <c r="DH48" t="s">
        <v>2319</v>
      </c>
      <c r="DI48">
        <v>-3.378658533096314E-2</v>
      </c>
      <c r="DJ48">
        <v>8.6993023585239744</v>
      </c>
      <c r="DK48" t="s">
        <v>2320</v>
      </c>
      <c r="DL48">
        <v>-2.9563262164592742E-2</v>
      </c>
      <c r="DM48">
        <v>7059500</v>
      </c>
      <c r="DN48">
        <v>-4.2233231663703921E-2</v>
      </c>
      <c r="DO48">
        <v>1228254500</v>
      </c>
      <c r="DP48">
        <v>801731810</v>
      </c>
      <c r="DQ48">
        <v>2247</v>
      </c>
      <c r="DR48">
        <v>-0.60867631032102887</v>
      </c>
      <c r="DS48">
        <v>-0.69553433283630595</v>
      </c>
      <c r="DT48" s="13">
        <v>-0.39000000000000007</v>
      </c>
      <c r="DU48">
        <v>-0.73999999999999988</v>
      </c>
      <c r="DV48">
        <v>-1.1299999999999999</v>
      </c>
      <c r="DW48">
        <v>-9.5485232067510548</v>
      </c>
      <c r="DX48">
        <v>0.33951824494338023</v>
      </c>
      <c r="DY48">
        <v>-9.0710437630491114</v>
      </c>
      <c r="DZ48">
        <v>2653</v>
      </c>
      <c r="EA48">
        <v>-9.0341593983975859</v>
      </c>
      <c r="EB48">
        <v>9</v>
      </c>
      <c r="EC48">
        <v>4.5592793992321738E-2</v>
      </c>
      <c r="ED48">
        <v>0.35201831226367253</v>
      </c>
      <c r="EE48" s="14">
        <v>1.071</v>
      </c>
      <c r="EF48">
        <v>1.073</v>
      </c>
      <c r="EG48">
        <v>21.12951824494338</v>
      </c>
      <c r="EH48" t="s">
        <v>743</v>
      </c>
      <c r="EI48">
        <v>0</v>
      </c>
      <c r="EJ48">
        <v>0</v>
      </c>
      <c r="EK48" s="10">
        <v>45470</v>
      </c>
      <c r="EL48" s="15">
        <v>0.74</v>
      </c>
      <c r="EM48" s="15">
        <v>-5.91</v>
      </c>
      <c r="EN48" s="15">
        <v>0.04</v>
      </c>
      <c r="EO48" s="15">
        <v>8.58</v>
      </c>
      <c r="EP48" s="15">
        <v>0.2</v>
      </c>
    </row>
    <row r="49" spans="1:146" ht="228" x14ac:dyDescent="0.25">
      <c r="A49" s="7" t="s">
        <v>1258</v>
      </c>
      <c r="B49" s="7" t="s">
        <v>1259</v>
      </c>
      <c r="C49" s="7" t="str">
        <f>"公司是专业从事光学镜头等产品设计、研发、生产和销售的高新技术企业。产品主要有安防镜头类、消费类、车载镜头类、机器视觉镜头类、头盔显示目镜类。"&amp;CHAR(10)&amp;Basic_Fundamental_Information_Constructure(F49)&amp;CHAR(10)&amp;Basic_Fundamental_Information_Concatenate("安防类 6.28亿 67.42% 1.27亿 69.88% 20.16%
智能家居 1.13亿 12.18% 1379.67万 7.61% 12.16%
车载镜头 8853.73万 9.50% 2322.61万 12.82% 26.23%
汽车光学配件 3756.02万 4.03% 286.99万 1.58% 7.64%
应用光学 1732.24万 1.86% 411.25万 2.27% 23.74%
机器视觉 1593.01万 1.71% 597.44万 3.30% 37.50%")</f>
        <v>公司是专业从事光学镜头等产品设计、研发、生产和销售的高新技术企业。产品主要有安防镜头类、消费类、车载镜头类、机器视觉镜头类、头盔显示目镜类。
市值44.963443亿, 利润4026.16万; PE73.83; 平均PE35.72; 平均PEG53.02, PB2.57; ROIC6.9633%; ROE9.1267%; 股利率.7463%; 毛利23.5333%; 净利7.38%; 上一年度营收增-69.18%, 利润增-72.04%; 当季营收增-38.95%, 利润增49.49%; 过往5年营收增.67%, 利润增1.38%
Income profile:
安防类 6.28亿 67.42% 1.27亿 69.88% 20.16%
智能家居 1.13亿 12.18% 1379.67万 7.61% 12.16%
车载镜头 8853.73万 9.50% 2322.61万 12.82% 26.23%
汽车光学配件 3756.02万 4.03% 286.99万 1.58% 7.64%
应用光学 1732.24万 1.86% 411.25万 2.27% 23.74%
机器视觉 1593.01万 1.71% 597.44万 3.30% 37.50%</v>
      </c>
      <c r="D49" t="s">
        <v>526</v>
      </c>
      <c r="E49" t="s">
        <v>527</v>
      </c>
      <c r="F49">
        <v>13.4</v>
      </c>
      <c r="G49">
        <v>-0.67</v>
      </c>
      <c r="H49" t="s">
        <v>2321</v>
      </c>
      <c r="I49">
        <v>4496344300</v>
      </c>
      <c r="J49">
        <v>73.83</v>
      </c>
      <c r="K49">
        <v>2.57</v>
      </c>
      <c r="L49" t="s">
        <v>303</v>
      </c>
      <c r="M49" t="s">
        <v>2322</v>
      </c>
      <c r="N49" t="s">
        <v>2323</v>
      </c>
      <c r="O49" t="s">
        <v>2324</v>
      </c>
      <c r="P49">
        <v>38.47</v>
      </c>
      <c r="Q49" t="s">
        <v>2324</v>
      </c>
      <c r="R49">
        <v>40261643</v>
      </c>
      <c r="S49" s="5">
        <v>2.94</v>
      </c>
      <c r="T49" t="s">
        <v>2325</v>
      </c>
      <c r="U49">
        <v>247961110</v>
      </c>
      <c r="V49">
        <v>335548080</v>
      </c>
      <c r="W49">
        <v>2.42</v>
      </c>
      <c r="X49">
        <v>0.11</v>
      </c>
      <c r="Y49">
        <v>8.2100000000000009</v>
      </c>
      <c r="Z49" t="s">
        <v>1246</v>
      </c>
      <c r="AA49" t="s">
        <v>197</v>
      </c>
      <c r="AB49" t="s">
        <v>2326</v>
      </c>
      <c r="AC49" t="s">
        <v>2327</v>
      </c>
      <c r="AD49" t="s">
        <v>5</v>
      </c>
      <c r="AE49">
        <v>15463904</v>
      </c>
      <c r="AF49" t="s">
        <v>2328</v>
      </c>
      <c r="AG49" t="s">
        <v>2329</v>
      </c>
      <c r="AH49" t="s">
        <v>2330</v>
      </c>
      <c r="AI49" t="s">
        <v>161</v>
      </c>
      <c r="AJ49" t="s">
        <v>2331</v>
      </c>
      <c r="AK49" t="s">
        <v>2332</v>
      </c>
      <c r="AL49" t="s">
        <v>2333</v>
      </c>
      <c r="AM49" t="s">
        <v>5</v>
      </c>
      <c r="AN49" t="s">
        <v>118</v>
      </c>
      <c r="AO49" t="s">
        <v>2334</v>
      </c>
      <c r="AP49" t="s">
        <v>2335</v>
      </c>
      <c r="AQ49" t="s">
        <v>2336</v>
      </c>
      <c r="AR49" t="s">
        <v>5</v>
      </c>
      <c r="AS49" t="s">
        <v>2337</v>
      </c>
      <c r="AT49" t="s">
        <v>670</v>
      </c>
      <c r="AU49" t="s">
        <v>2338</v>
      </c>
      <c r="AV49" t="s">
        <v>2339</v>
      </c>
      <c r="AW49" t="s">
        <v>2340</v>
      </c>
      <c r="AX49" t="s">
        <v>975</v>
      </c>
      <c r="AY49" t="s">
        <v>671</v>
      </c>
      <c r="AZ49" t="s">
        <v>249</v>
      </c>
      <c r="BA49" t="s">
        <v>528</v>
      </c>
      <c r="BB49" t="s">
        <v>126</v>
      </c>
      <c r="BC49" t="s">
        <v>100</v>
      </c>
      <c r="BD49" t="s">
        <v>89</v>
      </c>
      <c r="BE49" t="s">
        <v>45</v>
      </c>
      <c r="BF49" t="s">
        <v>79</v>
      </c>
      <c r="BG49" t="s">
        <v>529</v>
      </c>
      <c r="BH49" t="s">
        <v>2341</v>
      </c>
      <c r="BI49" t="s">
        <v>927</v>
      </c>
      <c r="BJ49" t="s">
        <v>975</v>
      </c>
      <c r="BK49" t="s">
        <v>2342</v>
      </c>
      <c r="BL49" t="s">
        <v>1170</v>
      </c>
      <c r="BM49" t="s">
        <v>100</v>
      </c>
      <c r="BN49">
        <v>2.54</v>
      </c>
      <c r="BO49">
        <v>6.48</v>
      </c>
      <c r="BP49">
        <v>11.87</v>
      </c>
      <c r="BQ49">
        <v>2.25</v>
      </c>
      <c r="BR49">
        <v>8.41</v>
      </c>
      <c r="BS49">
        <v>16.72</v>
      </c>
      <c r="BT49" t="s">
        <v>872</v>
      </c>
      <c r="BU49" t="s">
        <v>1547</v>
      </c>
      <c r="BV49">
        <v>19.55</v>
      </c>
      <c r="BW49">
        <v>24.58</v>
      </c>
      <c r="BX49">
        <v>26.47</v>
      </c>
      <c r="BY49">
        <v>2.21</v>
      </c>
      <c r="BZ49">
        <v>8.16</v>
      </c>
      <c r="CA49">
        <v>11.77</v>
      </c>
      <c r="CB49">
        <v>-0.74</v>
      </c>
      <c r="CC49">
        <v>-3.67</v>
      </c>
      <c r="CD49" t="s">
        <v>2343</v>
      </c>
      <c r="CE49" t="s">
        <v>41</v>
      </c>
      <c r="CF49" s="11">
        <v>-0.38948497854077252</v>
      </c>
      <c r="CG49" s="12">
        <v>0.49487038302169811</v>
      </c>
      <c r="CH49" s="11">
        <v>-0.69176596403121948</v>
      </c>
      <c r="CI49" s="11">
        <v>-0.10475266724824905</v>
      </c>
      <c r="CJ49" s="11">
        <v>0.40176743268966675</v>
      </c>
      <c r="CK49" s="11">
        <v>0.19496344029903412</v>
      </c>
      <c r="CL49" s="11">
        <v>0.23346699774265289</v>
      </c>
      <c r="CM49" s="12">
        <v>-0.72040557861328125</v>
      </c>
      <c r="CN49" s="12">
        <v>-0.40740740299224854</v>
      </c>
      <c r="CO49" s="12">
        <v>0.91338580846786499</v>
      </c>
      <c r="CP49" s="12">
        <v>0.2330097109079361</v>
      </c>
      <c r="CQ49" s="12">
        <v>5.0247769802808762E-2</v>
      </c>
      <c r="CR49">
        <v>35.716751152503853</v>
      </c>
      <c r="CS49">
        <v>53.024877838363089</v>
      </c>
      <c r="CT49">
        <v>0.74626865671641784</v>
      </c>
      <c r="CU49" s="11">
        <v>6.7358478903770443E-3</v>
      </c>
      <c r="CV49" s="12">
        <v>1.3766061514616013E-2</v>
      </c>
      <c r="CW49">
        <v>0.06</v>
      </c>
      <c r="CX49">
        <v>144.57539410948448</v>
      </c>
      <c r="CY49">
        <v>38238486.805116221</v>
      </c>
      <c r="CZ49">
        <v>6.7358478903770443E-3</v>
      </c>
      <c r="DA49">
        <v>50.729943861637878</v>
      </c>
      <c r="DB49">
        <v>108975959.34815432</v>
      </c>
      <c r="DC49">
        <v>6.399055495858192E-3</v>
      </c>
      <c r="DD49">
        <v>27.37821035570439</v>
      </c>
      <c r="DE49">
        <v>201924969.82726049</v>
      </c>
      <c r="DF49">
        <v>5.927546143531799E-3</v>
      </c>
      <c r="DG49">
        <v>18.15719962088162</v>
      </c>
      <c r="DH49">
        <v>304471196.84921831</v>
      </c>
      <c r="DI49">
        <v>5.388678312301636E-3</v>
      </c>
      <c r="DJ49">
        <v>11.492485543987545</v>
      </c>
      <c r="DK49">
        <v>481039917.67840254</v>
      </c>
      <c r="DL49">
        <v>4.7150935232639305E-3</v>
      </c>
      <c r="DM49">
        <v>40261600</v>
      </c>
      <c r="DN49">
        <v>6.7358478903770443E-3</v>
      </c>
      <c r="DO49">
        <v>5528344300</v>
      </c>
      <c r="DP49">
        <v>117302400.00000024</v>
      </c>
      <c r="DQ49">
        <v>2248</v>
      </c>
      <c r="DR49">
        <v>-0.39622082643114959</v>
      </c>
      <c r="DS49">
        <v>0.4811043215070821</v>
      </c>
      <c r="DT49" s="13">
        <v>-0.42333333333333339</v>
      </c>
      <c r="DU49">
        <v>-0.10000000000000002</v>
      </c>
      <c r="DV49">
        <v>-0.52333333333333343</v>
      </c>
      <c r="DW49">
        <v>-1.0367</v>
      </c>
      <c r="DX49">
        <v>0.3403013636363646</v>
      </c>
      <c r="DY49">
        <v>-1.0051490600454545</v>
      </c>
      <c r="DZ49">
        <v>1026</v>
      </c>
      <c r="EA49">
        <v>-1.0041152174609855</v>
      </c>
      <c r="EB49">
        <v>1</v>
      </c>
      <c r="EC49">
        <v>9.1987711567296113E-2</v>
      </c>
      <c r="ED49">
        <v>0.65564374559973648</v>
      </c>
      <c r="EE49" s="14">
        <v>-1.0634999999999999</v>
      </c>
      <c r="EF49">
        <v>-1.0428999999999999</v>
      </c>
      <c r="EG49">
        <v>20.140301363636365</v>
      </c>
      <c r="EH49" t="s">
        <v>910</v>
      </c>
      <c r="EI49">
        <v>0</v>
      </c>
      <c r="EJ49">
        <v>1</v>
      </c>
      <c r="EK49" s="10">
        <v>45470</v>
      </c>
      <c r="EL49" s="15">
        <v>-1.06</v>
      </c>
      <c r="EM49" s="15">
        <v>-5.29</v>
      </c>
      <c r="EN49" s="15">
        <v>0.08</v>
      </c>
      <c r="EO49" s="15">
        <v>6.14</v>
      </c>
      <c r="EP49" s="15">
        <v>-2.06</v>
      </c>
    </row>
    <row r="50" spans="1:146" ht="108" x14ac:dyDescent="0.25">
      <c r="A50" s="7"/>
      <c r="B50" s="7"/>
      <c r="C50" s="7" t="str">
        <f>""&amp;CHAR(10)&amp;Basic_Fundamental_Information_Constructure(F50)&amp;CHAR(10)&amp;Basic_Fundamental_Information_Concatenate("")</f>
        <v xml:space="preserve">
市值14.989121亿, 利润-2003.62万; PE; 平均PE128.19; 平均PEG8.86, PB2.86; ROIC0%; ROE-5.37%; 股利率0%; 毛利39.4033%; 净利-13.8967%; 上一年度营收增-95.95%, 利润增-135.43%; 当季营收增-75.21%, 利润增45.09%; 过往5年营收增-14.47%, 利润增-280.33%
Income profile:
</v>
      </c>
      <c r="D50" t="s">
        <v>530</v>
      </c>
      <c r="E50" t="s">
        <v>531</v>
      </c>
      <c r="F50">
        <v>22.03</v>
      </c>
      <c r="G50">
        <v>2.04</v>
      </c>
      <c r="H50" t="s">
        <v>2344</v>
      </c>
      <c r="I50">
        <v>1498912100</v>
      </c>
      <c r="K50">
        <v>2.86</v>
      </c>
      <c r="L50" t="s">
        <v>303</v>
      </c>
      <c r="M50" t="s">
        <v>193</v>
      </c>
      <c r="N50" t="s">
        <v>1132</v>
      </c>
      <c r="O50" t="s">
        <v>2345</v>
      </c>
      <c r="P50">
        <v>-30.83</v>
      </c>
      <c r="Q50" t="s">
        <v>2345</v>
      </c>
      <c r="R50">
        <v>-20036186</v>
      </c>
      <c r="S50" s="5">
        <v>-0.27329999999999999</v>
      </c>
      <c r="T50" t="s">
        <v>2346</v>
      </c>
      <c r="U50">
        <v>49053989</v>
      </c>
      <c r="V50">
        <v>68039587</v>
      </c>
      <c r="W50">
        <v>1.3</v>
      </c>
      <c r="X50">
        <v>0.02</v>
      </c>
      <c r="Y50">
        <v>-150.59</v>
      </c>
      <c r="Z50" t="s">
        <v>2347</v>
      </c>
      <c r="AA50" t="s">
        <v>2348</v>
      </c>
      <c r="AB50" t="s">
        <v>2349</v>
      </c>
      <c r="AC50" t="s">
        <v>2350</v>
      </c>
      <c r="AD50" t="s">
        <v>5</v>
      </c>
      <c r="AE50">
        <v>75067</v>
      </c>
      <c r="AF50" t="s">
        <v>2351</v>
      </c>
      <c r="AG50" t="s">
        <v>2352</v>
      </c>
      <c r="AH50" t="s">
        <v>2353</v>
      </c>
      <c r="AI50" t="s">
        <v>2354</v>
      </c>
      <c r="AJ50" t="s">
        <v>2355</v>
      </c>
      <c r="AK50" t="s">
        <v>2356</v>
      </c>
      <c r="AL50" t="s">
        <v>2357</v>
      </c>
      <c r="AM50" t="s">
        <v>5</v>
      </c>
      <c r="AN50">
        <v>0</v>
      </c>
      <c r="AO50" t="s">
        <v>2358</v>
      </c>
      <c r="AP50" t="s">
        <v>5</v>
      </c>
      <c r="AQ50" t="s">
        <v>2359</v>
      </c>
      <c r="AR50" t="s">
        <v>5</v>
      </c>
      <c r="AS50" t="s">
        <v>1199</v>
      </c>
      <c r="AT50" t="s">
        <v>2360</v>
      </c>
      <c r="AU50" t="s">
        <v>2361</v>
      </c>
      <c r="AV50" t="s">
        <v>2362</v>
      </c>
      <c r="AW50" t="s">
        <v>2363</v>
      </c>
      <c r="AX50" t="s">
        <v>976</v>
      </c>
      <c r="AY50" t="s">
        <v>125</v>
      </c>
      <c r="AZ50" t="s">
        <v>111</v>
      </c>
      <c r="BA50" t="s">
        <v>265</v>
      </c>
      <c r="BB50" t="s">
        <v>229</v>
      </c>
      <c r="BC50" t="s">
        <v>977</v>
      </c>
      <c r="BD50" t="s">
        <v>672</v>
      </c>
      <c r="BE50" t="s">
        <v>532</v>
      </c>
      <c r="BF50" t="s">
        <v>533</v>
      </c>
      <c r="BG50" t="s">
        <v>534</v>
      </c>
      <c r="BH50" t="s">
        <v>41</v>
      </c>
      <c r="BI50" t="s">
        <v>1171</v>
      </c>
      <c r="BJ50" t="s">
        <v>976</v>
      </c>
      <c r="BK50" t="s">
        <v>2364</v>
      </c>
      <c r="BL50" t="s">
        <v>1173</v>
      </c>
      <c r="BM50" t="s">
        <v>977</v>
      </c>
      <c r="BN50" t="s">
        <v>5</v>
      </c>
      <c r="BO50" t="s">
        <v>5</v>
      </c>
      <c r="BP50" t="s">
        <v>5</v>
      </c>
      <c r="BQ50">
        <v>-8.67</v>
      </c>
      <c r="BR50">
        <v>-1.42</v>
      </c>
      <c r="BS50">
        <v>-6.02</v>
      </c>
      <c r="BT50" t="s">
        <v>873</v>
      </c>
      <c r="BU50" t="s">
        <v>1296</v>
      </c>
      <c r="BV50">
        <v>38.090000000000003</v>
      </c>
      <c r="BW50">
        <v>40.090000000000003</v>
      </c>
      <c r="BX50">
        <v>40.03</v>
      </c>
      <c r="BY50">
        <v>-22.73</v>
      </c>
      <c r="BZ50">
        <v>-2.74</v>
      </c>
      <c r="CA50">
        <v>-16.22</v>
      </c>
      <c r="CB50">
        <v>-10.99</v>
      </c>
      <c r="CC50">
        <v>-5.25</v>
      </c>
      <c r="CD50" t="s">
        <v>2365</v>
      </c>
      <c r="CE50" t="s">
        <v>67</v>
      </c>
      <c r="CF50" s="11">
        <v>-0.75205337949133144</v>
      </c>
      <c r="CG50" s="12">
        <v>0.45094756976129213</v>
      </c>
      <c r="CH50" s="11">
        <v>-0.95950824022293091</v>
      </c>
      <c r="CI50" s="11">
        <v>0.41201716661453247</v>
      </c>
      <c r="CJ50" s="11">
        <v>7.8703701496124268E-2</v>
      </c>
      <c r="CK50" s="11">
        <v>-0.53944563865661621</v>
      </c>
      <c r="CL50" s="11">
        <v>0.28493151068687439</v>
      </c>
      <c r="CM50" s="12">
        <v>-1.3542917966842651</v>
      </c>
      <c r="CN50" s="12">
        <v>0.77163749933242798</v>
      </c>
      <c r="CO50" s="12">
        <v>-12.755938529968262</v>
      </c>
      <c r="CP50" s="12">
        <v>-0.95747458934783936</v>
      </c>
      <c r="CQ50" s="12">
        <v>0.27962839603424072</v>
      </c>
      <c r="CR50">
        <v>128.18938762245628</v>
      </c>
      <c r="CS50">
        <v>8.8614075601889901</v>
      </c>
      <c r="CT50">
        <v>0</v>
      </c>
      <c r="CU50" s="11">
        <v>-0.1446603000164032</v>
      </c>
      <c r="CV50" s="12">
        <v>-2.8032878041267395</v>
      </c>
      <c r="CW50">
        <v>0.06</v>
      </c>
      <c r="CX50" t="e">
        <v>#VALUE!</v>
      </c>
      <c r="CY50" t="s">
        <v>740</v>
      </c>
      <c r="CZ50">
        <v>-0.1446603000164032</v>
      </c>
      <c r="DA50" t="e">
        <v>#VALUE!</v>
      </c>
      <c r="DB50" t="s">
        <v>741</v>
      </c>
      <c r="DC50">
        <v>-0.13742728501558304</v>
      </c>
      <c r="DD50" t="e">
        <v>#VALUE!</v>
      </c>
      <c r="DE50" t="s">
        <v>741</v>
      </c>
      <c r="DF50">
        <v>-0.12730106401443483</v>
      </c>
      <c r="DG50" t="e">
        <v>#VALUE!</v>
      </c>
      <c r="DH50" t="s">
        <v>741</v>
      </c>
      <c r="DI50">
        <v>-0.11572824001312257</v>
      </c>
      <c r="DJ50" t="e">
        <v>#VALUE!</v>
      </c>
      <c r="DK50" t="s">
        <v>741</v>
      </c>
      <c r="DL50">
        <v>-0.10126221001148224</v>
      </c>
      <c r="DM50">
        <v>-20036200</v>
      </c>
      <c r="DN50">
        <v>-0.1446603000164032</v>
      </c>
      <c r="DO50">
        <v>1151912100</v>
      </c>
      <c r="DP50">
        <v>262130790</v>
      </c>
      <c r="DQ50">
        <v>2264</v>
      </c>
      <c r="DR50">
        <v>-0.60739307947492827</v>
      </c>
      <c r="DS50">
        <v>3.2542353738880316</v>
      </c>
      <c r="DT50" s="13">
        <v>-0.64</v>
      </c>
      <c r="DU50">
        <v>-2.581666666666667</v>
      </c>
      <c r="DV50">
        <v>-3.2216666666666671</v>
      </c>
      <c r="DW50">
        <v>-5.4777070063694264</v>
      </c>
      <c r="DX50">
        <v>0.30266174496644155</v>
      </c>
      <c r="DY50">
        <v>-5.0538193049202755</v>
      </c>
      <c r="DZ50">
        <v>2509</v>
      </c>
      <c r="EA50">
        <v>-5.0273941315259565</v>
      </c>
      <c r="EB50">
        <v>5</v>
      </c>
      <c r="EC50">
        <v>0.24671813484111829</v>
      </c>
      <c r="ED50">
        <v>2.1899015936119661</v>
      </c>
      <c r="EE50" s="14">
        <v>-7.0287100000000002</v>
      </c>
      <c r="EF50">
        <v>-7.0943100000000001</v>
      </c>
      <c r="EG50">
        <v>19.112661744966442</v>
      </c>
      <c r="EH50" t="s">
        <v>2366</v>
      </c>
      <c r="EI50">
        <v>0</v>
      </c>
      <c r="EJ50">
        <v>0</v>
      </c>
      <c r="EK50" s="10">
        <v>45470</v>
      </c>
      <c r="EL50" s="15">
        <v>-2.1</v>
      </c>
      <c r="EM50" s="15">
        <v>-5.66</v>
      </c>
      <c r="EN50" s="15">
        <v>4.7300000000000004</v>
      </c>
      <c r="EO50" s="15">
        <v>1.82</v>
      </c>
      <c r="EP50" s="15">
        <v>-6.56</v>
      </c>
    </row>
    <row r="51" spans="1:146" ht="108" x14ac:dyDescent="0.25">
      <c r="A51" s="7"/>
      <c r="B51" s="7"/>
      <c r="C51" s="7" t="str">
        <f>""&amp;CHAR(10)&amp;Basic_Fundamental_Information_Constructure(F51)&amp;CHAR(10)&amp;Basic_Fundamental_Information_Concatenate("")</f>
        <v xml:space="preserve">
市值14.727055亿, 利润-479.88万; PE28.45; 平均PE29.79; 平均PEG1.9, PB1.85; ROIC2.7633%; ROE3.8133%; 股利率2.4582%; 毛利52.5933%; 净利14.1333%; 上一年度营收增-92.11%, 利润增-110.72%; 当季营收增-79.16%, 利润增-152.59%; 过往5年营收增-15.64%, 利润增-27.59%
Income profile:
</v>
      </c>
      <c r="D51" t="s">
        <v>535</v>
      </c>
      <c r="E51" t="s">
        <v>536</v>
      </c>
      <c r="F51">
        <v>10.17</v>
      </c>
      <c r="G51">
        <v>1.7</v>
      </c>
      <c r="H51" t="s">
        <v>2367</v>
      </c>
      <c r="I51">
        <v>1472705500</v>
      </c>
      <c r="J51">
        <v>28.45</v>
      </c>
      <c r="K51">
        <v>1.85</v>
      </c>
      <c r="L51" t="s">
        <v>303</v>
      </c>
      <c r="M51" t="s">
        <v>88</v>
      </c>
      <c r="N51" t="s">
        <v>2077</v>
      </c>
      <c r="O51" t="s">
        <v>2368</v>
      </c>
      <c r="P51">
        <v>2.93</v>
      </c>
      <c r="Q51" t="s">
        <v>2368</v>
      </c>
      <c r="R51">
        <v>-4798762</v>
      </c>
      <c r="S51" s="5">
        <v>0.22919999999999999</v>
      </c>
      <c r="T51" t="s">
        <v>2369</v>
      </c>
      <c r="U51">
        <v>101610534</v>
      </c>
      <c r="V51">
        <v>144808800</v>
      </c>
      <c r="W51">
        <v>1.19</v>
      </c>
      <c r="X51">
        <v>0.02</v>
      </c>
      <c r="Y51">
        <v>-20.95</v>
      </c>
      <c r="Z51" t="s">
        <v>2370</v>
      </c>
      <c r="AA51" t="s">
        <v>2371</v>
      </c>
      <c r="AB51" t="s">
        <v>2372</v>
      </c>
      <c r="AC51" t="s">
        <v>2373</v>
      </c>
      <c r="AD51" t="s">
        <v>5</v>
      </c>
      <c r="AE51">
        <v>-1710129</v>
      </c>
      <c r="AF51" t="s">
        <v>2374</v>
      </c>
      <c r="AG51">
        <v>6426.87</v>
      </c>
      <c r="AH51" t="s">
        <v>2375</v>
      </c>
      <c r="AI51" t="s">
        <v>47</v>
      </c>
      <c r="AJ51" t="s">
        <v>2376</v>
      </c>
      <c r="AK51" t="s">
        <v>2377</v>
      </c>
      <c r="AL51" t="s">
        <v>2378</v>
      </c>
      <c r="AM51" t="s">
        <v>5</v>
      </c>
      <c r="AN51" t="s">
        <v>2379</v>
      </c>
      <c r="AO51" t="s">
        <v>2380</v>
      </c>
      <c r="AP51" t="s">
        <v>2381</v>
      </c>
      <c r="AQ51" t="s">
        <v>147</v>
      </c>
      <c r="AR51" t="s">
        <v>5</v>
      </c>
      <c r="AS51" t="s">
        <v>877</v>
      </c>
      <c r="AT51" t="s">
        <v>5</v>
      </c>
      <c r="AU51" t="s">
        <v>2382</v>
      </c>
      <c r="AV51" t="s">
        <v>2383</v>
      </c>
      <c r="AW51" t="s">
        <v>2384</v>
      </c>
      <c r="AX51" t="s">
        <v>956</v>
      </c>
      <c r="AY51" t="s">
        <v>103</v>
      </c>
      <c r="AZ51" t="s">
        <v>178</v>
      </c>
      <c r="BA51" t="s">
        <v>201</v>
      </c>
      <c r="BB51" t="s">
        <v>213</v>
      </c>
      <c r="BC51" t="s">
        <v>978</v>
      </c>
      <c r="BD51" t="s">
        <v>673</v>
      </c>
      <c r="BE51" t="s">
        <v>537</v>
      </c>
      <c r="BF51" t="s">
        <v>538</v>
      </c>
      <c r="BG51" t="s">
        <v>539</v>
      </c>
      <c r="BH51" t="s">
        <v>203</v>
      </c>
      <c r="BI51" t="s">
        <v>87</v>
      </c>
      <c r="BJ51" t="s">
        <v>956</v>
      </c>
      <c r="BK51" t="s">
        <v>2385</v>
      </c>
      <c r="BL51" t="s">
        <v>1174</v>
      </c>
      <c r="BM51" t="s">
        <v>978</v>
      </c>
      <c r="BN51">
        <v>0.14000000000000001</v>
      </c>
      <c r="BO51">
        <v>4.55</v>
      </c>
      <c r="BP51">
        <v>3.6</v>
      </c>
      <c r="BQ51">
        <v>0.77</v>
      </c>
      <c r="BR51">
        <v>5.92</v>
      </c>
      <c r="BS51">
        <v>4.75</v>
      </c>
      <c r="BT51" t="s">
        <v>2386</v>
      </c>
      <c r="BU51" t="s">
        <v>1296</v>
      </c>
      <c r="BV51">
        <v>51.83</v>
      </c>
      <c r="BW51">
        <v>53.13</v>
      </c>
      <c r="BX51">
        <v>52.82</v>
      </c>
      <c r="BY51">
        <v>14.24</v>
      </c>
      <c r="BZ51">
        <v>14.92</v>
      </c>
      <c r="CA51">
        <v>13.24</v>
      </c>
      <c r="CB51">
        <v>-6.09</v>
      </c>
      <c r="CC51">
        <v>-10.37</v>
      </c>
      <c r="CD51" t="s">
        <v>2387</v>
      </c>
      <c r="CE51" t="s">
        <v>41</v>
      </c>
      <c r="CF51" s="11">
        <v>-0.79161754385964911</v>
      </c>
      <c r="CG51" s="12">
        <v>-1.5259435999167041</v>
      </c>
      <c r="CH51" s="11">
        <v>-0.92107778787612915</v>
      </c>
      <c r="CI51" s="11">
        <v>0.12313432991504669</v>
      </c>
      <c r="CJ51" s="11">
        <v>-6.2937065958976746E-2</v>
      </c>
      <c r="CK51" s="11">
        <v>-9.2063494026660919E-2</v>
      </c>
      <c r="CL51" s="11">
        <v>0.17100371420383453</v>
      </c>
      <c r="CM51" s="12">
        <v>-1.1071902513504028</v>
      </c>
      <c r="CN51" s="12">
        <v>0.25525721907615662</v>
      </c>
      <c r="CO51" s="12">
        <v>-0.47320938110351563</v>
      </c>
      <c r="CP51" s="12">
        <v>-0.15813478827476501</v>
      </c>
      <c r="CQ51" s="12">
        <v>0.10379093885421753</v>
      </c>
      <c r="CR51">
        <v>29.790122724247695</v>
      </c>
      <c r="CS51">
        <v>1.9048847195656997</v>
      </c>
      <c r="CT51">
        <v>2.4582104228121926</v>
      </c>
      <c r="CU51" s="11">
        <v>-0.15638806074857711</v>
      </c>
      <c r="CV51" s="12">
        <v>-0.27589725255966185</v>
      </c>
      <c r="CW51">
        <v>0.06</v>
      </c>
      <c r="CX51" t="e">
        <v>#VALUE!</v>
      </c>
      <c r="CY51" t="s">
        <v>740</v>
      </c>
      <c r="CZ51">
        <v>-0.15638806074857711</v>
      </c>
      <c r="DA51" t="e">
        <v>#VALUE!</v>
      </c>
      <c r="DB51" t="s">
        <v>741</v>
      </c>
      <c r="DC51">
        <v>-0.14856865771114824</v>
      </c>
      <c r="DD51" t="e">
        <v>#VALUE!</v>
      </c>
      <c r="DE51" t="s">
        <v>741</v>
      </c>
      <c r="DF51">
        <v>-0.13762149345874786</v>
      </c>
      <c r="DG51" t="e">
        <v>#VALUE!</v>
      </c>
      <c r="DH51" t="s">
        <v>741</v>
      </c>
      <c r="DI51">
        <v>-0.1251104485988617</v>
      </c>
      <c r="DJ51" t="e">
        <v>#VALUE!</v>
      </c>
      <c r="DK51" t="s">
        <v>741</v>
      </c>
      <c r="DL51">
        <v>-0.10947164252400397</v>
      </c>
      <c r="DM51">
        <v>-4798800</v>
      </c>
      <c r="DN51">
        <v>-0.15638806074857711</v>
      </c>
      <c r="DO51">
        <v>925705500</v>
      </c>
      <c r="DP51">
        <v>451241490</v>
      </c>
      <c r="DQ51">
        <v>2302</v>
      </c>
      <c r="DR51">
        <v>-0.63522948311107197</v>
      </c>
      <c r="DS51">
        <v>-1.2500463473570422</v>
      </c>
      <c r="DT51" s="13">
        <v>-0.67333333333333334</v>
      </c>
      <c r="DU51">
        <v>-1.7483333333333333</v>
      </c>
      <c r="DV51">
        <v>-2.4216666666666669</v>
      </c>
      <c r="DW51">
        <v>-9.5872709739633564</v>
      </c>
      <c r="DX51">
        <v>0.24411227272727232</v>
      </c>
      <c r="DY51">
        <v>-9.0670148255457175</v>
      </c>
      <c r="DZ51">
        <v>3275</v>
      </c>
      <c r="EA51">
        <v>-9.0240650107390206</v>
      </c>
      <c r="EB51">
        <v>9</v>
      </c>
      <c r="EC51">
        <v>0.1733644640380971</v>
      </c>
      <c r="ED51">
        <v>1.5192446867869911</v>
      </c>
      <c r="EE51" s="14">
        <v>6.0472999999999999</v>
      </c>
      <c r="EF51">
        <v>6.0749000000000004</v>
      </c>
      <c r="EG51">
        <v>13.114112272727272</v>
      </c>
      <c r="EH51" t="s">
        <v>1967</v>
      </c>
      <c r="EI51">
        <v>0</v>
      </c>
      <c r="EJ51">
        <v>0</v>
      </c>
      <c r="EK51" s="10">
        <v>45470</v>
      </c>
      <c r="EL51" s="15">
        <v>1.44</v>
      </c>
      <c r="EM51" s="15">
        <v>-5.75</v>
      </c>
      <c r="EN51" s="15">
        <v>1.38</v>
      </c>
      <c r="EO51" s="15">
        <v>5.97</v>
      </c>
      <c r="EP51" s="15">
        <v>2.76</v>
      </c>
    </row>
    <row r="52" spans="1:146" ht="240.75" customHeight="1" x14ac:dyDescent="0.25">
      <c r="A52" s="7" t="s">
        <v>1254</v>
      </c>
      <c r="B52" s="7"/>
      <c r="C52" s="7" t="str">
        <f>"公司的主营业务为楼宇对讲、智能家居等智慧社区安防智能化设备的研发设计、生产制造和销售；公司的主要产品为单元门口主机、住户室内终端机、物业管理中心机、中间公共设备、智能开关面板、智能网关、窗帘导轨电机、信号转发器、智能插座、集中控制器、安防设备、医护对讲系统、ICU探视系统、智能床旁交互系统、分诊排队叫号系统、多媒体信息发布系统。"&amp;CHAR(10)&amp;Basic_Fundamental_Information_Constructure(F52)&amp;CHAR(10)&amp;Basic_Fundamental_Information_Concatenate("楼宇对讲产品 2.43亿 61.85% 1.16亿 66.01% 47.76%
智能家居产品 5898.15万 15.01% 2052.37万 11.67% 34.80%
智慧病房及门诊产品 4799.69万 12.21% 2289.53万 13.02% 47.70%
其他业务 4294.93万 10.93% 1636.34万 9.30% 38.10%")</f>
        <v>公司的主营业务为楼宇对讲、智能家居等智慧社区安防智能化设备的研发设计、生产制造和销售；公司的主要产品为单元门口主机、住户室内终端机、物业管理中心机、中间公共设备、智能开关面板、智能网关、窗帘导轨电机、信号转发器、智能插座、集中控制器、安防设备、医护对讲系统、ICU探视系统、智能床旁交互系统、分诊排队叫号系统、多媒体信息发布系统。
市值20.5128亿, 利润107.71万; PE22.91; 平均PE23.3; 平均PEG8.63, PB1.47; ROIC6.1367%; ROE6.4333%; 股利率3.6855%; 毛利39.93%; 净利10.6867%; 上一年度营收增-85.04%, 利润增-98.66%; 当季营收增-67.94%, 利润增-97.88%; 过往5年营收增-2.7%, 利润增-6.34%
Income profile:
楼宇对讲产品 2.43亿 61.85% 1.16亿 66.01% 47.76%
智能家居产品 5898.15万 15.01% 2052.37万 11.67% 34.80%
智慧病房及门诊产品 4799.69万 12.21% 2289.53万 13.02% 47.70%
其他业务 4294.93万 10.93% 1636.34万 9.30% 38.10%</v>
      </c>
      <c r="D52" t="s">
        <v>540</v>
      </c>
      <c r="E52" t="s">
        <v>541</v>
      </c>
      <c r="F52">
        <v>8.14</v>
      </c>
      <c r="G52">
        <v>1.5</v>
      </c>
      <c r="H52" t="s">
        <v>2388</v>
      </c>
      <c r="I52">
        <v>2051280000</v>
      </c>
      <c r="J52">
        <v>22.91</v>
      </c>
      <c r="K52">
        <v>1.47</v>
      </c>
      <c r="L52" t="s">
        <v>303</v>
      </c>
      <c r="M52" t="s">
        <v>2389</v>
      </c>
      <c r="N52" t="s">
        <v>2390</v>
      </c>
      <c r="O52" t="s">
        <v>74</v>
      </c>
      <c r="P52">
        <v>-8.32</v>
      </c>
      <c r="Q52" t="s">
        <v>74</v>
      </c>
      <c r="R52">
        <v>1077064</v>
      </c>
      <c r="S52" s="5">
        <v>-0.92190000000000005</v>
      </c>
      <c r="T52" t="s">
        <v>2391</v>
      </c>
      <c r="U52">
        <v>189745070</v>
      </c>
      <c r="V52">
        <v>252000000</v>
      </c>
      <c r="W52">
        <v>1.32</v>
      </c>
      <c r="X52">
        <v>7.0000000000000007E-2</v>
      </c>
      <c r="Y52">
        <v>0.14000000000000001</v>
      </c>
      <c r="Z52" t="s">
        <v>1199</v>
      </c>
      <c r="AA52" t="s">
        <v>2392</v>
      </c>
      <c r="AB52" t="s">
        <v>2393</v>
      </c>
      <c r="AC52" t="s">
        <v>2394</v>
      </c>
      <c r="AD52" t="s">
        <v>5</v>
      </c>
      <c r="AE52">
        <v>-973921</v>
      </c>
      <c r="AF52" t="s">
        <v>2395</v>
      </c>
      <c r="AG52" t="s">
        <v>2396</v>
      </c>
      <c r="AH52" t="s">
        <v>2397</v>
      </c>
      <c r="AI52" t="s">
        <v>2398</v>
      </c>
      <c r="AJ52" t="s">
        <v>2399</v>
      </c>
      <c r="AK52" t="s">
        <v>2400</v>
      </c>
      <c r="AL52" t="s">
        <v>2401</v>
      </c>
      <c r="AM52" t="s">
        <v>5</v>
      </c>
      <c r="AN52" t="s">
        <v>2402</v>
      </c>
      <c r="AO52" t="s">
        <v>2403</v>
      </c>
      <c r="AP52" t="s">
        <v>1420</v>
      </c>
      <c r="AQ52" t="s">
        <v>2404</v>
      </c>
      <c r="AR52" t="s">
        <v>5</v>
      </c>
      <c r="AS52" t="s">
        <v>144</v>
      </c>
      <c r="AT52" t="s">
        <v>2405</v>
      </c>
      <c r="AU52" t="s">
        <v>2406</v>
      </c>
      <c r="AV52" t="s">
        <v>2407</v>
      </c>
      <c r="AW52" t="s">
        <v>2408</v>
      </c>
      <c r="AX52" t="s">
        <v>24</v>
      </c>
      <c r="AY52" t="s">
        <v>674</v>
      </c>
      <c r="AZ52" t="s">
        <v>329</v>
      </c>
      <c r="BA52" t="s">
        <v>33</v>
      </c>
      <c r="BB52" t="s">
        <v>261</v>
      </c>
      <c r="BC52" t="s">
        <v>2409</v>
      </c>
      <c r="BD52" t="s">
        <v>147</v>
      </c>
      <c r="BE52" t="s">
        <v>86</v>
      </c>
      <c r="BF52" t="s">
        <v>74</v>
      </c>
      <c r="BG52" t="s">
        <v>542</v>
      </c>
      <c r="BH52" t="s">
        <v>2410</v>
      </c>
      <c r="BI52" t="s">
        <v>1148</v>
      </c>
      <c r="BJ52" t="s">
        <v>24</v>
      </c>
      <c r="BK52" t="s">
        <v>98</v>
      </c>
      <c r="BL52" t="s">
        <v>1176</v>
      </c>
      <c r="BM52" t="s">
        <v>2409</v>
      </c>
      <c r="BN52">
        <v>4.74</v>
      </c>
      <c r="BO52">
        <v>5.78</v>
      </c>
      <c r="BP52">
        <v>7.89</v>
      </c>
      <c r="BQ52">
        <v>4.92</v>
      </c>
      <c r="BR52">
        <v>6.11</v>
      </c>
      <c r="BS52">
        <v>8.27</v>
      </c>
      <c r="BT52" t="s">
        <v>973</v>
      </c>
      <c r="BU52" t="s">
        <v>1547</v>
      </c>
      <c r="BV52">
        <v>44.06</v>
      </c>
      <c r="BW52">
        <v>40.99</v>
      </c>
      <c r="BX52">
        <v>34.74</v>
      </c>
      <c r="BY52">
        <v>11.57</v>
      </c>
      <c r="BZ52">
        <v>9.5399999999999991</v>
      </c>
      <c r="CA52">
        <v>10.95</v>
      </c>
      <c r="CB52">
        <v>-5.57</v>
      </c>
      <c r="CC52">
        <v>-14.23</v>
      </c>
      <c r="CD52" t="s">
        <v>2411</v>
      </c>
      <c r="CE52" t="s">
        <v>1212</v>
      </c>
      <c r="CF52" s="11">
        <v>-0.67938931297709926</v>
      </c>
      <c r="CG52" s="12">
        <v>-0.97876208241478713</v>
      </c>
      <c r="CH52" s="11">
        <v>-0.85035628080368042</v>
      </c>
      <c r="CI52" s="11">
        <v>-0.10615710914134979</v>
      </c>
      <c r="CJ52" s="11">
        <v>0.21079692244529724</v>
      </c>
      <c r="CK52" s="11">
        <v>0.26504063606262207</v>
      </c>
      <c r="CL52" s="11">
        <v>0.34573304653167725</v>
      </c>
      <c r="CM52" s="12">
        <v>-0.98657941818237305</v>
      </c>
      <c r="CN52" s="12">
        <v>-0.22829137742519379</v>
      </c>
      <c r="CO52" s="12">
        <v>-0.32467532157897949</v>
      </c>
      <c r="CP52" s="12">
        <v>0.2222222238779068</v>
      </c>
      <c r="CQ52" s="12">
        <v>1.0005080699920654</v>
      </c>
      <c r="CR52">
        <v>23.295934197306629</v>
      </c>
      <c r="CS52">
        <v>8.6317820599419779</v>
      </c>
      <c r="CT52">
        <v>3.6855036855036851</v>
      </c>
      <c r="CU52" s="11">
        <v>-2.698855698108673E-2</v>
      </c>
      <c r="CV52" s="12">
        <v>-6.3363164663314819E-2</v>
      </c>
      <c r="CW52">
        <v>0.06</v>
      </c>
      <c r="CX52">
        <v>1114.3626404233589</v>
      </c>
      <c r="CY52" t="s">
        <v>2412</v>
      </c>
      <c r="CZ52">
        <v>-2.698855698108673E-2</v>
      </c>
      <c r="DA52">
        <v>371.45421347445301</v>
      </c>
      <c r="DB52" t="s">
        <v>2413</v>
      </c>
      <c r="DC52">
        <v>-2.5639129132032392E-2</v>
      </c>
      <c r="DD52">
        <v>185.72710673722651</v>
      </c>
      <c r="DE52" t="s">
        <v>2414</v>
      </c>
      <c r="DF52">
        <v>-2.3749930143356322E-2</v>
      </c>
      <c r="DG52">
        <v>111.43626404233591</v>
      </c>
      <c r="DH52" t="s">
        <v>2415</v>
      </c>
      <c r="DI52">
        <v>-2.1590845584869386E-2</v>
      </c>
      <c r="DJ52">
        <v>55.718132021167953</v>
      </c>
      <c r="DK52" t="s">
        <v>2416</v>
      </c>
      <c r="DL52">
        <v>-1.8891989886760708E-2</v>
      </c>
      <c r="DM52">
        <v>1077100</v>
      </c>
      <c r="DN52">
        <v>-2.698855698108673E-2</v>
      </c>
      <c r="DO52">
        <v>1200280000</v>
      </c>
      <c r="DP52">
        <v>929686600</v>
      </c>
      <c r="DQ52">
        <v>2340</v>
      </c>
      <c r="DR52">
        <v>-0.65240075599601255</v>
      </c>
      <c r="DS52">
        <v>-0.91539891775147231</v>
      </c>
      <c r="DT52" s="13">
        <v>-0.42333333333333339</v>
      </c>
      <c r="DU52">
        <v>-0.7400000000000001</v>
      </c>
      <c r="DV52">
        <v>-1.1633333333333336</v>
      </c>
      <c r="DW52">
        <v>-8.3914265635980332</v>
      </c>
      <c r="DX52">
        <v>0.36043882352941181</v>
      </c>
      <c r="DY52">
        <v>-8.0471429548179074</v>
      </c>
      <c r="DZ52">
        <v>4438</v>
      </c>
      <c r="EA52">
        <v>-8.0061996214555062</v>
      </c>
      <c r="EB52">
        <v>8</v>
      </c>
      <c r="EC52">
        <v>8.1248412698412695E-2</v>
      </c>
      <c r="ED52">
        <v>0.67460317460317465</v>
      </c>
      <c r="EE52" s="14">
        <v>-2.0150000000000001</v>
      </c>
      <c r="EF52">
        <v>-2.0057</v>
      </c>
      <c r="EG52">
        <v>24.120438823529412</v>
      </c>
      <c r="EH52" t="s">
        <v>1119</v>
      </c>
      <c r="EI52">
        <v>0</v>
      </c>
      <c r="EJ52">
        <v>0</v>
      </c>
      <c r="EK52" s="10">
        <v>45470</v>
      </c>
      <c r="EL52" s="15">
        <v>-0.93</v>
      </c>
      <c r="EM52" s="15">
        <v>-4.46</v>
      </c>
      <c r="EN52" s="15">
        <v>1.47</v>
      </c>
      <c r="EO52" s="15">
        <v>3.63</v>
      </c>
      <c r="EP52" s="15">
        <v>-0.93</v>
      </c>
    </row>
    <row r="53" spans="1:146" ht="108" x14ac:dyDescent="0.25">
      <c r="C53" s="7" t="str">
        <f>""&amp;CHAR(10)&amp;Basic_Fundamental_Information_Constructure(F53)&amp;CHAR(10)&amp;Basic_Fundamental_Information_Concatenate("")</f>
        <v xml:space="preserve">
市值36.4455亿, 利润1491.07万; PE45.09; 平均PE40.16; 平均PEG2.52, PB2.84; ROIC8.0367%; ROE7.35%; 股利率.7865%; 毛利46.9833%; 净利28.15%; 上一年度营收增-88.53%, 利润增-86.57%; 当季营收增-55.14%, 利润增-41.26%; 过往5年营收增-15.93%, 利润增-2.6%
Income profile:
</v>
      </c>
      <c r="D53" t="s">
        <v>543</v>
      </c>
      <c r="E53" t="s">
        <v>544</v>
      </c>
      <c r="F53">
        <v>17.8</v>
      </c>
      <c r="G53">
        <v>-0.28000000000000003</v>
      </c>
      <c r="H53" t="s">
        <v>2417</v>
      </c>
      <c r="I53">
        <v>3644550000</v>
      </c>
      <c r="J53">
        <v>45.09</v>
      </c>
      <c r="K53">
        <v>2.84</v>
      </c>
      <c r="L53" t="s">
        <v>303</v>
      </c>
      <c r="M53" t="s">
        <v>61</v>
      </c>
      <c r="N53" t="s">
        <v>2418</v>
      </c>
      <c r="O53" t="s">
        <v>2419</v>
      </c>
      <c r="P53">
        <v>-10.76</v>
      </c>
      <c r="Q53" t="s">
        <v>2419</v>
      </c>
      <c r="R53">
        <v>14910681</v>
      </c>
      <c r="S53" s="5">
        <v>-2.8899999999999999E-2</v>
      </c>
      <c r="T53" t="s">
        <v>2420</v>
      </c>
      <c r="U53">
        <v>121355486</v>
      </c>
      <c r="V53">
        <v>204750000</v>
      </c>
      <c r="W53">
        <v>1.07</v>
      </c>
      <c r="X53">
        <v>0.03</v>
      </c>
      <c r="Y53">
        <v>31.18</v>
      </c>
      <c r="Z53" t="s">
        <v>2421</v>
      </c>
      <c r="AA53" t="s">
        <v>2422</v>
      </c>
      <c r="AB53" t="s">
        <v>2423</v>
      </c>
      <c r="AC53" t="s">
        <v>2424</v>
      </c>
      <c r="AD53" t="s">
        <v>5</v>
      </c>
      <c r="AE53">
        <v>-26032</v>
      </c>
      <c r="AF53" t="s">
        <v>2425</v>
      </c>
      <c r="AG53">
        <v>4520.8</v>
      </c>
      <c r="AH53" t="s">
        <v>2426</v>
      </c>
      <c r="AI53" t="s">
        <v>110</v>
      </c>
      <c r="AJ53" t="s">
        <v>2427</v>
      </c>
      <c r="AK53" t="s">
        <v>5</v>
      </c>
      <c r="AL53" t="s">
        <v>2428</v>
      </c>
      <c r="AM53" t="s">
        <v>5</v>
      </c>
      <c r="AN53">
        <v>0</v>
      </c>
      <c r="AO53" t="s">
        <v>5</v>
      </c>
      <c r="AP53" t="s">
        <v>5</v>
      </c>
      <c r="AQ53" t="s">
        <v>2429</v>
      </c>
      <c r="AR53" t="s">
        <v>5</v>
      </c>
      <c r="AS53" t="s">
        <v>2430</v>
      </c>
      <c r="AT53" t="s">
        <v>5</v>
      </c>
      <c r="AU53" t="s">
        <v>2431</v>
      </c>
      <c r="AV53" t="s">
        <v>90</v>
      </c>
      <c r="AW53" t="s">
        <v>2432</v>
      </c>
      <c r="AX53" t="s">
        <v>754</v>
      </c>
      <c r="AY53" t="s">
        <v>166</v>
      </c>
      <c r="AZ53" t="s">
        <v>175</v>
      </c>
      <c r="BA53" t="s">
        <v>161</v>
      </c>
      <c r="BB53" t="s">
        <v>545</v>
      </c>
      <c r="BC53" t="s">
        <v>979</v>
      </c>
      <c r="BD53" t="s">
        <v>109</v>
      </c>
      <c r="BE53" t="s">
        <v>92</v>
      </c>
      <c r="BF53" t="s">
        <v>22</v>
      </c>
      <c r="BG53" t="s">
        <v>546</v>
      </c>
      <c r="BH53" t="s">
        <v>1268</v>
      </c>
      <c r="BI53" t="s">
        <v>25</v>
      </c>
      <c r="BJ53" t="s">
        <v>754</v>
      </c>
      <c r="BK53" t="s">
        <v>2433</v>
      </c>
      <c r="BL53" t="s">
        <v>1177</v>
      </c>
      <c r="BM53" t="s">
        <v>979</v>
      </c>
      <c r="BN53">
        <v>2.62</v>
      </c>
      <c r="BO53">
        <v>8.92</v>
      </c>
      <c r="BP53">
        <v>12.57</v>
      </c>
      <c r="BQ53">
        <v>2.71</v>
      </c>
      <c r="BR53">
        <v>9.08</v>
      </c>
      <c r="BS53">
        <v>10.26</v>
      </c>
      <c r="BT53" t="s">
        <v>2434</v>
      </c>
      <c r="BU53" t="s">
        <v>1296</v>
      </c>
      <c r="BV53">
        <v>54.76</v>
      </c>
      <c r="BW53">
        <v>44.74</v>
      </c>
      <c r="BX53">
        <v>41.45</v>
      </c>
      <c r="BY53">
        <v>31.27</v>
      </c>
      <c r="BZ53">
        <v>27.96</v>
      </c>
      <c r="CA53">
        <v>25.22</v>
      </c>
      <c r="CB53">
        <v>-1.44</v>
      </c>
      <c r="CC53">
        <v>0.79</v>
      </c>
      <c r="CD53" t="s">
        <v>2435</v>
      </c>
      <c r="CE53" t="s">
        <v>89</v>
      </c>
      <c r="CF53" s="11">
        <v>-0.55144158415841593</v>
      </c>
      <c r="CG53" s="12">
        <v>-0.41255363995240751</v>
      </c>
      <c r="CH53" s="11">
        <v>-0.88530534505844116</v>
      </c>
      <c r="CI53" s="11">
        <v>-5.95238097012043E-2</v>
      </c>
      <c r="CJ53" s="11">
        <v>-0.31596091389656067</v>
      </c>
      <c r="CK53" s="11">
        <v>0.1328413337469101</v>
      </c>
      <c r="CL53" s="11">
        <v>0.3316953182220459</v>
      </c>
      <c r="CM53" s="12">
        <v>-0.86566931009292603</v>
      </c>
      <c r="CN53" s="12">
        <v>4.7169812023639679E-2</v>
      </c>
      <c r="CO53" s="12">
        <v>-0.27397260069847107</v>
      </c>
      <c r="CP53" s="12">
        <v>0.46000000834465027</v>
      </c>
      <c r="CQ53" s="12">
        <v>0.50257992744445801</v>
      </c>
      <c r="CR53">
        <v>40.163067125418458</v>
      </c>
      <c r="CS53">
        <v>2.5220028124032265</v>
      </c>
      <c r="CT53">
        <v>0.78651685393258419</v>
      </c>
      <c r="CU53" s="11">
        <v>-0.15925068333745002</v>
      </c>
      <c r="CV53" s="12">
        <v>-2.5978432595729829E-2</v>
      </c>
      <c r="CW53">
        <v>0.06</v>
      </c>
      <c r="CX53">
        <v>165.75680551550229</v>
      </c>
      <c r="CY53" t="s">
        <v>2436</v>
      </c>
      <c r="CZ53">
        <v>-0.15925068333745002</v>
      </c>
      <c r="DA53">
        <v>55.252268505167429</v>
      </c>
      <c r="DB53" t="s">
        <v>2437</v>
      </c>
      <c r="DC53">
        <v>-0.15128814917057751</v>
      </c>
      <c r="DD53">
        <v>27.626134252583714</v>
      </c>
      <c r="DE53" t="s">
        <v>2438</v>
      </c>
      <c r="DF53">
        <v>-0.14014060133695602</v>
      </c>
      <c r="DG53">
        <v>16.575680551550228</v>
      </c>
      <c r="DH53" t="s">
        <v>2439</v>
      </c>
      <c r="DI53">
        <v>-0.12740054666996001</v>
      </c>
      <c r="DJ53">
        <v>8.287840275775114</v>
      </c>
      <c r="DK53" t="s">
        <v>2440</v>
      </c>
      <c r="DL53">
        <v>-0.111475478336215</v>
      </c>
      <c r="DM53">
        <v>14910700</v>
      </c>
      <c r="DN53">
        <v>-0.15925068333745002</v>
      </c>
      <c r="DO53">
        <v>2471550000</v>
      </c>
      <c r="DP53">
        <v>1271095460</v>
      </c>
      <c r="DQ53">
        <v>2394</v>
      </c>
      <c r="DR53">
        <v>-0.39219090082096592</v>
      </c>
      <c r="DS53">
        <v>-0.38657520735667766</v>
      </c>
      <c r="DT53" s="13">
        <v>-0.80666666666666664</v>
      </c>
      <c r="DU53">
        <v>-0.47000000000000003</v>
      </c>
      <c r="DV53">
        <v>-1.2766666666666666</v>
      </c>
      <c r="DW53">
        <v>7.9000000000000008E-3</v>
      </c>
      <c r="DX53">
        <v>0.39835308641975253</v>
      </c>
      <c r="DY53">
        <v>2.1199893827160495E-3</v>
      </c>
      <c r="DZ53">
        <v>4928</v>
      </c>
      <c r="EA53">
        <v>7.5506471165229152E-5</v>
      </c>
      <c r="EB53">
        <v>0</v>
      </c>
      <c r="EC53">
        <v>0.31848498168498163</v>
      </c>
      <c r="ED53">
        <v>1.186813186813187</v>
      </c>
      <c r="EE53" s="14">
        <v>-2.1004999999999998</v>
      </c>
      <c r="EF53">
        <v>-2.0823999999999998</v>
      </c>
      <c r="EG53">
        <v>13.268353086419753</v>
      </c>
      <c r="EH53" t="s">
        <v>1119</v>
      </c>
      <c r="EI53">
        <v>0</v>
      </c>
      <c r="EJ53">
        <v>0</v>
      </c>
      <c r="EK53" s="10">
        <v>45470</v>
      </c>
      <c r="EL53" s="15">
        <v>-0.54</v>
      </c>
      <c r="EM53" s="15">
        <v>-5.41</v>
      </c>
      <c r="EN53" s="15">
        <v>-1.47</v>
      </c>
      <c r="EO53" s="15">
        <v>5.64</v>
      </c>
      <c r="EP53" s="15">
        <v>-1.81</v>
      </c>
    </row>
    <row r="54" spans="1:146" ht="108" x14ac:dyDescent="0.25">
      <c r="C54" s="7" t="str">
        <f>""&amp;CHAR(10)&amp;Basic_Fundamental_Information_Constructure(F54)&amp;CHAR(10)&amp;Basic_Fundamental_Information_Concatenate("")</f>
        <v xml:space="preserve">
市值21.870018亿, 利润1118.07万; PE21.54; 平均PE30.88; 平均PEG1.56, PB1.87; ROIC6.8067%; ROE8.1333%; 股利率3.8265%; 毛利28.93%; 净利11.5533%; 上一年度营收增-82.39%, 利润增-89.14%; 当季营收增-52.05%, 利润增-72.85%; 过往5年营收增-19.74%, 利润增-6.17%
Income profile:
</v>
      </c>
      <c r="D54" t="s">
        <v>547</v>
      </c>
      <c r="E54" t="s">
        <v>548</v>
      </c>
      <c r="F54">
        <v>31.36</v>
      </c>
      <c r="G54">
        <v>0</v>
      </c>
      <c r="H54" t="s">
        <v>2441</v>
      </c>
      <c r="I54">
        <v>2187001800</v>
      </c>
      <c r="J54">
        <v>21.54</v>
      </c>
      <c r="K54">
        <v>1.87</v>
      </c>
      <c r="L54" t="s">
        <v>303</v>
      </c>
      <c r="M54" t="s">
        <v>91</v>
      </c>
      <c r="N54" t="s">
        <v>2442</v>
      </c>
      <c r="O54" t="s">
        <v>65</v>
      </c>
      <c r="P54">
        <v>12.69</v>
      </c>
      <c r="Q54" t="s">
        <v>65</v>
      </c>
      <c r="R54">
        <v>11180749</v>
      </c>
      <c r="S54" s="5">
        <v>4.1840000000000002</v>
      </c>
      <c r="T54" t="s">
        <v>2443</v>
      </c>
      <c r="U54">
        <v>42671827</v>
      </c>
      <c r="V54">
        <v>69738577</v>
      </c>
      <c r="W54">
        <v>1.1000000000000001</v>
      </c>
      <c r="X54">
        <v>0.11</v>
      </c>
      <c r="Y54">
        <v>7.96</v>
      </c>
      <c r="Z54" t="s">
        <v>68</v>
      </c>
      <c r="AA54" t="s">
        <v>2444</v>
      </c>
      <c r="AB54" t="s">
        <v>2445</v>
      </c>
      <c r="AC54" t="s">
        <v>2446</v>
      </c>
      <c r="AD54" t="s">
        <v>5</v>
      </c>
      <c r="AE54">
        <v>-6515727</v>
      </c>
      <c r="AF54" t="s">
        <v>2447</v>
      </c>
      <c r="AG54" t="s">
        <v>2448</v>
      </c>
      <c r="AH54" t="s">
        <v>2449</v>
      </c>
      <c r="AI54" t="s">
        <v>1046</v>
      </c>
      <c r="AJ54" t="s">
        <v>2450</v>
      </c>
      <c r="AK54" t="s">
        <v>5</v>
      </c>
      <c r="AL54" t="s">
        <v>2451</v>
      </c>
      <c r="AM54" t="s">
        <v>5</v>
      </c>
      <c r="AN54">
        <v>0</v>
      </c>
      <c r="AO54" t="s">
        <v>5</v>
      </c>
      <c r="AP54" t="s">
        <v>5</v>
      </c>
      <c r="AQ54" t="s">
        <v>2452</v>
      </c>
      <c r="AR54" t="s">
        <v>5</v>
      </c>
      <c r="AS54" t="s">
        <v>53</v>
      </c>
      <c r="AT54" t="s">
        <v>5</v>
      </c>
      <c r="AU54" t="s">
        <v>2453</v>
      </c>
      <c r="AV54" t="s">
        <v>25</v>
      </c>
      <c r="AW54" t="s">
        <v>2454</v>
      </c>
      <c r="AX54" t="s">
        <v>981</v>
      </c>
      <c r="AY54" t="s">
        <v>238</v>
      </c>
      <c r="AZ54" t="s">
        <v>295</v>
      </c>
      <c r="BA54" t="s">
        <v>257</v>
      </c>
      <c r="BB54" t="s">
        <v>248</v>
      </c>
      <c r="BC54" t="s">
        <v>79</v>
      </c>
      <c r="BD54" t="s">
        <v>675</v>
      </c>
      <c r="BE54" t="s">
        <v>549</v>
      </c>
      <c r="BF54" t="s">
        <v>550</v>
      </c>
      <c r="BG54" t="s">
        <v>551</v>
      </c>
      <c r="BH54" t="s">
        <v>1004</v>
      </c>
      <c r="BI54" t="s">
        <v>64</v>
      </c>
      <c r="BJ54" t="s">
        <v>981</v>
      </c>
      <c r="BK54" t="s">
        <v>2455</v>
      </c>
      <c r="BL54" t="s">
        <v>1178</v>
      </c>
      <c r="BM54" t="s">
        <v>79</v>
      </c>
      <c r="BN54">
        <v>3.6</v>
      </c>
      <c r="BO54">
        <v>8.35</v>
      </c>
      <c r="BP54">
        <v>8.4700000000000006</v>
      </c>
      <c r="BQ54">
        <v>5.43</v>
      </c>
      <c r="BR54">
        <v>9.14</v>
      </c>
      <c r="BS54">
        <v>9.83</v>
      </c>
      <c r="BT54" t="s">
        <v>2456</v>
      </c>
      <c r="BU54" t="s">
        <v>1547</v>
      </c>
      <c r="BV54">
        <v>34.619999999999997</v>
      </c>
      <c r="BW54">
        <v>29.34</v>
      </c>
      <c r="BX54">
        <v>22.83</v>
      </c>
      <c r="BY54">
        <v>13.43</v>
      </c>
      <c r="BZ54">
        <v>12.9</v>
      </c>
      <c r="CA54">
        <v>8.33</v>
      </c>
      <c r="CB54">
        <v>-6.78</v>
      </c>
      <c r="CC54">
        <v>-9.42</v>
      </c>
      <c r="CD54" t="s">
        <v>2457</v>
      </c>
      <c r="CE54" t="s">
        <v>2458</v>
      </c>
      <c r="CF54" s="11">
        <v>-0.52054794520547942</v>
      </c>
      <c r="CG54" s="12">
        <v>-0.72849738957286125</v>
      </c>
      <c r="CH54" s="11">
        <v>-0.82389938831329346</v>
      </c>
      <c r="CI54" s="11">
        <v>-8.4101378917694092E-2</v>
      </c>
      <c r="CJ54" s="11">
        <v>-7.7577047049999237E-2</v>
      </c>
      <c r="CK54" s="11">
        <v>0.12291169166564941</v>
      </c>
      <c r="CL54" s="11">
        <v>-0.12434691935777664</v>
      </c>
      <c r="CM54" s="12">
        <v>-0.8914494514465332</v>
      </c>
      <c r="CN54" s="12">
        <v>0.42490154504776001</v>
      </c>
      <c r="CO54" s="12">
        <v>-9.8553955554962158E-2</v>
      </c>
      <c r="CP54" s="12">
        <v>-0.12709629535675049</v>
      </c>
      <c r="CQ54" s="12">
        <v>0.38384711742401123</v>
      </c>
      <c r="CR54">
        <v>30.882411584401499</v>
      </c>
      <c r="CS54">
        <v>1.5644378681494022</v>
      </c>
      <c r="CT54">
        <v>3.8265306122448979</v>
      </c>
      <c r="CU54" s="11">
        <v>-0.19740260839462281</v>
      </c>
      <c r="CV54" s="12">
        <v>-6.1670207977294923E-2</v>
      </c>
      <c r="CW54">
        <v>0.06</v>
      </c>
      <c r="CX54">
        <v>107.68572629620685</v>
      </c>
      <c r="CY54" t="s">
        <v>2459</v>
      </c>
      <c r="CZ54">
        <v>-0.19740260839462281</v>
      </c>
      <c r="DA54">
        <v>35.895242098735622</v>
      </c>
      <c r="DB54" t="s">
        <v>2460</v>
      </c>
      <c r="DC54">
        <v>-0.18753247797489167</v>
      </c>
      <c r="DD54">
        <v>17.947621049367811</v>
      </c>
      <c r="DE54" t="s">
        <v>2461</v>
      </c>
      <c r="DF54">
        <v>-0.17371429538726807</v>
      </c>
      <c r="DG54">
        <v>10.768572629620685</v>
      </c>
      <c r="DH54" t="s">
        <v>2462</v>
      </c>
      <c r="DI54">
        <v>-0.15792208671569827</v>
      </c>
      <c r="DJ54">
        <v>5.3842863148103426</v>
      </c>
      <c r="DK54" t="s">
        <v>2463</v>
      </c>
      <c r="DL54">
        <v>-0.13818182587623595</v>
      </c>
      <c r="DM54">
        <v>11180700</v>
      </c>
      <c r="DN54">
        <v>-0.19740260839462281</v>
      </c>
      <c r="DO54">
        <v>1204001800</v>
      </c>
      <c r="DP54">
        <v>985984190</v>
      </c>
      <c r="DQ54">
        <v>2490</v>
      </c>
      <c r="DR54">
        <v>-0.32314533681085661</v>
      </c>
      <c r="DS54">
        <v>-0.66682718159556631</v>
      </c>
      <c r="DT54" s="13">
        <v>-0.77333333333333332</v>
      </c>
      <c r="DU54">
        <v>-0.52333333333333332</v>
      </c>
      <c r="DV54">
        <v>-1.2966666666666666</v>
      </c>
      <c r="DW54">
        <v>-9.7197452229299373</v>
      </c>
      <c r="DX54">
        <v>0.25526196925506867</v>
      </c>
      <c r="DY54">
        <v>-9.0469719906103361</v>
      </c>
      <c r="DZ54">
        <v>1889</v>
      </c>
      <c r="EA54">
        <v>-9.0296079807741467</v>
      </c>
      <c r="EB54">
        <v>9</v>
      </c>
      <c r="EC54">
        <v>5.4033221813516497E-2</v>
      </c>
      <c r="ED54">
        <v>0.82794347811255165</v>
      </c>
      <c r="EE54" s="14">
        <v>2.0281099999999999</v>
      </c>
      <c r="EF54">
        <v>2.0186099999999998</v>
      </c>
      <c r="EG54">
        <v>19.065261969255069</v>
      </c>
      <c r="EH54" t="s">
        <v>746</v>
      </c>
      <c r="EI54">
        <v>0</v>
      </c>
      <c r="EJ54">
        <v>0</v>
      </c>
      <c r="EK54" s="10">
        <v>45470</v>
      </c>
      <c r="EL54" s="15">
        <v>3.91</v>
      </c>
      <c r="EM54" s="15">
        <v>-1.18</v>
      </c>
      <c r="EN54" s="15">
        <v>-7.32</v>
      </c>
      <c r="EO54" s="15">
        <v>10.07</v>
      </c>
      <c r="EP54" s="15">
        <v>0.95</v>
      </c>
    </row>
    <row r="55" spans="1:146" ht="108" x14ac:dyDescent="0.25">
      <c r="C55" s="7" t="str">
        <f>""&amp;CHAR(10)&amp;Basic_Fundamental_Information_Constructure(F55)&amp;CHAR(10)&amp;Basic_Fundamental_Information_Concatenate("")</f>
        <v xml:space="preserve">
市值21.737233亿, 利润-1580.53万; PE; 平均PE53.48; 平均PEG8.86, PB1.69; ROIC13.2933%; ROE14.8733%; 股利率0%; 毛利52.4633%; 净利16.5533%; 上一年度营收增-93.96%, 利润增-125.67%; 当季营收增-87.36%, 利润增-157.43%; 过往5年营收增6.03%, 利润增6.32%
Income profile:
</v>
      </c>
      <c r="D55" t="s">
        <v>676</v>
      </c>
      <c r="E55" t="s">
        <v>677</v>
      </c>
      <c r="F55">
        <v>23.56</v>
      </c>
      <c r="G55">
        <v>1.9</v>
      </c>
      <c r="H55" t="s">
        <v>2464</v>
      </c>
      <c r="I55">
        <v>2173723300</v>
      </c>
      <c r="K55">
        <v>1.69</v>
      </c>
      <c r="L55" t="s">
        <v>303</v>
      </c>
      <c r="M55" t="s">
        <v>36</v>
      </c>
      <c r="N55" t="s">
        <v>2465</v>
      </c>
      <c r="O55" t="s">
        <v>2466</v>
      </c>
      <c r="P55">
        <v>-67.84</v>
      </c>
      <c r="Q55" t="s">
        <v>2466</v>
      </c>
      <c r="R55">
        <v>-15805350</v>
      </c>
      <c r="S55" s="5">
        <v>-2.8879999999999999</v>
      </c>
      <c r="T55" t="s">
        <v>2467</v>
      </c>
      <c r="U55">
        <v>45818544</v>
      </c>
      <c r="V55">
        <v>92263300</v>
      </c>
      <c r="W55">
        <v>1.08</v>
      </c>
      <c r="X55">
        <v>0.01</v>
      </c>
      <c r="Y55">
        <v>-99.42</v>
      </c>
      <c r="Z55" t="s">
        <v>2468</v>
      </c>
      <c r="AA55" t="s">
        <v>2469</v>
      </c>
      <c r="AB55" t="s">
        <v>2470</v>
      </c>
      <c r="AC55" t="s">
        <v>2471</v>
      </c>
      <c r="AD55" t="s">
        <v>5</v>
      </c>
      <c r="AE55">
        <v>-374486</v>
      </c>
      <c r="AF55" t="s">
        <v>2472</v>
      </c>
      <c r="AG55" t="s">
        <v>5</v>
      </c>
      <c r="AH55" t="s">
        <v>2473</v>
      </c>
      <c r="AI55" t="s">
        <v>2474</v>
      </c>
      <c r="AJ55" t="s">
        <v>2475</v>
      </c>
      <c r="AK55" t="s">
        <v>2476</v>
      </c>
      <c r="AL55" t="s">
        <v>2477</v>
      </c>
      <c r="AM55" t="s">
        <v>5</v>
      </c>
      <c r="AN55" t="s">
        <v>2478</v>
      </c>
      <c r="AO55" t="s">
        <v>5</v>
      </c>
      <c r="AP55" t="s">
        <v>5</v>
      </c>
      <c r="AQ55" t="s">
        <v>2479</v>
      </c>
      <c r="AR55" t="s">
        <v>5</v>
      </c>
      <c r="AS55" t="s">
        <v>135</v>
      </c>
      <c r="AT55" t="s">
        <v>5</v>
      </c>
      <c r="AU55" t="s">
        <v>2480</v>
      </c>
      <c r="AV55" t="s">
        <v>2481</v>
      </c>
      <c r="AW55" t="s">
        <v>2482</v>
      </c>
      <c r="AX55" t="s">
        <v>234</v>
      </c>
      <c r="AY55" t="s">
        <v>134</v>
      </c>
      <c r="AZ55" t="s">
        <v>187</v>
      </c>
      <c r="BA55" t="s">
        <v>115</v>
      </c>
      <c r="BB55" t="s">
        <v>79</v>
      </c>
      <c r="BC55" t="s">
        <v>2483</v>
      </c>
      <c r="BD55" t="s">
        <v>678</v>
      </c>
      <c r="BE55" t="s">
        <v>679</v>
      </c>
      <c r="BF55" t="s">
        <v>680</v>
      </c>
      <c r="BG55" t="s">
        <v>681</v>
      </c>
      <c r="BH55" t="s">
        <v>2484</v>
      </c>
      <c r="BI55" t="s">
        <v>28</v>
      </c>
      <c r="BJ55" t="s">
        <v>234</v>
      </c>
      <c r="BK55" t="s">
        <v>2485</v>
      </c>
      <c r="BL55" t="s">
        <v>1179</v>
      </c>
      <c r="BM55" t="s">
        <v>2483</v>
      </c>
      <c r="BN55">
        <v>2.02</v>
      </c>
      <c r="BO55">
        <v>7.21</v>
      </c>
      <c r="BP55">
        <v>30.65</v>
      </c>
      <c r="BQ55">
        <v>2.4300000000000002</v>
      </c>
      <c r="BR55">
        <v>5.07</v>
      </c>
      <c r="BS55">
        <v>37.119999999999997</v>
      </c>
      <c r="BT55" t="s">
        <v>873</v>
      </c>
      <c r="BU55" t="s">
        <v>1547</v>
      </c>
      <c r="BV55">
        <v>48.51</v>
      </c>
      <c r="BW55">
        <v>55.47</v>
      </c>
      <c r="BX55">
        <v>53.41</v>
      </c>
      <c r="BY55">
        <v>-2.54</v>
      </c>
      <c r="BZ55">
        <v>22.82</v>
      </c>
      <c r="CA55">
        <v>29.38</v>
      </c>
      <c r="CB55">
        <v>-8.68</v>
      </c>
      <c r="CC55">
        <v>-17.07</v>
      </c>
      <c r="CD55" t="s">
        <v>2486</v>
      </c>
      <c r="CE55" t="s">
        <v>2487</v>
      </c>
      <c r="CF55" s="11">
        <v>-0.87362015503875967</v>
      </c>
      <c r="CG55" s="12">
        <v>-1.5742597100606766</v>
      </c>
      <c r="CH55" s="11">
        <v>-0.93961846828460693</v>
      </c>
      <c r="CI55" s="11">
        <v>-0.14826498925685883</v>
      </c>
      <c r="CJ55" s="11">
        <v>0.65968585014343262</v>
      </c>
      <c r="CK55" s="11">
        <v>0.45801526308059692</v>
      </c>
      <c r="CL55" s="11">
        <v>0.27184465527534485</v>
      </c>
      <c r="CM55" s="12">
        <v>-1.2566883563995361</v>
      </c>
      <c r="CN55" s="12">
        <v>-0.33434265851974487</v>
      </c>
      <c r="CO55" s="12">
        <v>0.75678867101669312</v>
      </c>
      <c r="CP55" s="12">
        <v>0.66236448287963867</v>
      </c>
      <c r="CQ55" s="12">
        <v>0.48787111043930054</v>
      </c>
      <c r="CR55">
        <v>53.477482597309304</v>
      </c>
      <c r="CS55">
        <v>8.863799131468415</v>
      </c>
      <c r="CT55">
        <v>0</v>
      </c>
      <c r="CU55" s="11">
        <v>6.0332462191581726E-2</v>
      </c>
      <c r="CV55" s="12">
        <v>6.3198649883270258E-2</v>
      </c>
      <c r="CW55">
        <v>0.06</v>
      </c>
      <c r="CX55" t="e">
        <v>#VALUE!</v>
      </c>
      <c r="CY55" t="s">
        <v>740</v>
      </c>
      <c r="CZ55">
        <v>6.0332462191581726E-2</v>
      </c>
      <c r="DA55" t="e">
        <v>#VALUE!</v>
      </c>
      <c r="DB55" t="s">
        <v>741</v>
      </c>
      <c r="DC55">
        <v>5.7315839082002634E-2</v>
      </c>
      <c r="DD55" t="e">
        <v>#VALUE!</v>
      </c>
      <c r="DE55" t="s">
        <v>741</v>
      </c>
      <c r="DF55">
        <v>5.3092566728591917E-2</v>
      </c>
      <c r="DG55" t="e">
        <v>#VALUE!</v>
      </c>
      <c r="DH55" t="s">
        <v>741</v>
      </c>
      <c r="DI55">
        <v>4.8265969753265386E-2</v>
      </c>
      <c r="DJ55" t="e">
        <v>#VALUE!</v>
      </c>
      <c r="DK55" t="s">
        <v>741</v>
      </c>
      <c r="DL55">
        <v>4.2232723534107203E-2</v>
      </c>
      <c r="DM55">
        <v>-15805300</v>
      </c>
      <c r="DN55">
        <v>6.0332462191581726E-2</v>
      </c>
      <c r="DO55">
        <v>994723300</v>
      </c>
      <c r="DP55">
        <v>1110105620</v>
      </c>
      <c r="DQ55">
        <v>2557</v>
      </c>
      <c r="DR55">
        <v>-0.9339526172303414</v>
      </c>
      <c r="DS55">
        <v>-1.6374583599439467</v>
      </c>
      <c r="DT55" s="13">
        <v>-0.29000000000000004</v>
      </c>
      <c r="DU55">
        <v>-1.1983333333333333</v>
      </c>
      <c r="DV55">
        <v>-1.4883333333333333</v>
      </c>
      <c r="DW55">
        <v>-9.5084944346807259</v>
      </c>
      <c r="DX55">
        <v>0.30807941581628256</v>
      </c>
      <c r="DY55">
        <v>-9.0600427257929308</v>
      </c>
      <c r="DZ55">
        <v>4163</v>
      </c>
      <c r="EA55">
        <v>-9.0111272918446002</v>
      </c>
      <c r="EB55">
        <v>9</v>
      </c>
      <c r="EC55">
        <v>0.10415842485582025</v>
      </c>
      <c r="ED55">
        <v>0.88210480223447463</v>
      </c>
      <c r="EE55" s="14">
        <v>-4.0739000000000001</v>
      </c>
      <c r="EF55">
        <v>-4.0587</v>
      </c>
      <c r="EG55">
        <v>19.118079415816283</v>
      </c>
      <c r="EH55" t="s">
        <v>1681</v>
      </c>
      <c r="EI55">
        <v>0</v>
      </c>
      <c r="EJ55">
        <v>0</v>
      </c>
      <c r="EK55" s="10">
        <v>45470</v>
      </c>
      <c r="EL55" s="15">
        <v>0</v>
      </c>
      <c r="EM55" s="15">
        <v>-2.74</v>
      </c>
      <c r="EN55" s="15">
        <v>-0.34</v>
      </c>
      <c r="EO55" s="15">
        <v>4.0599999999999996</v>
      </c>
      <c r="EP55" s="15">
        <v>-1.52</v>
      </c>
    </row>
    <row r="56" spans="1:146" ht="108" x14ac:dyDescent="0.25">
      <c r="A56" s="7"/>
      <c r="B56" s="7"/>
      <c r="C56" s="7" t="str">
        <f>""&amp;CHAR(10)&amp;Basic_Fundamental_Information_Constructure(F56)&amp;CHAR(10)&amp;Basic_Fundamental_Information_Concatenate("")</f>
        <v xml:space="preserve">
市值35.796169亿, 利润2192.79万; PE42.59; 平均PE37.84; 平均PEG2.51, PB2.03; ROIC15.7233%; ROE16.6867%; 股利率.755%; 毛利45.0567%; 净利20.9367%; 上一年度营收增-80.83%, 利润增-82.73%; 当季营收增-45.79%, 利润增-52.58%; 过往5年营收增15.08%, 利润增24.71%
Income profile:
</v>
      </c>
      <c r="D56" t="s">
        <v>756</v>
      </c>
      <c r="E56" t="s">
        <v>757</v>
      </c>
      <c r="F56">
        <v>26.49</v>
      </c>
      <c r="G56">
        <v>2.56</v>
      </c>
      <c r="H56" t="s">
        <v>2488</v>
      </c>
      <c r="I56">
        <v>3579616900</v>
      </c>
      <c r="J56">
        <v>42.59</v>
      </c>
      <c r="K56">
        <v>2.0299999999999998</v>
      </c>
      <c r="L56" t="s">
        <v>303</v>
      </c>
      <c r="M56" t="s">
        <v>1199</v>
      </c>
      <c r="N56" t="s">
        <v>2489</v>
      </c>
      <c r="O56" t="s">
        <v>176</v>
      </c>
      <c r="P56">
        <v>15.12</v>
      </c>
      <c r="Q56" t="s">
        <v>176</v>
      </c>
      <c r="R56">
        <v>21927904</v>
      </c>
      <c r="S56" s="5">
        <v>9.3799999999999994E-2</v>
      </c>
      <c r="T56" t="s">
        <v>2490</v>
      </c>
      <c r="U56">
        <v>58513721</v>
      </c>
      <c r="V56">
        <v>135130880</v>
      </c>
      <c r="W56">
        <v>1.0900000000000001</v>
      </c>
      <c r="X56">
        <v>0.06</v>
      </c>
      <c r="Y56">
        <v>18.86</v>
      </c>
      <c r="Z56" t="s">
        <v>25</v>
      </c>
      <c r="AA56" t="s">
        <v>2491</v>
      </c>
      <c r="AB56" t="s">
        <v>2492</v>
      </c>
      <c r="AC56" t="s">
        <v>2493</v>
      </c>
      <c r="AD56" t="s">
        <v>5</v>
      </c>
      <c r="AE56">
        <v>-6722262</v>
      </c>
      <c r="AF56" t="s">
        <v>2494</v>
      </c>
      <c r="AG56" t="s">
        <v>2495</v>
      </c>
      <c r="AH56" t="s">
        <v>2496</v>
      </c>
      <c r="AI56" t="s">
        <v>924</v>
      </c>
      <c r="AJ56" t="s">
        <v>2497</v>
      </c>
      <c r="AK56" t="s">
        <v>2498</v>
      </c>
      <c r="AL56" t="s">
        <v>2499</v>
      </c>
      <c r="AM56" t="s">
        <v>5</v>
      </c>
      <c r="AN56">
        <v>0</v>
      </c>
      <c r="AO56" t="s">
        <v>5</v>
      </c>
      <c r="AP56" t="s">
        <v>2500</v>
      </c>
      <c r="AQ56" t="s">
        <v>2501</v>
      </c>
      <c r="AR56" t="s">
        <v>5</v>
      </c>
      <c r="AS56" t="s">
        <v>79</v>
      </c>
      <c r="AT56" t="s">
        <v>5</v>
      </c>
      <c r="AU56" t="s">
        <v>2502</v>
      </c>
      <c r="AV56" t="s">
        <v>2503</v>
      </c>
      <c r="AW56" t="s">
        <v>2504</v>
      </c>
      <c r="AX56" t="s">
        <v>783</v>
      </c>
      <c r="AY56" t="s">
        <v>131</v>
      </c>
      <c r="AZ56" t="s">
        <v>211</v>
      </c>
      <c r="BA56" t="s">
        <v>73</v>
      </c>
      <c r="BB56" t="s">
        <v>23</v>
      </c>
      <c r="BC56" t="s">
        <v>45</v>
      </c>
      <c r="BD56" t="s">
        <v>57</v>
      </c>
      <c r="BE56" t="s">
        <v>29</v>
      </c>
      <c r="BF56" t="s">
        <v>758</v>
      </c>
      <c r="BG56" t="s">
        <v>759</v>
      </c>
      <c r="BH56" t="s">
        <v>772</v>
      </c>
      <c r="BI56" t="s">
        <v>181</v>
      </c>
      <c r="BJ56" t="s">
        <v>783</v>
      </c>
      <c r="BK56" t="s">
        <v>2505</v>
      </c>
      <c r="BL56" t="s">
        <v>1180</v>
      </c>
      <c r="BM56" t="s">
        <v>45</v>
      </c>
      <c r="BN56">
        <v>3.94</v>
      </c>
      <c r="BO56">
        <v>11.12</v>
      </c>
      <c r="BP56">
        <v>32.11</v>
      </c>
      <c r="BQ56">
        <v>4.5599999999999996</v>
      </c>
      <c r="BR56">
        <v>13.4</v>
      </c>
      <c r="BS56">
        <v>32.1</v>
      </c>
      <c r="BT56" t="s">
        <v>2506</v>
      </c>
      <c r="BU56" t="s">
        <v>1547</v>
      </c>
      <c r="BV56">
        <v>44.35</v>
      </c>
      <c r="BW56">
        <v>44.69</v>
      </c>
      <c r="BX56">
        <v>46.13</v>
      </c>
      <c r="BY56">
        <v>16.84</v>
      </c>
      <c r="BZ56">
        <v>21.03</v>
      </c>
      <c r="CA56">
        <v>24.94</v>
      </c>
      <c r="CB56">
        <v>-3.57</v>
      </c>
      <c r="CC56">
        <v>-12.17</v>
      </c>
      <c r="CD56" t="s">
        <v>2507</v>
      </c>
      <c r="CE56" t="s">
        <v>90</v>
      </c>
      <c r="CF56" s="11">
        <v>-0.45794392523364491</v>
      </c>
      <c r="CG56" s="12">
        <v>-0.5258113876694851</v>
      </c>
      <c r="CH56" s="11">
        <v>-0.80826443433761597</v>
      </c>
      <c r="CI56" s="11">
        <v>8.3333337679505348E-3</v>
      </c>
      <c r="CJ56" s="11">
        <v>-0.10447761416435242</v>
      </c>
      <c r="CK56" s="11">
        <v>1.3508771657943726</v>
      </c>
      <c r="CL56" s="11">
        <v>0.30733945965766907</v>
      </c>
      <c r="CM56" s="12">
        <v>-0.82733935117721558</v>
      </c>
      <c r="CN56" s="12">
        <v>-0.15333333611488342</v>
      </c>
      <c r="CO56" s="12">
        <v>-0.1071428582072258</v>
      </c>
      <c r="CP56" s="12">
        <v>2.2964768409729004</v>
      </c>
      <c r="CQ56" s="12">
        <v>2.6906073093414307E-2</v>
      </c>
      <c r="CR56">
        <v>37.844862802976323</v>
      </c>
      <c r="CS56">
        <v>2.5102457976945347</v>
      </c>
      <c r="CT56">
        <v>0.75500188750471886</v>
      </c>
      <c r="CU56" s="11">
        <v>0.15076158214360474</v>
      </c>
      <c r="CV56" s="12">
        <v>0.24711347371339798</v>
      </c>
      <c r="CW56">
        <v>0.06</v>
      </c>
      <c r="CX56">
        <v>82.06592560116016</v>
      </c>
      <c r="CY56">
        <v>23805457.45008184</v>
      </c>
      <c r="CZ56">
        <v>0.15076158214360474</v>
      </c>
      <c r="DA56">
        <v>25.482611376565494</v>
      </c>
      <c r="DB56">
        <v>76664705.635176763</v>
      </c>
      <c r="DC56">
        <v>0.1432235030364245</v>
      </c>
      <c r="DD56">
        <v>11.698185688214503</v>
      </c>
      <c r="DE56">
        <v>167001700.26948693</v>
      </c>
      <c r="DF56">
        <v>0.13267019228637217</v>
      </c>
      <c r="DG56">
        <v>6.4789112435348759</v>
      </c>
      <c r="DH56">
        <v>301534752.76412523</v>
      </c>
      <c r="DI56">
        <v>0.1206092657148838</v>
      </c>
      <c r="DJ56">
        <v>2.7817827269330344</v>
      </c>
      <c r="DK56">
        <v>702289535.80206382</v>
      </c>
      <c r="DL56">
        <v>0.10553310750052332</v>
      </c>
      <c r="DM56">
        <v>21927900</v>
      </c>
      <c r="DN56">
        <v>0.15076158214360474</v>
      </c>
      <c r="DO56">
        <v>1953616900</v>
      </c>
      <c r="DP56">
        <v>1380760600</v>
      </c>
      <c r="DQ56">
        <v>2722</v>
      </c>
      <c r="DR56">
        <v>-0.6087055073772496</v>
      </c>
      <c r="DS56">
        <v>-0.77292486138288308</v>
      </c>
      <c r="DT56" s="13">
        <v>-0.44</v>
      </c>
      <c r="DU56">
        <v>-0.30166666666666669</v>
      </c>
      <c r="DV56">
        <v>-0.7416666666666667</v>
      </c>
      <c r="DW56">
        <v>-8.2933442892358258</v>
      </c>
      <c r="DX56">
        <v>0.29891071428571309</v>
      </c>
      <c r="DY56">
        <v>-8.0319483360723094</v>
      </c>
      <c r="DZ56">
        <v>2946</v>
      </c>
      <c r="EA56">
        <v>-8.0135295888963753</v>
      </c>
      <c r="EB56">
        <v>8</v>
      </c>
      <c r="EC56">
        <v>9.0268042360117831E-2</v>
      </c>
      <c r="ED56">
        <v>0.82882609807617635</v>
      </c>
      <c r="EE56" s="14">
        <v>-1.101</v>
      </c>
      <c r="EF56">
        <v>-1.0851999999999999</v>
      </c>
      <c r="EG56">
        <v>19.108910714285713</v>
      </c>
      <c r="EH56" t="s">
        <v>910</v>
      </c>
      <c r="EI56">
        <v>0</v>
      </c>
      <c r="EJ56">
        <v>0</v>
      </c>
      <c r="EK56" s="10">
        <v>45470</v>
      </c>
      <c r="EL56" s="15">
        <v>-0.39</v>
      </c>
      <c r="EM56" s="15">
        <v>-4.2300000000000004</v>
      </c>
      <c r="EN56" s="15">
        <v>6.65</v>
      </c>
      <c r="EO56" s="15">
        <v>0.89</v>
      </c>
      <c r="EP56" s="15">
        <v>-1.58</v>
      </c>
    </row>
    <row r="57" spans="1:146" ht="108" x14ac:dyDescent="0.25">
      <c r="A57" s="7"/>
      <c r="B57" s="7"/>
      <c r="C57" s="7" t="str">
        <f>""&amp;CHAR(10)&amp;Basic_Fundamental_Information_Constructure(F57)&amp;CHAR(10)&amp;Basic_Fundamental_Information_Concatenate("")</f>
        <v xml:space="preserve">
市值42.206517亿, 利润2633.45万; PE24.55; 平均PE28.44; 平均PEG2.23, PB1.31; ROIC8.3033%; ROE9.01%; 股利率2.0756%; 毛利44.9767%; 净利10.0567%; 上一年度营收增-79.16%, 利润增-86.36%; 当季营收增-57.31%, 利润增-70.33%; 过往5年营收增-12.76%, 利润增-8.04%
Income profile:
</v>
      </c>
      <c r="D57" t="s">
        <v>761</v>
      </c>
      <c r="E57" t="s">
        <v>762</v>
      </c>
      <c r="F57">
        <v>21.68</v>
      </c>
      <c r="G57">
        <v>1.1200000000000001</v>
      </c>
      <c r="H57" t="s">
        <v>2508</v>
      </c>
      <c r="I57">
        <v>4220651700</v>
      </c>
      <c r="J57">
        <v>24.55</v>
      </c>
      <c r="K57">
        <v>1.31</v>
      </c>
      <c r="L57" t="s">
        <v>303</v>
      </c>
      <c r="M57" t="s">
        <v>2509</v>
      </c>
      <c r="N57" t="s">
        <v>2510</v>
      </c>
      <c r="O57" t="s">
        <v>2511</v>
      </c>
      <c r="P57">
        <v>-0.83</v>
      </c>
      <c r="Q57" t="s">
        <v>2511</v>
      </c>
      <c r="R57">
        <v>26334497</v>
      </c>
      <c r="S57" s="5">
        <v>-0.16900000000000001</v>
      </c>
      <c r="T57" t="s">
        <v>2512</v>
      </c>
      <c r="U57">
        <v>66352349</v>
      </c>
      <c r="V57">
        <v>194679510</v>
      </c>
      <c r="W57">
        <v>1.18</v>
      </c>
      <c r="X57">
        <v>0.1</v>
      </c>
      <c r="Y57">
        <v>6.84</v>
      </c>
      <c r="Z57" t="s">
        <v>2513</v>
      </c>
      <c r="AA57" t="s">
        <v>642</v>
      </c>
      <c r="AB57" t="s">
        <v>147</v>
      </c>
      <c r="AC57" t="s">
        <v>2514</v>
      </c>
      <c r="AD57" t="s">
        <v>5</v>
      </c>
      <c r="AE57">
        <v>-9703887</v>
      </c>
      <c r="AF57" t="s">
        <v>2515</v>
      </c>
      <c r="AG57" t="s">
        <v>2516</v>
      </c>
      <c r="AH57" t="s">
        <v>2517</v>
      </c>
      <c r="AI57" t="s">
        <v>2518</v>
      </c>
      <c r="AJ57" t="s">
        <v>2519</v>
      </c>
      <c r="AK57" t="s">
        <v>5</v>
      </c>
      <c r="AL57" t="s">
        <v>2520</v>
      </c>
      <c r="AM57" t="s">
        <v>5</v>
      </c>
      <c r="AN57" t="s">
        <v>1111</v>
      </c>
      <c r="AO57" t="s">
        <v>5</v>
      </c>
      <c r="AP57" t="s">
        <v>61</v>
      </c>
      <c r="AQ57" t="s">
        <v>1267</v>
      </c>
      <c r="AR57" t="s">
        <v>5</v>
      </c>
      <c r="AS57" t="s">
        <v>1206</v>
      </c>
      <c r="AT57" t="s">
        <v>2521</v>
      </c>
      <c r="AU57" t="s">
        <v>2522</v>
      </c>
      <c r="AV57" t="s">
        <v>2523</v>
      </c>
      <c r="AW57" t="s">
        <v>2524</v>
      </c>
      <c r="AX57" t="s">
        <v>982</v>
      </c>
      <c r="AY57" t="s">
        <v>763</v>
      </c>
      <c r="AZ57" t="s">
        <v>764</v>
      </c>
      <c r="BA57" t="s">
        <v>765</v>
      </c>
      <c r="BB57" t="s">
        <v>766</v>
      </c>
      <c r="BC57" t="s">
        <v>105</v>
      </c>
      <c r="BD57" t="s">
        <v>159</v>
      </c>
      <c r="BE57" t="s">
        <v>76</v>
      </c>
      <c r="BF57" t="s">
        <v>749</v>
      </c>
      <c r="BG57" t="s">
        <v>115</v>
      </c>
      <c r="BH57" t="s">
        <v>2525</v>
      </c>
      <c r="BI57" t="s">
        <v>296</v>
      </c>
      <c r="BJ57" t="s">
        <v>982</v>
      </c>
      <c r="BK57" t="s">
        <v>193</v>
      </c>
      <c r="BL57" t="s">
        <v>1182</v>
      </c>
      <c r="BM57" t="s">
        <v>105</v>
      </c>
      <c r="BN57">
        <v>3.57</v>
      </c>
      <c r="BO57">
        <v>7.86</v>
      </c>
      <c r="BP57">
        <v>13.48</v>
      </c>
      <c r="BQ57">
        <v>4.4400000000000004</v>
      </c>
      <c r="BR57">
        <v>9.39</v>
      </c>
      <c r="BS57">
        <v>13.2</v>
      </c>
      <c r="BT57" t="s">
        <v>2526</v>
      </c>
      <c r="BU57" t="s">
        <v>1547</v>
      </c>
      <c r="BV57">
        <v>49.2</v>
      </c>
      <c r="BW57">
        <v>44.46</v>
      </c>
      <c r="BX57">
        <v>41.27</v>
      </c>
      <c r="BY57">
        <v>9.99</v>
      </c>
      <c r="BZ57">
        <v>10.64</v>
      </c>
      <c r="CA57">
        <v>9.5399999999999991</v>
      </c>
      <c r="CB57">
        <v>-3.56</v>
      </c>
      <c r="CC57">
        <v>-6.59</v>
      </c>
      <c r="CD57" t="s">
        <v>2527</v>
      </c>
      <c r="CE57" t="s">
        <v>2528</v>
      </c>
      <c r="CF57" s="11">
        <v>-0.57310565635005328</v>
      </c>
      <c r="CG57" s="12">
        <v>-0.7032876491617871</v>
      </c>
      <c r="CH57" s="11">
        <v>-0.79155808687210083</v>
      </c>
      <c r="CI57" s="11">
        <v>-1.8414322286844254E-2</v>
      </c>
      <c r="CJ57" s="11">
        <v>8.5508048534393311E-2</v>
      </c>
      <c r="CK57" s="11">
        <v>2.8555110096931458E-2</v>
      </c>
      <c r="CL57" s="11">
        <v>5.8006040751934052E-2</v>
      </c>
      <c r="CM57" s="12">
        <v>-0.86355185508728027</v>
      </c>
      <c r="CN57" s="12">
        <v>0.12865497171878815</v>
      </c>
      <c r="CO57" s="12">
        <v>-8.0645158886909485E-2</v>
      </c>
      <c r="CP57" s="12">
        <v>1.6393441706895828E-2</v>
      </c>
      <c r="CQ57" s="12">
        <v>0.39694657921791077</v>
      </c>
      <c r="CR57">
        <v>28.443141538376867</v>
      </c>
      <c r="CS57">
        <v>2.2294245508169399</v>
      </c>
      <c r="CT57">
        <v>2.0756457564575648</v>
      </c>
      <c r="CU57" s="11">
        <v>-0.12758064195513724</v>
      </c>
      <c r="CV57" s="12">
        <v>-8.0440404266119009E-2</v>
      </c>
      <c r="CW57">
        <v>0.06</v>
      </c>
      <c r="CX57">
        <v>60.515737910345742</v>
      </c>
      <c r="CY57" t="s">
        <v>2529</v>
      </c>
      <c r="CZ57">
        <v>-0.12758064195513724</v>
      </c>
      <c r="DA57">
        <v>20.171912636781915</v>
      </c>
      <c r="DB57" t="s">
        <v>2530</v>
      </c>
      <c r="DC57">
        <v>-0.12120160985738038</v>
      </c>
      <c r="DD57">
        <v>10.085956318390958</v>
      </c>
      <c r="DE57" t="s">
        <v>2531</v>
      </c>
      <c r="DF57">
        <v>-0.11227096492052077</v>
      </c>
      <c r="DG57">
        <v>6.0515737910345742</v>
      </c>
      <c r="DH57" t="s">
        <v>2532</v>
      </c>
      <c r="DI57">
        <v>-0.1020645135641098</v>
      </c>
      <c r="DJ57">
        <v>3.0257868955172871</v>
      </c>
      <c r="DK57" t="s">
        <v>2533</v>
      </c>
      <c r="DL57">
        <v>-8.9306449368596066E-2</v>
      </c>
      <c r="DM57">
        <v>26334500</v>
      </c>
      <c r="DN57">
        <v>-0.12758064195513724</v>
      </c>
      <c r="DO57">
        <v>1593651700</v>
      </c>
      <c r="DP57">
        <v>2369354900</v>
      </c>
      <c r="DQ57">
        <v>2733</v>
      </c>
      <c r="DR57">
        <v>-0.44552501439491604</v>
      </c>
      <c r="DS57">
        <v>-0.62284724489566812</v>
      </c>
      <c r="DT57" s="13">
        <v>-0.77333333333333332</v>
      </c>
      <c r="DU57">
        <v>-0.67333333333333334</v>
      </c>
      <c r="DV57">
        <v>-1.4466666666666668</v>
      </c>
      <c r="DW57">
        <v>-8.5402124430955997</v>
      </c>
      <c r="DX57">
        <v>0.32061821383155464</v>
      </c>
      <c r="DY57">
        <v>-8.0867679576995961</v>
      </c>
      <c r="DZ57">
        <v>2092</v>
      </c>
      <c r="EA57">
        <v>-8.0512457331384315</v>
      </c>
      <c r="EB57">
        <v>8</v>
      </c>
      <c r="EC57">
        <v>3.626781267324948E-2</v>
      </c>
      <c r="ED57">
        <v>0.22580136964593758</v>
      </c>
      <c r="EE57" s="14">
        <v>-3.0215000000000001</v>
      </c>
      <c r="EF57">
        <v>-3.0301999999999998</v>
      </c>
      <c r="EG57">
        <v>16.160618213831555</v>
      </c>
      <c r="EH57" t="s">
        <v>1114</v>
      </c>
      <c r="EI57">
        <v>0</v>
      </c>
      <c r="EJ57">
        <v>0</v>
      </c>
      <c r="EK57" s="10">
        <v>45470</v>
      </c>
      <c r="EL57" s="15">
        <v>-2</v>
      </c>
      <c r="EM57" s="15">
        <v>-6.23</v>
      </c>
      <c r="EN57" s="15">
        <v>-1.79</v>
      </c>
      <c r="EO57" s="15">
        <v>4.49</v>
      </c>
      <c r="EP57" s="15">
        <v>0.87</v>
      </c>
    </row>
    <row r="58" spans="1:146" ht="108" x14ac:dyDescent="0.25">
      <c r="A58" s="7"/>
      <c r="B58" s="7"/>
      <c r="C58" s="7" t="str">
        <f>""&amp;CHAR(10)&amp;Basic_Fundamental_Information_Constructure(F58)&amp;CHAR(10)&amp;Basic_Fundamental_Information_Concatenate("")</f>
        <v xml:space="preserve">
市值76.4346亿, 利润4504.24万; PE39.21; 平均PE43.37; 平均PEG1.15, PB2.87; ROIC7.3267%; ROE10.4733%; 股利率1.5974%; 毛利47.0533%; 净利30.05%; 上一年度营收增-74.37%, 利润增-70.17%; 当季营收增-44.96%, 利润增-54.22%; 过往5年营收增37.84%, 利润增48.56%
Income profile:
</v>
      </c>
      <c r="D58" t="s">
        <v>768</v>
      </c>
      <c r="E58" t="s">
        <v>776</v>
      </c>
      <c r="F58">
        <v>18.78</v>
      </c>
      <c r="G58">
        <v>-3.1</v>
      </c>
      <c r="H58" t="s">
        <v>2534</v>
      </c>
      <c r="I58">
        <v>7643460000</v>
      </c>
      <c r="J58">
        <v>39.21</v>
      </c>
      <c r="K58">
        <v>2.87</v>
      </c>
      <c r="L58" t="s">
        <v>303</v>
      </c>
      <c r="M58" t="s">
        <v>2535</v>
      </c>
      <c r="N58" t="s">
        <v>2536</v>
      </c>
      <c r="O58" t="s">
        <v>877</v>
      </c>
      <c r="P58">
        <v>14.77</v>
      </c>
      <c r="Q58" t="s">
        <v>877</v>
      </c>
      <c r="R58">
        <v>45042397</v>
      </c>
      <c r="S58">
        <v>9.6500000000000002E-2</v>
      </c>
      <c r="T58" t="s">
        <v>2537</v>
      </c>
      <c r="U58">
        <v>120043478</v>
      </c>
      <c r="V58">
        <v>407000000</v>
      </c>
      <c r="W58">
        <v>2.04</v>
      </c>
      <c r="X58">
        <v>0.03</v>
      </c>
      <c r="Y58">
        <v>28.7</v>
      </c>
      <c r="Z58" t="s">
        <v>979</v>
      </c>
      <c r="AA58" t="s">
        <v>2538</v>
      </c>
      <c r="AB58" t="s">
        <v>2539</v>
      </c>
      <c r="AC58" t="s">
        <v>2540</v>
      </c>
      <c r="AD58" t="s">
        <v>5</v>
      </c>
      <c r="AE58">
        <v>-3883651</v>
      </c>
      <c r="AF58" t="s">
        <v>2541</v>
      </c>
      <c r="AG58">
        <v>0</v>
      </c>
      <c r="AH58" t="s">
        <v>2542</v>
      </c>
      <c r="AI58" t="s">
        <v>119</v>
      </c>
      <c r="AJ58" t="s">
        <v>2543</v>
      </c>
      <c r="AK58" t="s">
        <v>2544</v>
      </c>
      <c r="AL58" t="s">
        <v>2545</v>
      </c>
      <c r="AM58" t="s">
        <v>5</v>
      </c>
      <c r="AN58">
        <v>0</v>
      </c>
      <c r="AO58" t="s">
        <v>5</v>
      </c>
      <c r="AP58" t="s">
        <v>2546</v>
      </c>
      <c r="AQ58" t="s">
        <v>75</v>
      </c>
      <c r="AR58" t="s">
        <v>5</v>
      </c>
      <c r="AS58" t="s">
        <v>2547</v>
      </c>
      <c r="AT58" t="s">
        <v>5</v>
      </c>
      <c r="AU58" t="s">
        <v>2548</v>
      </c>
      <c r="AV58" t="s">
        <v>2549</v>
      </c>
      <c r="AW58" t="s">
        <v>2550</v>
      </c>
      <c r="AX58" t="s">
        <v>924</v>
      </c>
      <c r="AY58" t="s">
        <v>769</v>
      </c>
      <c r="AZ58" t="s">
        <v>102</v>
      </c>
      <c r="BA58" t="s">
        <v>770</v>
      </c>
      <c r="BB58" t="s">
        <v>82</v>
      </c>
      <c r="BC58" t="s">
        <v>27</v>
      </c>
      <c r="BD58" t="s">
        <v>250</v>
      </c>
      <c r="BE58" t="s">
        <v>159</v>
      </c>
      <c r="BF58" t="s">
        <v>751</v>
      </c>
      <c r="BG58" t="s">
        <v>771</v>
      </c>
      <c r="BH58" t="s">
        <v>2551</v>
      </c>
      <c r="BI58" t="s">
        <v>32</v>
      </c>
      <c r="BJ58" t="s">
        <v>924</v>
      </c>
      <c r="BK58" t="s">
        <v>187</v>
      </c>
      <c r="BL58" t="s">
        <v>1183</v>
      </c>
      <c r="BM58" t="s">
        <v>27</v>
      </c>
      <c r="BN58">
        <v>4.87</v>
      </c>
      <c r="BO58">
        <v>5.69</v>
      </c>
      <c r="BP58">
        <v>11.42</v>
      </c>
      <c r="BQ58">
        <v>6.2</v>
      </c>
      <c r="BR58">
        <v>9.3699999999999992</v>
      </c>
      <c r="BS58">
        <v>15.85</v>
      </c>
      <c r="BT58" t="s">
        <v>973</v>
      </c>
      <c r="BU58" t="s">
        <v>1296</v>
      </c>
      <c r="BV58">
        <v>46.96</v>
      </c>
      <c r="BW58">
        <v>48.42</v>
      </c>
      <c r="BX58">
        <v>45.78</v>
      </c>
      <c r="BY58">
        <v>28.23</v>
      </c>
      <c r="BZ58">
        <v>27.95</v>
      </c>
      <c r="CA58">
        <v>33.97</v>
      </c>
      <c r="CB58">
        <v>-4.13</v>
      </c>
      <c r="CC58">
        <v>0.27</v>
      </c>
      <c r="CD58" t="s">
        <v>2552</v>
      </c>
      <c r="CE58" t="s">
        <v>107</v>
      </c>
      <c r="CF58" s="11">
        <v>-0.44964028776978415</v>
      </c>
      <c r="CG58" s="12">
        <v>-0.54220460860780284</v>
      </c>
      <c r="CH58" s="11">
        <v>-0.74371856451034546</v>
      </c>
      <c r="CI58" s="11">
        <v>6.7453626543283463E-3</v>
      </c>
      <c r="CJ58" s="11">
        <v>0.27253219485282898</v>
      </c>
      <c r="CK58" s="11">
        <v>-0.67435359954833984</v>
      </c>
      <c r="CL58" s="11">
        <v>3.0309858322143555</v>
      </c>
      <c r="CM58" s="12">
        <v>-0.7017059326171875</v>
      </c>
      <c r="CN58" s="12">
        <v>-0.19680851697921753</v>
      </c>
      <c r="CO58" s="12">
        <v>9.9415205419063568E-2</v>
      </c>
      <c r="CP58" s="12">
        <v>-0.58894228935241699</v>
      </c>
      <c r="CQ58" s="12">
        <v>3.8158457279205322</v>
      </c>
      <c r="CR58">
        <v>43.370269955123959</v>
      </c>
      <c r="CS58">
        <v>1.1460329528779925</v>
      </c>
      <c r="CT58">
        <v>1.5974440894568689</v>
      </c>
      <c r="CU58" s="11">
        <v>0.37843824513256552</v>
      </c>
      <c r="CV58" s="12">
        <v>0.48556083887815477</v>
      </c>
      <c r="CW58">
        <v>0.06</v>
      </c>
      <c r="CX58">
        <v>132.26848241135107</v>
      </c>
      <c r="CY58">
        <v>58573742.275999114</v>
      </c>
      <c r="CZ58">
        <v>0.37843824513256552</v>
      </c>
      <c r="DA58">
        <v>34.145998492606701</v>
      </c>
      <c r="DB58">
        <v>226892178.93796492</v>
      </c>
      <c r="DC58">
        <v>0.35951633287593721</v>
      </c>
      <c r="DD58">
        <v>11.920081119111149</v>
      </c>
      <c r="DE58">
        <v>649950274.88350761</v>
      </c>
      <c r="DF58">
        <v>0.33302565571665765</v>
      </c>
      <c r="DG58">
        <v>4.6704845539708284</v>
      </c>
      <c r="DH58">
        <v>1658812894.1381764</v>
      </c>
      <c r="DI58">
        <v>0.30275059610605243</v>
      </c>
      <c r="DJ58">
        <v>0.8372201944891251</v>
      </c>
      <c r="DK58">
        <v>9253790162.9660625</v>
      </c>
      <c r="DL58">
        <v>0.26490677159279585</v>
      </c>
      <c r="DM58">
        <v>45042400</v>
      </c>
      <c r="DN58">
        <v>0.37843824513256552</v>
      </c>
      <c r="DO58">
        <v>7747460000</v>
      </c>
      <c r="DP58">
        <v>982550800</v>
      </c>
      <c r="DQ58">
        <v>2741</v>
      </c>
      <c r="DR58">
        <v>-0.82807853290234967</v>
      </c>
      <c r="DS58">
        <v>-1.0277654474859577</v>
      </c>
      <c r="DT58" s="13">
        <v>-0.41666666666666669</v>
      </c>
      <c r="DU58">
        <v>-0.38000000000000006</v>
      </c>
      <c r="DV58">
        <v>-0.79666666666666675</v>
      </c>
      <c r="DW58">
        <v>-4.0653753026634378</v>
      </c>
      <c r="DX58">
        <v>0.45181060240963661</v>
      </c>
      <c r="DY58">
        <v>-4.0086171580267802</v>
      </c>
      <c r="DZ58">
        <v>1249</v>
      </c>
      <c r="EA58">
        <v>-4.0065109289904886</v>
      </c>
      <c r="EB58">
        <v>4</v>
      </c>
      <c r="EC58">
        <v>0.13440147420147419</v>
      </c>
      <c r="ED58">
        <v>1.0196560196560198</v>
      </c>
      <c r="EE58" s="14">
        <v>1.0608</v>
      </c>
      <c r="EF58">
        <v>1.0674999999999999</v>
      </c>
      <c r="EG58">
        <v>32.131810602409637</v>
      </c>
      <c r="EH58" t="s">
        <v>743</v>
      </c>
      <c r="EI58">
        <v>0</v>
      </c>
      <c r="EJ58">
        <v>1</v>
      </c>
      <c r="EK58" s="10">
        <v>45470</v>
      </c>
      <c r="EL58" s="15">
        <v>-1.62</v>
      </c>
      <c r="EM58" s="15">
        <v>-4.49</v>
      </c>
      <c r="EN58" s="15">
        <v>3.82</v>
      </c>
      <c r="EO58" s="15">
        <v>5.24</v>
      </c>
      <c r="EP58" s="15">
        <v>0.67</v>
      </c>
    </row>
    <row r="59" spans="1:146" ht="108" x14ac:dyDescent="0.25">
      <c r="C59" s="7" t="str">
        <f>""&amp;CHAR(10)&amp;Basic_Fundamental_Information_Constructure(F59)&amp;CHAR(10)&amp;Basic_Fundamental_Information_Concatenate("")</f>
        <v xml:space="preserve">
市值38.68053亿, 利润1888.60万; PE20.11; 平均PE56.82; 平均PEG5.74, PB1.75; ROIC13.36%; ROE16.8633%; 股利率1.9651%; 毛利44.0267%; 净利19.2267%; 上一年度营收增-78.94%, 利润增-85.58%; 当季营收增-59.49%, 利润增-73.13%; 过往5年营收增9.9%, 利润增33.64%
Income profile:
</v>
      </c>
      <c r="D59" s="5" t="s">
        <v>879</v>
      </c>
      <c r="E59" t="s">
        <v>880</v>
      </c>
      <c r="F59">
        <v>40.71</v>
      </c>
      <c r="G59">
        <v>2.8</v>
      </c>
      <c r="H59" t="s">
        <v>2553</v>
      </c>
      <c r="I59">
        <v>3868053000</v>
      </c>
      <c r="J59">
        <v>20.11</v>
      </c>
      <c r="K59">
        <v>1.75</v>
      </c>
      <c r="L59" t="s">
        <v>303</v>
      </c>
      <c r="M59" t="s">
        <v>954</v>
      </c>
      <c r="N59" t="s">
        <v>2554</v>
      </c>
      <c r="O59" t="s">
        <v>110</v>
      </c>
      <c r="P59" s="5">
        <v>7.55</v>
      </c>
      <c r="Q59" t="s">
        <v>110</v>
      </c>
      <c r="R59">
        <v>18886028</v>
      </c>
      <c r="S59">
        <v>-0.35389999999999999</v>
      </c>
      <c r="T59" t="s">
        <v>2555</v>
      </c>
      <c r="U59">
        <v>49316695</v>
      </c>
      <c r="V59">
        <v>95014811</v>
      </c>
      <c r="W59">
        <v>1.3</v>
      </c>
      <c r="X59">
        <v>0.05</v>
      </c>
      <c r="Y59">
        <v>13.23</v>
      </c>
      <c r="Z59" t="s">
        <v>110</v>
      </c>
      <c r="AA59" t="s">
        <v>2556</v>
      </c>
      <c r="AB59" t="s">
        <v>2557</v>
      </c>
      <c r="AC59" t="s">
        <v>2558</v>
      </c>
      <c r="AD59" t="s">
        <v>5</v>
      </c>
      <c r="AE59">
        <v>968326</v>
      </c>
      <c r="AF59" t="s">
        <v>2559</v>
      </c>
      <c r="AG59" t="s">
        <v>2560</v>
      </c>
      <c r="AH59" t="s">
        <v>2561</v>
      </c>
      <c r="AI59" t="s">
        <v>1099</v>
      </c>
      <c r="AJ59" t="s">
        <v>2562</v>
      </c>
      <c r="AK59" t="s">
        <v>2563</v>
      </c>
      <c r="AL59" t="s">
        <v>2564</v>
      </c>
      <c r="AM59" t="s">
        <v>5</v>
      </c>
      <c r="AN59">
        <v>0</v>
      </c>
      <c r="AO59" t="s">
        <v>798</v>
      </c>
      <c r="AP59" t="s">
        <v>46</v>
      </c>
      <c r="AQ59" t="s">
        <v>51</v>
      </c>
      <c r="AR59" t="s">
        <v>5</v>
      </c>
      <c r="AS59" t="s">
        <v>251</v>
      </c>
      <c r="AT59" t="s">
        <v>5</v>
      </c>
      <c r="AU59" t="s">
        <v>2565</v>
      </c>
      <c r="AV59" t="s">
        <v>200</v>
      </c>
      <c r="AW59" t="s">
        <v>2566</v>
      </c>
      <c r="AX59" t="s">
        <v>983</v>
      </c>
      <c r="AY59" t="s">
        <v>748</v>
      </c>
      <c r="AZ59" t="s">
        <v>754</v>
      </c>
      <c r="BA59" t="s">
        <v>237</v>
      </c>
      <c r="BB59" t="s">
        <v>163</v>
      </c>
      <c r="BC59" t="s">
        <v>115</v>
      </c>
      <c r="BD59" t="s">
        <v>20</v>
      </c>
      <c r="BE59" t="s">
        <v>881</v>
      </c>
      <c r="BF59" t="s">
        <v>882</v>
      </c>
      <c r="BG59" t="s">
        <v>883</v>
      </c>
      <c r="BH59" t="s">
        <v>1215</v>
      </c>
      <c r="BI59" t="s">
        <v>1184</v>
      </c>
      <c r="BJ59" t="s">
        <v>983</v>
      </c>
      <c r="BK59" t="s">
        <v>1131</v>
      </c>
      <c r="BL59" t="s">
        <v>1185</v>
      </c>
      <c r="BM59" t="s">
        <v>115</v>
      </c>
      <c r="BN59">
        <v>4.78</v>
      </c>
      <c r="BO59">
        <v>10.17</v>
      </c>
      <c r="BP59">
        <v>25.13</v>
      </c>
      <c r="BQ59">
        <v>5.23</v>
      </c>
      <c r="BR59">
        <v>19.78</v>
      </c>
      <c r="BS59">
        <v>25.58</v>
      </c>
      <c r="BT59" t="s">
        <v>2567</v>
      </c>
      <c r="BU59" t="s">
        <v>1296</v>
      </c>
      <c r="BV59">
        <v>48.08</v>
      </c>
      <c r="BW59">
        <v>42.18</v>
      </c>
      <c r="BX59">
        <v>41.82</v>
      </c>
      <c r="BY59">
        <v>19.87</v>
      </c>
      <c r="BZ59">
        <v>19.34</v>
      </c>
      <c r="CA59">
        <v>18.47</v>
      </c>
      <c r="CB59">
        <v>-7.01</v>
      </c>
      <c r="CC59" s="11">
        <v>-28.3</v>
      </c>
      <c r="CD59" s="12" t="s">
        <v>2568</v>
      </c>
      <c r="CE59" s="11" t="s">
        <v>2569</v>
      </c>
      <c r="CF59" s="11">
        <v>-0.59490084985835689</v>
      </c>
      <c r="CG59" s="11">
        <v>-0.73134674938014677</v>
      </c>
      <c r="CH59" s="11">
        <v>-0.78939616680145264</v>
      </c>
      <c r="CI59" s="11">
        <v>0.1666666716337204</v>
      </c>
      <c r="CJ59" s="12">
        <v>0.473417729139328</v>
      </c>
      <c r="CK59" s="12">
        <v>0.19696970283985138</v>
      </c>
      <c r="CL59" s="12">
        <v>0.44736841320991516</v>
      </c>
      <c r="CM59" s="12">
        <v>-0.85583204030990601</v>
      </c>
      <c r="CN59" s="12">
        <v>0.21296297013759613</v>
      </c>
      <c r="CO59">
        <v>0.69307124614715576</v>
      </c>
      <c r="CP59">
        <v>1.5942435711622238E-2</v>
      </c>
      <c r="CQ59">
        <v>1.6160306930541992</v>
      </c>
      <c r="CR59" s="11">
        <v>56.818348295032237</v>
      </c>
      <c r="CS59" s="12">
        <v>5.7389216041308009</v>
      </c>
      <c r="CT59">
        <v>1.9651191353475803</v>
      </c>
      <c r="CU59">
        <v>9.9005270004272464E-2</v>
      </c>
      <c r="CV59">
        <v>0.33643506094813347</v>
      </c>
      <c r="CW59">
        <v>0.06</v>
      </c>
      <c r="CX59">
        <v>116.23809284055011</v>
      </c>
      <c r="CY59">
        <v>19580956.159717634</v>
      </c>
      <c r="CZ59">
        <v>9.9005270004272464E-2</v>
      </c>
      <c r="DA59">
        <v>37.697261237954336</v>
      </c>
      <c r="DB59">
        <v>60377144.791315123</v>
      </c>
      <c r="DC59">
        <v>9.4055006504058833E-2</v>
      </c>
      <c r="DD59">
        <v>18.368754336538949</v>
      </c>
      <c r="DE59">
        <v>123908946.58939923</v>
      </c>
      <c r="DF59">
        <v>8.7124637603759769E-2</v>
      </c>
      <c r="DG59">
        <v>10.903785022195668</v>
      </c>
      <c r="DH59">
        <v>208739717.02183071</v>
      </c>
      <c r="DI59">
        <v>7.9204216003417982E-2</v>
      </c>
      <c r="DJ59">
        <v>5.4904957239881975</v>
      </c>
      <c r="DK59">
        <v>414544171.31331742</v>
      </c>
      <c r="DL59">
        <v>6.930368900299072E-2</v>
      </c>
      <c r="DM59">
        <v>18886000</v>
      </c>
      <c r="DN59">
        <v>9.9005270004272464E-2</v>
      </c>
      <c r="DO59">
        <v>2276053000</v>
      </c>
      <c r="DP59">
        <v>1749161600</v>
      </c>
      <c r="DQ59" s="13">
        <v>2777</v>
      </c>
      <c r="DR59">
        <v>-0.6939061198626294</v>
      </c>
      <c r="DS59">
        <v>-1.0677818103282801</v>
      </c>
      <c r="DT59">
        <v>-0.27333333333333343</v>
      </c>
      <c r="DU59">
        <v>-0.15666666666666673</v>
      </c>
      <c r="DV59">
        <v>-0.43000000000000016</v>
      </c>
      <c r="DW59">
        <v>-9.2477031802120138</v>
      </c>
      <c r="DX59">
        <v>0.47967730626982757</v>
      </c>
      <c r="DY59">
        <v>-9.0395525765707241</v>
      </c>
      <c r="DZ59">
        <v>607</v>
      </c>
      <c r="EA59">
        <v>-9.0348542568097798</v>
      </c>
      <c r="EB59" s="14">
        <v>9</v>
      </c>
      <c r="EC59">
        <v>7.6701726007748411E-2</v>
      </c>
      <c r="ED59">
        <v>0.48035458387640217</v>
      </c>
      <c r="EE59">
        <v>2.0068000000000001</v>
      </c>
      <c r="EF59">
        <v>2.0449000000000002</v>
      </c>
      <c r="EG59">
        <v>32.159677306269828</v>
      </c>
      <c r="EH59" s="10" t="s">
        <v>744</v>
      </c>
      <c r="EI59" s="15">
        <v>0</v>
      </c>
      <c r="EJ59" s="15">
        <v>1</v>
      </c>
      <c r="EK59" s="15">
        <v>45470</v>
      </c>
      <c r="EL59" s="15">
        <v>1.6</v>
      </c>
      <c r="EM59" s="15">
        <v>-5.49</v>
      </c>
      <c r="EN59" s="15">
        <v>1.1299999999999999</v>
      </c>
      <c r="EO59" s="15">
        <v>3.1</v>
      </c>
      <c r="EP59" s="15">
        <v>3.81</v>
      </c>
    </row>
    <row r="60" spans="1:146" ht="96" x14ac:dyDescent="0.25">
      <c r="C60" s="7" t="str">
        <f>""&amp;CHAR(10)&amp;Basic_Fundamental_Information_Constructure(F60)&amp;CHAR(10)&amp;Basic_Fundamental_Information_Concatenate("")</f>
        <v xml:space="preserve">
市值25.32亿, 利润1984.33万; PE32.93; 平均PE60.14; 平均PEG17.37, PB2.5; ROIC12.2567%; ROE15.76%; 股利率1.7694%; 毛利16.9233%; 净利6.86%; 上一年度营收增-75.77%, 利润增-73.02%; 当季营收增-44.15%, 利润增-41.88%; 过往5年营收增3.46%, 利润增148.18%
Income profile:
</v>
      </c>
      <c r="D60" s="5" t="s">
        <v>986</v>
      </c>
      <c r="E60" t="s">
        <v>987</v>
      </c>
      <c r="F60">
        <v>31.65</v>
      </c>
      <c r="G60">
        <v>-3</v>
      </c>
      <c r="H60" t="s">
        <v>2570</v>
      </c>
      <c r="I60">
        <v>2532000000</v>
      </c>
      <c r="J60">
        <v>32.93</v>
      </c>
      <c r="K60">
        <v>2.5</v>
      </c>
      <c r="L60" t="s">
        <v>303</v>
      </c>
      <c r="M60" t="s">
        <v>237</v>
      </c>
      <c r="N60" t="s">
        <v>2571</v>
      </c>
      <c r="O60" t="s">
        <v>183</v>
      </c>
      <c r="P60" s="5">
        <v>22.73</v>
      </c>
      <c r="Q60" t="s">
        <v>183</v>
      </c>
      <c r="R60">
        <v>19843262</v>
      </c>
      <c r="S60">
        <v>1.008</v>
      </c>
      <c r="T60" t="s">
        <v>2572</v>
      </c>
      <c r="U60">
        <v>20000000</v>
      </c>
      <c r="V60">
        <v>80000000</v>
      </c>
      <c r="W60">
        <v>1.33</v>
      </c>
      <c r="X60">
        <v>0.17</v>
      </c>
      <c r="Y60">
        <v>8.6</v>
      </c>
      <c r="Z60" t="s">
        <v>84</v>
      </c>
      <c r="AA60" t="s">
        <v>93</v>
      </c>
      <c r="AB60" t="s">
        <v>2573</v>
      </c>
      <c r="AC60" t="s">
        <v>2574</v>
      </c>
      <c r="AD60" t="s">
        <v>5</v>
      </c>
      <c r="AE60">
        <v>-2004758</v>
      </c>
      <c r="AF60" t="s">
        <v>21</v>
      </c>
      <c r="AG60" t="s">
        <v>2575</v>
      </c>
      <c r="AH60" t="s">
        <v>2576</v>
      </c>
      <c r="AI60" t="s">
        <v>785</v>
      </c>
      <c r="AJ60" t="s">
        <v>2577</v>
      </c>
      <c r="AK60" t="s">
        <v>5</v>
      </c>
      <c r="AL60" t="s">
        <v>2578</v>
      </c>
      <c r="AM60" t="s">
        <v>5</v>
      </c>
      <c r="AN60" t="s">
        <v>2579</v>
      </c>
      <c r="AO60" t="s">
        <v>5</v>
      </c>
      <c r="AP60" t="s">
        <v>5</v>
      </c>
      <c r="AQ60" t="s">
        <v>250</v>
      </c>
      <c r="AR60" t="s">
        <v>5</v>
      </c>
      <c r="AS60" t="s">
        <v>129</v>
      </c>
      <c r="AT60" t="s">
        <v>5</v>
      </c>
      <c r="AU60" t="s">
        <v>2580</v>
      </c>
      <c r="AV60" t="s">
        <v>2581</v>
      </c>
      <c r="AW60" t="s">
        <v>2582</v>
      </c>
      <c r="AX60" t="s">
        <v>660</v>
      </c>
      <c r="AY60" t="s">
        <v>1186</v>
      </c>
      <c r="AZ60" t="s">
        <v>1187</v>
      </c>
      <c r="BA60" t="s">
        <v>1188</v>
      </c>
      <c r="BB60" t="s">
        <v>1091</v>
      </c>
      <c r="BC60" t="s">
        <v>2583</v>
      </c>
      <c r="BD60" t="s">
        <v>988</v>
      </c>
      <c r="BE60" t="s">
        <v>1189</v>
      </c>
      <c r="BF60" t="s">
        <v>1190</v>
      </c>
      <c r="BG60" t="s">
        <v>1191</v>
      </c>
      <c r="BH60" t="s">
        <v>454</v>
      </c>
      <c r="BI60" t="s">
        <v>1192</v>
      </c>
      <c r="BJ60" t="s">
        <v>660</v>
      </c>
      <c r="BK60" t="s">
        <v>2584</v>
      </c>
      <c r="BL60" t="s">
        <v>1193</v>
      </c>
      <c r="BM60" t="s">
        <v>2583</v>
      </c>
      <c r="BN60">
        <v>6.07</v>
      </c>
      <c r="BO60">
        <v>16.170000000000002</v>
      </c>
      <c r="BP60">
        <v>14.53</v>
      </c>
      <c r="BQ60">
        <v>9.4600000000000009</v>
      </c>
      <c r="BR60">
        <v>22.06</v>
      </c>
      <c r="BS60" t="s">
        <v>5</v>
      </c>
      <c r="BT60" t="s">
        <v>2585</v>
      </c>
      <c r="BU60" t="s">
        <v>1296</v>
      </c>
      <c r="BV60">
        <v>19.07</v>
      </c>
      <c r="BW60">
        <v>16.68</v>
      </c>
      <c r="BX60">
        <v>15.02</v>
      </c>
      <c r="BY60">
        <v>7.49</v>
      </c>
      <c r="BZ60">
        <v>7.76</v>
      </c>
      <c r="CA60">
        <v>5.33</v>
      </c>
      <c r="CB60">
        <v>-4.7300000000000004</v>
      </c>
      <c r="CC60" s="11">
        <v>5.85</v>
      </c>
      <c r="CD60" s="12" t="s">
        <v>2586</v>
      </c>
      <c r="CE60" s="11" t="s">
        <v>109</v>
      </c>
      <c r="CF60" s="11">
        <v>-0.44146341463414623</v>
      </c>
      <c r="CG60" s="11">
        <v>-0.41882753672001993</v>
      </c>
      <c r="CH60" s="11">
        <v>-0.75767195224761963</v>
      </c>
      <c r="CI60" s="11">
        <v>-0.1478809267282486</v>
      </c>
      <c r="CJ60" s="12">
        <v>0.42179480195045471</v>
      </c>
      <c r="CK60" s="12">
        <v>0.32653060555458069</v>
      </c>
      <c r="CL60" s="12">
        <v>0.33031675219535828</v>
      </c>
      <c r="CM60" s="12">
        <v>-0.7301974892616272</v>
      </c>
      <c r="CN60" s="12">
        <v>0.2404036819934845</v>
      </c>
      <c r="CO60">
        <v>-0.16818477213382721</v>
      </c>
      <c r="CP60">
        <v>1.072955846786499</v>
      </c>
      <c r="CQ60">
        <v>6.9941253662109375</v>
      </c>
      <c r="CR60" s="11">
        <v>60.138827585797387</v>
      </c>
      <c r="CS60" s="12">
        <v>17.372198709840777</v>
      </c>
      <c r="CT60">
        <v>1.7693522906793049</v>
      </c>
      <c r="CU60">
        <v>3.461785614490509E-2</v>
      </c>
      <c r="CV60">
        <v>1.4818205267190934</v>
      </c>
      <c r="CW60">
        <v>0.06</v>
      </c>
      <c r="CX60">
        <v>95.466040120974071</v>
      </c>
      <c r="CY60">
        <v>19368143.872490749</v>
      </c>
      <c r="CZ60">
        <v>3.461785614490509E-2</v>
      </c>
      <c r="DA60">
        <v>32.704740599555244</v>
      </c>
      <c r="DB60">
        <v>56536146.323238075</v>
      </c>
      <c r="DC60">
        <v>3.2886963337659836E-2</v>
      </c>
      <c r="DD60">
        <v>17.124667448789832</v>
      </c>
      <c r="DE60">
        <v>107972899.65071207</v>
      </c>
      <c r="DF60">
        <v>3.0463713407516479E-2</v>
      </c>
      <c r="DG60">
        <v>11.003701410403906</v>
      </c>
      <c r="DH60">
        <v>168034366.89510551</v>
      </c>
      <c r="DI60">
        <v>2.7694284915924072E-2</v>
      </c>
      <c r="DJ60">
        <v>6.5515801490389265</v>
      </c>
      <c r="DK60">
        <v>282221991.93750781</v>
      </c>
      <c r="DL60">
        <v>2.4232499301433563E-2</v>
      </c>
      <c r="DM60">
        <v>19843300</v>
      </c>
      <c r="DN60">
        <v>3.461785614490509E-2</v>
      </c>
      <c r="DO60">
        <v>1849000000</v>
      </c>
      <c r="DP60">
        <v>791412350</v>
      </c>
      <c r="DQ60" s="13">
        <v>2807</v>
      </c>
      <c r="DR60">
        <v>-0.47608127077905132</v>
      </c>
      <c r="DS60">
        <v>-1.9006480634391134</v>
      </c>
      <c r="DT60">
        <v>-0.42333333333333339</v>
      </c>
      <c r="DU60">
        <v>0.18833333333333321</v>
      </c>
      <c r="DV60">
        <v>-0.23500000000000018</v>
      </c>
      <c r="DW60">
        <v>-6.4470699432892253</v>
      </c>
      <c r="DX60">
        <v>0.40505754716981046</v>
      </c>
      <c r="DY60">
        <v>-6.1184992625815884</v>
      </c>
      <c r="DZ60">
        <v>2577</v>
      </c>
      <c r="EA60">
        <v>-6.0587394583403453</v>
      </c>
      <c r="EB60" s="14">
        <v>6</v>
      </c>
      <c r="EC60" s="14">
        <v>0.35120125000000002</v>
      </c>
      <c r="ED60">
        <v>1.325</v>
      </c>
      <c r="EE60">
        <v>6.0373000000000001</v>
      </c>
      <c r="EF60">
        <v>6.0319000000000003</v>
      </c>
      <c r="EG60">
        <v>14.26505754716981</v>
      </c>
      <c r="EH60" s="10" t="s">
        <v>1967</v>
      </c>
      <c r="EI60">
        <v>0</v>
      </c>
      <c r="EJ60">
        <v>0</v>
      </c>
      <c r="EK60">
        <v>45470</v>
      </c>
      <c r="EL60">
        <v>0.56999999999999995</v>
      </c>
      <c r="EM60">
        <v>-6.9</v>
      </c>
      <c r="EN60" s="15">
        <v>1.69</v>
      </c>
      <c r="EO60" s="15">
        <v>5.13</v>
      </c>
      <c r="EP60" s="15">
        <v>-0.54</v>
      </c>
    </row>
    <row r="61" spans="1:146" ht="108" x14ac:dyDescent="0.25">
      <c r="C61" s="7" t="str">
        <f>""&amp;CHAR(10)&amp;Basic_Fundamental_Information_Constructure(F61)&amp;CHAR(10)&amp;Basic_Fundamental_Information_Concatenate("")</f>
        <v xml:space="preserve">
市值163.70692亿, 利润1.23亿; PE25.39; 平均PE84.53; 平均PEG10.41, PB4.35; ROIC18.3633%; ROE23.88%; 股利率5.4778%; 毛利48.1033%; 净利15.8067%; 上一年度营收增-68.68%, 利润增-60.06%; 当季营收增-48.8%, 利润增-48.07%; 过往5年营收增8.12%, 利润增12.57%
Income profile:
</v>
      </c>
      <c r="D61" s="5" t="s">
        <v>1194</v>
      </c>
      <c r="E61" t="s">
        <v>1257</v>
      </c>
      <c r="F61">
        <v>177.08</v>
      </c>
      <c r="G61">
        <v>-1.89</v>
      </c>
      <c r="H61" t="s">
        <v>2587</v>
      </c>
      <c r="I61">
        <v>16370692000</v>
      </c>
      <c r="J61">
        <v>25.39</v>
      </c>
      <c r="K61">
        <v>4.3499999999999996</v>
      </c>
      <c r="L61" t="s">
        <v>303</v>
      </c>
      <c r="M61" t="s">
        <v>2588</v>
      </c>
      <c r="N61" t="s">
        <v>2589</v>
      </c>
      <c r="O61" t="s">
        <v>2590</v>
      </c>
      <c r="P61" s="5">
        <v>22.66</v>
      </c>
      <c r="Q61" t="s">
        <v>2590</v>
      </c>
      <c r="R61">
        <v>122555872</v>
      </c>
      <c r="S61">
        <v>0.44540000000000002</v>
      </c>
      <c r="T61" t="s">
        <v>136</v>
      </c>
      <c r="U61">
        <v>13863762</v>
      </c>
      <c r="V61">
        <v>92448000</v>
      </c>
      <c r="W61">
        <v>1.49</v>
      </c>
      <c r="X61">
        <v>0.14000000000000001</v>
      </c>
      <c r="Y61">
        <v>17.989999999999998</v>
      </c>
      <c r="Z61" t="s">
        <v>138</v>
      </c>
      <c r="AA61" t="s">
        <v>745</v>
      </c>
      <c r="AB61" t="s">
        <v>20</v>
      </c>
      <c r="AC61" t="s">
        <v>2591</v>
      </c>
      <c r="AD61" t="s">
        <v>5</v>
      </c>
      <c r="AE61">
        <v>249462</v>
      </c>
      <c r="AF61" t="s">
        <v>21</v>
      </c>
      <c r="AG61" t="s">
        <v>2592</v>
      </c>
      <c r="AH61" t="s">
        <v>2593</v>
      </c>
      <c r="AI61" t="s">
        <v>2594</v>
      </c>
      <c r="AJ61" t="s">
        <v>2595</v>
      </c>
      <c r="AK61" t="s">
        <v>165</v>
      </c>
      <c r="AL61" t="s">
        <v>2596</v>
      </c>
      <c r="AM61" t="s">
        <v>5</v>
      </c>
      <c r="AN61" t="s">
        <v>2597</v>
      </c>
      <c r="AO61" t="s">
        <v>2598</v>
      </c>
      <c r="AP61" t="s">
        <v>23</v>
      </c>
      <c r="AQ61" t="s">
        <v>169</v>
      </c>
      <c r="AR61" t="s">
        <v>5</v>
      </c>
      <c r="AS61" t="s">
        <v>2599</v>
      </c>
      <c r="AT61" t="s">
        <v>2279</v>
      </c>
      <c r="AU61" t="s">
        <v>2600</v>
      </c>
      <c r="AV61" t="s">
        <v>2601</v>
      </c>
      <c r="AW61" t="s">
        <v>2222</v>
      </c>
      <c r="AX61" t="s">
        <v>931</v>
      </c>
      <c r="AY61" t="s">
        <v>2602</v>
      </c>
      <c r="AZ61" t="s">
        <v>2603</v>
      </c>
      <c r="BA61" t="s">
        <v>1255</v>
      </c>
      <c r="BB61" t="s">
        <v>273</v>
      </c>
      <c r="BC61" t="s">
        <v>207</v>
      </c>
      <c r="BD61" t="s">
        <v>795</v>
      </c>
      <c r="BE61" t="s">
        <v>979</v>
      </c>
      <c r="BF61" t="s">
        <v>158</v>
      </c>
      <c r="BG61" t="s">
        <v>1212</v>
      </c>
      <c r="BH61" t="s">
        <v>2604</v>
      </c>
      <c r="BI61" t="s">
        <v>1009</v>
      </c>
      <c r="BJ61" t="s">
        <v>931</v>
      </c>
      <c r="BK61" t="s">
        <v>1163</v>
      </c>
      <c r="BL61" t="s">
        <v>43</v>
      </c>
      <c r="BM61" t="s">
        <v>207</v>
      </c>
      <c r="BN61">
        <v>18.05</v>
      </c>
      <c r="BO61">
        <v>18.62</v>
      </c>
      <c r="BP61">
        <v>18.420000000000002</v>
      </c>
      <c r="BQ61">
        <v>23.88</v>
      </c>
      <c r="BR61" t="s">
        <v>5</v>
      </c>
      <c r="BS61" t="s">
        <v>5</v>
      </c>
      <c r="BT61" t="s">
        <v>2605</v>
      </c>
      <c r="BU61" t="s">
        <v>1296</v>
      </c>
      <c r="BV61">
        <v>52.35</v>
      </c>
      <c r="BW61">
        <v>46.59</v>
      </c>
      <c r="BX61">
        <v>45.37</v>
      </c>
      <c r="BY61">
        <v>19.88</v>
      </c>
      <c r="BZ61">
        <v>14.18</v>
      </c>
      <c r="CA61">
        <v>13.36</v>
      </c>
      <c r="CB61">
        <v>-8.9600000000000009</v>
      </c>
      <c r="CC61" s="11">
        <v>-30.05</v>
      </c>
      <c r="CD61" s="12" t="s">
        <v>2606</v>
      </c>
      <c r="CE61" s="11" t="s">
        <v>2607</v>
      </c>
      <c r="CF61" s="11">
        <v>-0.48796992481203005</v>
      </c>
      <c r="CG61" s="11">
        <v>-0.48069545762711863</v>
      </c>
      <c r="CH61" s="11">
        <v>-0.6867525577545166</v>
      </c>
      <c r="CI61" s="11">
        <v>0.37247481942176819</v>
      </c>
      <c r="CJ61" s="12">
        <v>0.60812181234359741</v>
      </c>
      <c r="CK61" s="12">
        <v>-0.18796367943286896</v>
      </c>
      <c r="CL61" s="12">
        <v>0.30010712146759033</v>
      </c>
      <c r="CM61" s="12">
        <v>-0.60064935684204102</v>
      </c>
      <c r="CN61" s="12">
        <v>0.45283019542694092</v>
      </c>
      <c r="CO61">
        <v>0.90990990400314331</v>
      </c>
      <c r="CP61">
        <v>-0.53361344337463379</v>
      </c>
      <c r="CQ61">
        <v>0.40000000596046448</v>
      </c>
      <c r="CR61" s="11">
        <v>84.5302512908778</v>
      </c>
      <c r="CS61" s="12">
        <v>10.410449576655164</v>
      </c>
      <c r="CT61">
        <v>5.4777501694149535</v>
      </c>
      <c r="CU61">
        <v>8.1197503209114077E-2</v>
      </c>
      <c r="CV61">
        <v>0.12569546103477477</v>
      </c>
      <c r="CW61">
        <v>0.06</v>
      </c>
      <c r="CX61">
        <v>116.61665699351653</v>
      </c>
      <c r="CY61">
        <v>125459710.27803871</v>
      </c>
      <c r="CZ61">
        <v>8.1197503209114077E-2</v>
      </c>
      <c r="DA61">
        <v>38.394640066887064</v>
      </c>
      <c r="DB61">
        <v>381060793.23863858</v>
      </c>
      <c r="DC61">
        <v>7.7137628048658369E-2</v>
      </c>
      <c r="DD61">
        <v>19.089686785466604</v>
      </c>
      <c r="DE61">
        <v>766418651.30750418</v>
      </c>
      <c r="DF61">
        <v>7.145380282402039E-2</v>
      </c>
      <c r="DG61">
        <v>11.592426682959118</v>
      </c>
      <c r="DH61">
        <v>1262090535.4965181</v>
      </c>
      <c r="DI61">
        <v>6.495800256729127E-2</v>
      </c>
      <c r="DJ61">
        <v>6.1360291544394912</v>
      </c>
      <c r="DK61">
        <v>2384390887.29142</v>
      </c>
      <c r="DL61">
        <v>5.6838252246379853E-2</v>
      </c>
      <c r="DM61">
        <v>123000000</v>
      </c>
      <c r="DN61">
        <v>8.1197503209114077E-2</v>
      </c>
      <c r="DO61">
        <v>14630692000</v>
      </c>
      <c r="DP61">
        <v>3101479500</v>
      </c>
      <c r="DQ61" s="13">
        <v>2843</v>
      </c>
      <c r="DR61">
        <v>-0.56916742802114417</v>
      </c>
      <c r="DS61">
        <v>-0.60639091866189343</v>
      </c>
      <c r="DT61">
        <v>-0.37333333333333335</v>
      </c>
      <c r="DU61">
        <v>-0.15333333333333335</v>
      </c>
      <c r="DV61">
        <v>-0.52666666666666673</v>
      </c>
      <c r="DW61">
        <v>-9.2981697171381033</v>
      </c>
      <c r="DX61">
        <v>0.37200194222384725</v>
      </c>
      <c r="DY61">
        <v>-9.0512857704600886</v>
      </c>
      <c r="DZ61">
        <v>259</v>
      </c>
      <c r="EA61">
        <v>-9.0486863546970433</v>
      </c>
      <c r="EB61" s="14">
        <v>9</v>
      </c>
      <c r="EC61" s="14">
        <v>3.7167921426098996E-2</v>
      </c>
      <c r="ED61">
        <v>0.21609012634129457</v>
      </c>
      <c r="EE61">
        <v>33.066809999999997</v>
      </c>
      <c r="EF61">
        <v>33.08381</v>
      </c>
      <c r="EG61">
        <v>20.172001942223847</v>
      </c>
      <c r="EH61" s="10" t="s">
        <v>2608</v>
      </c>
      <c r="EI61">
        <v>0</v>
      </c>
      <c r="EJ61">
        <v>1</v>
      </c>
      <c r="EK61">
        <v>45470</v>
      </c>
      <c r="EL61">
        <v>-0.9</v>
      </c>
      <c r="EM61">
        <v>-6.17</v>
      </c>
      <c r="EN61" s="15">
        <v>0.97</v>
      </c>
      <c r="EO61" s="15">
        <v>2.88</v>
      </c>
      <c r="EP61" s="15">
        <v>-1.7</v>
      </c>
    </row>
    <row r="62" spans="1:146" ht="108" x14ac:dyDescent="0.25">
      <c r="A62" s="7"/>
      <c r="B62" s="7"/>
      <c r="C62" s="7" t="str">
        <f>""&amp;CHAR(10)&amp;Basic_Fundamental_Information_Constructure(F62)&amp;CHAR(10)&amp;Basic_Fundamental_Information_Concatenate("")</f>
        <v xml:space="preserve">
市值159.47417亿, 利润-1.59亿; PE; 平均PE-34.26; 平均PEG-1.25, PB1.1; ROIC0%; ROE-7.1633%; 股利率0%; 毛利19.31%; 净利-3.9867%; 上一年度营收增-87.65%, 利润增79.4%; 当季营收增-72.03%, 利润增-257.5%; 过往5年营收增-27.47%, 利润增79.4%
Income profile:
</v>
      </c>
      <c r="D62" t="s">
        <v>552</v>
      </c>
      <c r="E62" t="s">
        <v>553</v>
      </c>
      <c r="F62">
        <v>4.76</v>
      </c>
      <c r="G62">
        <v>0.85</v>
      </c>
      <c r="H62" t="s">
        <v>2609</v>
      </c>
      <c r="I62">
        <v>15947417000</v>
      </c>
      <c r="K62">
        <v>1.1000000000000001</v>
      </c>
      <c r="L62" t="s">
        <v>303</v>
      </c>
      <c r="M62" t="s">
        <v>2610</v>
      </c>
      <c r="N62" t="s">
        <v>2611</v>
      </c>
      <c r="O62" t="s">
        <v>2612</v>
      </c>
      <c r="P62">
        <v>-32.68</v>
      </c>
      <c r="Q62" t="s">
        <v>2612</v>
      </c>
      <c r="R62">
        <v>-159070390</v>
      </c>
      <c r="S62" s="5">
        <v>-1.5760000000000001</v>
      </c>
      <c r="T62" t="s">
        <v>2613</v>
      </c>
      <c r="U62">
        <v>2963899000</v>
      </c>
      <c r="V62">
        <v>3350297700</v>
      </c>
      <c r="W62">
        <v>2.59</v>
      </c>
      <c r="X62" t="s">
        <v>5</v>
      </c>
      <c r="Y62">
        <v>-7.66</v>
      </c>
      <c r="Z62" t="s">
        <v>5</v>
      </c>
      <c r="AA62" t="s">
        <v>5</v>
      </c>
      <c r="AB62" t="s">
        <v>5</v>
      </c>
      <c r="AC62" t="s">
        <v>5</v>
      </c>
      <c r="AD62" t="s">
        <v>5</v>
      </c>
      <c r="AE62">
        <v>181250840</v>
      </c>
      <c r="AF62" t="s">
        <v>2614</v>
      </c>
      <c r="AG62" t="s">
        <v>2615</v>
      </c>
      <c r="AH62" t="s">
        <v>2616</v>
      </c>
      <c r="AI62" t="s">
        <v>2617</v>
      </c>
      <c r="AJ62" t="s">
        <v>2618</v>
      </c>
      <c r="AK62" t="s">
        <v>5</v>
      </c>
      <c r="AL62" t="s">
        <v>2619</v>
      </c>
      <c r="AM62" t="s">
        <v>5</v>
      </c>
      <c r="AN62" t="s">
        <v>2620</v>
      </c>
      <c r="AO62" t="s">
        <v>5</v>
      </c>
      <c r="AP62" t="s">
        <v>2621</v>
      </c>
      <c r="AQ62" t="s">
        <v>2622</v>
      </c>
      <c r="AR62" t="s">
        <v>2623</v>
      </c>
      <c r="AS62" t="s">
        <v>5</v>
      </c>
      <c r="AT62" t="s">
        <v>5</v>
      </c>
      <c r="AU62" t="s">
        <v>2624</v>
      </c>
      <c r="AV62" t="s">
        <v>1418</v>
      </c>
      <c r="AW62" t="s">
        <v>2625</v>
      </c>
      <c r="AX62" t="s">
        <v>989</v>
      </c>
      <c r="AY62" t="s">
        <v>5</v>
      </c>
      <c r="AZ62" t="s">
        <v>554</v>
      </c>
      <c r="BA62" t="s">
        <v>555</v>
      </c>
      <c r="BB62" t="s">
        <v>556</v>
      </c>
      <c r="BC62" t="s">
        <v>990</v>
      </c>
      <c r="BD62" t="s">
        <v>5</v>
      </c>
      <c r="BE62" t="s">
        <v>5</v>
      </c>
      <c r="BF62" t="s">
        <v>5</v>
      </c>
      <c r="BG62" t="s">
        <v>5</v>
      </c>
      <c r="BH62" t="s">
        <v>2626</v>
      </c>
      <c r="BI62" t="s">
        <v>1195</v>
      </c>
      <c r="BJ62" t="s">
        <v>989</v>
      </c>
      <c r="BK62" t="s">
        <v>2627</v>
      </c>
      <c r="BL62" t="s">
        <v>25</v>
      </c>
      <c r="BM62" t="s">
        <v>990</v>
      </c>
      <c r="BN62" t="s">
        <v>5</v>
      </c>
      <c r="BO62" t="s">
        <v>5</v>
      </c>
      <c r="BP62" t="s">
        <v>5</v>
      </c>
      <c r="BQ62">
        <v>-4.2300000000000004</v>
      </c>
      <c r="BR62">
        <v>-5.01</v>
      </c>
      <c r="BS62">
        <v>-12.25</v>
      </c>
      <c r="BT62" t="s">
        <v>873</v>
      </c>
      <c r="BU62" t="s">
        <v>1296</v>
      </c>
      <c r="BV62">
        <v>17.760000000000002</v>
      </c>
      <c r="BW62">
        <v>20.61</v>
      </c>
      <c r="BX62">
        <v>19.559999999999999</v>
      </c>
      <c r="BY62">
        <v>-2.6</v>
      </c>
      <c r="BZ62">
        <v>-2.79</v>
      </c>
      <c r="CA62">
        <v>-6.57</v>
      </c>
      <c r="CB62">
        <v>-6.48</v>
      </c>
      <c r="CC62">
        <v>-16.64</v>
      </c>
      <c r="CD62" t="s">
        <v>663</v>
      </c>
      <c r="CE62" t="s">
        <v>2628</v>
      </c>
      <c r="CF62" s="11">
        <v>-0.72028971695415989</v>
      </c>
      <c r="CG62" s="12">
        <v>-2.5749543564356436</v>
      </c>
      <c r="CH62" s="11">
        <v>-0.87647831439971924</v>
      </c>
      <c r="CI62" s="11" t="s">
        <v>5</v>
      </c>
      <c r="CJ62" s="11" t="s">
        <v>5</v>
      </c>
      <c r="CK62" s="11">
        <v>0.12443573027849197</v>
      </c>
      <c r="CL62" s="11">
        <v>-7.2202287614345551E-2</v>
      </c>
      <c r="CM62" s="12">
        <v>0.79404145479202271</v>
      </c>
      <c r="CN62" s="12" t="s">
        <v>5</v>
      </c>
      <c r="CO62" s="12" t="s">
        <v>5</v>
      </c>
      <c r="CP62" s="12" t="s">
        <v>5</v>
      </c>
      <c r="CQ62" s="12" t="s">
        <v>5</v>
      </c>
      <c r="CR62">
        <v>-34.258683136412458</v>
      </c>
      <c r="CS62">
        <v>-1.2469116027719624</v>
      </c>
      <c r="CT62">
        <v>0</v>
      </c>
      <c r="CU62" s="11">
        <v>-0.27474829057852429</v>
      </c>
      <c r="CV62" s="12">
        <v>0.79404145479202271</v>
      </c>
      <c r="CW62">
        <v>0.06</v>
      </c>
      <c r="CX62" t="e">
        <v>#VALUE!</v>
      </c>
      <c r="CY62" t="s">
        <v>740</v>
      </c>
      <c r="CZ62">
        <v>-0.27474829057852429</v>
      </c>
      <c r="DA62" t="e">
        <v>#VALUE!</v>
      </c>
      <c r="DB62" t="s">
        <v>741</v>
      </c>
      <c r="DC62">
        <v>-0.26101087604959805</v>
      </c>
      <c r="DD62" t="e">
        <v>#VALUE!</v>
      </c>
      <c r="DE62" t="s">
        <v>741</v>
      </c>
      <c r="DF62">
        <v>-0.24177849570910137</v>
      </c>
      <c r="DG62" t="e">
        <v>#VALUE!</v>
      </c>
      <c r="DH62" t="s">
        <v>741</v>
      </c>
      <c r="DI62">
        <v>-0.21979863246281944</v>
      </c>
      <c r="DJ62" t="e">
        <v>#VALUE!</v>
      </c>
      <c r="DK62" t="s">
        <v>741</v>
      </c>
      <c r="DL62">
        <v>-0.19232380340496699</v>
      </c>
      <c r="DM62">
        <v>-159000000</v>
      </c>
      <c r="DN62">
        <v>-0.27474829057852429</v>
      </c>
      <c r="DO62">
        <v>32459417000</v>
      </c>
      <c r="DP62">
        <v>25981402000</v>
      </c>
      <c r="DQ62">
        <v>2918</v>
      </c>
      <c r="DR62">
        <v>-0.4455414263756356</v>
      </c>
      <c r="DS62">
        <v>-3.3689958112276663</v>
      </c>
      <c r="DT62" s="13">
        <v>-1.1599999999999999</v>
      </c>
      <c r="DU62">
        <v>-2.9449999999999998</v>
      </c>
      <c r="DV62">
        <v>-4.1049999999999995</v>
      </c>
      <c r="DW62">
        <v>-9.3894230769230766</v>
      </c>
      <c r="DX62">
        <v>0.35681992337164731</v>
      </c>
      <c r="DY62">
        <v>-9.107800066312997</v>
      </c>
      <c r="DZ62">
        <v>1506</v>
      </c>
      <c r="EA62">
        <v>-9.0760296358105759</v>
      </c>
      <c r="EB62">
        <v>9</v>
      </c>
      <c r="EC62">
        <v>8.6260991075509497E-2</v>
      </c>
      <c r="ED62">
        <v>0.31161409924855332</v>
      </c>
      <c r="EE62" s="14">
        <v>-3.0369999999999999</v>
      </c>
      <c r="EF62">
        <v>-3.0255000000000001</v>
      </c>
      <c r="EG62">
        <v>8.2768199233716473</v>
      </c>
      <c r="EH62" t="s">
        <v>1114</v>
      </c>
      <c r="EI62">
        <v>0</v>
      </c>
      <c r="EJ62">
        <v>0</v>
      </c>
      <c r="EK62" s="10">
        <v>45470</v>
      </c>
      <c r="EL62" s="15">
        <v>0.28999999999999998</v>
      </c>
      <c r="EM62" s="15">
        <v>-5.59</v>
      </c>
      <c r="EN62" s="15">
        <v>1.67</v>
      </c>
      <c r="EO62" s="15">
        <v>3.43</v>
      </c>
      <c r="EP62" s="15">
        <v>-1.1499999999999999</v>
      </c>
    </row>
    <row r="63" spans="1:146" ht="108" x14ac:dyDescent="0.25">
      <c r="C63" s="7" t="str">
        <f>""&amp;CHAR(10)&amp;Basic_Fundamental_Information_Constructure(F63)&amp;CHAR(10)&amp;Basic_Fundamental_Information_Concatenate("")</f>
        <v xml:space="preserve">
市值580.74814亿, 利润1.43亿; PE31.43; 平均PE73.98; 平均PEG8.65, PB3.09; ROIC5.8067%; ROE8.0267%; 股利率.4284%; 毛利25.42%; 净利12.2667%; 上一年度营收增-80.94%, 利润增-90.74%; 当季营收增-54.1%, 利润增-73.84%; 过往5年营收增-8.55%, 利润增11.96%
Income profile:
</v>
      </c>
      <c r="D63" t="s">
        <v>557</v>
      </c>
      <c r="E63" t="s">
        <v>558</v>
      </c>
      <c r="F63">
        <v>39.68</v>
      </c>
      <c r="G63">
        <v>1.22</v>
      </c>
      <c r="H63" t="s">
        <v>2629</v>
      </c>
      <c r="I63">
        <v>58074814000</v>
      </c>
      <c r="J63">
        <v>31.43</v>
      </c>
      <c r="K63">
        <v>3.09</v>
      </c>
      <c r="L63" t="s">
        <v>303</v>
      </c>
      <c r="M63" t="s">
        <v>2630</v>
      </c>
      <c r="N63" t="s">
        <v>2631</v>
      </c>
      <c r="O63" t="s">
        <v>2632</v>
      </c>
      <c r="P63">
        <v>7.86</v>
      </c>
      <c r="Q63" t="s">
        <v>2632</v>
      </c>
      <c r="R63">
        <v>142577610</v>
      </c>
      <c r="S63" s="5">
        <v>8.8599999999999998E-2</v>
      </c>
      <c r="T63" t="s">
        <v>110</v>
      </c>
      <c r="U63">
        <v>1458611700</v>
      </c>
      <c r="V63">
        <v>1463579000</v>
      </c>
      <c r="W63">
        <v>1.63</v>
      </c>
      <c r="X63">
        <v>0.08</v>
      </c>
      <c r="Y63">
        <v>5.3</v>
      </c>
      <c r="Z63" t="s">
        <v>2633</v>
      </c>
      <c r="AA63" t="s">
        <v>2634</v>
      </c>
      <c r="AB63" t="s">
        <v>42</v>
      </c>
      <c r="AC63" t="s">
        <v>2635</v>
      </c>
      <c r="AD63" t="s">
        <v>5</v>
      </c>
      <c r="AE63">
        <v>-18698941</v>
      </c>
      <c r="AF63" t="s">
        <v>2636</v>
      </c>
      <c r="AG63" t="s">
        <v>2637</v>
      </c>
      <c r="AH63" t="s">
        <v>2638</v>
      </c>
      <c r="AI63" t="s">
        <v>2639</v>
      </c>
      <c r="AJ63" t="s">
        <v>2640</v>
      </c>
      <c r="AK63" t="s">
        <v>99</v>
      </c>
      <c r="AL63" t="s">
        <v>2641</v>
      </c>
      <c r="AM63" t="s">
        <v>5</v>
      </c>
      <c r="AN63" t="s">
        <v>2642</v>
      </c>
      <c r="AO63" t="s">
        <v>72</v>
      </c>
      <c r="AP63" t="s">
        <v>2643</v>
      </c>
      <c r="AQ63" t="s">
        <v>347</v>
      </c>
      <c r="AR63" t="s">
        <v>773</v>
      </c>
      <c r="AS63" t="s">
        <v>2644</v>
      </c>
      <c r="AT63" t="s">
        <v>2645</v>
      </c>
      <c r="AU63" t="s">
        <v>2646</v>
      </c>
      <c r="AV63" t="s">
        <v>2647</v>
      </c>
      <c r="AW63" t="s">
        <v>2648</v>
      </c>
      <c r="AX63" t="s">
        <v>1196</v>
      </c>
      <c r="AY63" t="s">
        <v>1200</v>
      </c>
      <c r="AZ63" t="s">
        <v>559</v>
      </c>
      <c r="BA63" t="s">
        <v>560</v>
      </c>
      <c r="BB63" t="s">
        <v>561</v>
      </c>
      <c r="BC63" t="s">
        <v>1197</v>
      </c>
      <c r="BD63" t="s">
        <v>1201</v>
      </c>
      <c r="BE63" t="s">
        <v>271</v>
      </c>
      <c r="BF63" t="s">
        <v>244</v>
      </c>
      <c r="BG63" t="s">
        <v>212</v>
      </c>
      <c r="BH63" t="s">
        <v>2649</v>
      </c>
      <c r="BI63" t="s">
        <v>1202</v>
      </c>
      <c r="BJ63" t="s">
        <v>1196</v>
      </c>
      <c r="BK63" t="s">
        <v>2650</v>
      </c>
      <c r="BL63" t="s">
        <v>1151</v>
      </c>
      <c r="BM63" t="s">
        <v>1197</v>
      </c>
      <c r="BN63">
        <v>2.99</v>
      </c>
      <c r="BO63">
        <v>7.41</v>
      </c>
      <c r="BP63">
        <v>7.02</v>
      </c>
      <c r="BQ63">
        <v>4.32</v>
      </c>
      <c r="BR63">
        <v>10.210000000000001</v>
      </c>
      <c r="BS63">
        <v>9.5500000000000007</v>
      </c>
      <c r="BT63" t="s">
        <v>2651</v>
      </c>
      <c r="BU63" t="s">
        <v>1296</v>
      </c>
      <c r="BV63">
        <v>26.26</v>
      </c>
      <c r="BW63">
        <v>26.26</v>
      </c>
      <c r="BX63">
        <v>23.74</v>
      </c>
      <c r="BY63">
        <v>13.08</v>
      </c>
      <c r="BZ63">
        <v>12.43</v>
      </c>
      <c r="CA63">
        <v>11.29</v>
      </c>
      <c r="CB63">
        <v>-4.3899999999999997</v>
      </c>
      <c r="CC63">
        <v>-6.59</v>
      </c>
      <c r="CD63" t="s">
        <v>55</v>
      </c>
      <c r="CE63" t="s">
        <v>1245</v>
      </c>
      <c r="CF63" s="11">
        <v>-0.54101092390298089</v>
      </c>
      <c r="CG63" s="12">
        <v>-0.7383897064220184</v>
      </c>
      <c r="CH63" s="11">
        <v>-0.80942493677139282</v>
      </c>
      <c r="CI63" s="11">
        <v>0.15431714057922363</v>
      </c>
      <c r="CJ63" s="11">
        <v>0.10904435813426971</v>
      </c>
      <c r="CK63" s="11">
        <v>6.6659756004810333E-2</v>
      </c>
      <c r="CL63" s="11">
        <v>5.1783055067062378E-2</v>
      </c>
      <c r="CM63" s="12">
        <v>-0.90738338232040405</v>
      </c>
      <c r="CN63" s="12">
        <v>0.31292515993118286</v>
      </c>
      <c r="CO63" s="12">
        <v>0.43065693974494934</v>
      </c>
      <c r="CP63" s="12">
        <v>0.38383838534355164</v>
      </c>
      <c r="CQ63" s="12">
        <v>0.37819024920463562</v>
      </c>
      <c r="CR63">
        <v>73.980654777070058</v>
      </c>
      <c r="CS63">
        <v>8.6502673290696404</v>
      </c>
      <c r="CT63">
        <v>0.42842741935483869</v>
      </c>
      <c r="CU63" s="11">
        <v>-8.5524125397205358E-2</v>
      </c>
      <c r="CV63" s="12">
        <v>0.11964547038078308</v>
      </c>
      <c r="CW63">
        <v>0.06</v>
      </c>
      <c r="CX63">
        <v>353.79590209790211</v>
      </c>
      <c r="CY63" t="s">
        <v>2652</v>
      </c>
      <c r="CZ63">
        <v>-8.5524125397205358E-2</v>
      </c>
      <c r="DA63">
        <v>117.93196736596737</v>
      </c>
      <c r="DB63" t="s">
        <v>2653</v>
      </c>
      <c r="DC63">
        <v>-8.1247919127345081E-2</v>
      </c>
      <c r="DD63">
        <v>58.965983682983683</v>
      </c>
      <c r="DE63" t="s">
        <v>2654</v>
      </c>
      <c r="DF63">
        <v>-7.5261230349540714E-2</v>
      </c>
      <c r="DG63">
        <v>35.379590209790209</v>
      </c>
      <c r="DH63" t="s">
        <v>2655</v>
      </c>
      <c r="DI63">
        <v>-6.8419300317764289E-2</v>
      </c>
      <c r="DJ63">
        <v>17.689795104895104</v>
      </c>
      <c r="DK63" t="s">
        <v>2656</v>
      </c>
      <c r="DL63">
        <v>-5.9866887778043748E-2</v>
      </c>
      <c r="DM63">
        <v>143000000</v>
      </c>
      <c r="DN63">
        <v>-8.5524125397205358E-2</v>
      </c>
      <c r="DO63">
        <v>50592814000</v>
      </c>
      <c r="DP63">
        <v>8620335000</v>
      </c>
      <c r="DQ63">
        <v>3862</v>
      </c>
      <c r="DR63">
        <v>-0.45548679850577556</v>
      </c>
      <c r="DS63">
        <v>-0.8580351768028015</v>
      </c>
      <c r="DT63" s="13">
        <v>-0.62333333333333341</v>
      </c>
      <c r="DU63">
        <v>-0.27333333333333343</v>
      </c>
      <c r="DV63">
        <v>-0.89666666666666683</v>
      </c>
      <c r="DW63">
        <v>-8.6661608497723819</v>
      </c>
      <c r="DX63">
        <v>0.39713472485768664</v>
      </c>
      <c r="DY63">
        <v>-8.0846921763467741</v>
      </c>
      <c r="DZ63">
        <v>2555</v>
      </c>
      <c r="EA63">
        <v>-8.042346088173387</v>
      </c>
      <c r="EB63">
        <v>8</v>
      </c>
      <c r="EC63">
        <v>9.1556383358875754E-2</v>
      </c>
      <c r="ED63">
        <v>0.72015244821085833</v>
      </c>
      <c r="EE63" s="14">
        <v>1.01461</v>
      </c>
      <c r="EF63">
        <v>1.0301100000000001</v>
      </c>
      <c r="EG63">
        <v>27.127134724857687</v>
      </c>
      <c r="EH63" t="s">
        <v>714</v>
      </c>
      <c r="EI63">
        <v>0</v>
      </c>
      <c r="EJ63">
        <v>0</v>
      </c>
      <c r="EK63" s="10">
        <v>45470</v>
      </c>
      <c r="EL63" s="15">
        <v>2.52</v>
      </c>
      <c r="EM63" s="15">
        <v>-4.8099999999999996</v>
      </c>
      <c r="EN63" s="15">
        <v>-0.79</v>
      </c>
      <c r="EO63" s="15">
        <v>2.15</v>
      </c>
      <c r="EP63" s="15">
        <v>-1.55</v>
      </c>
    </row>
    <row r="64" spans="1:146" ht="96" x14ac:dyDescent="0.25">
      <c r="A64" s="7"/>
      <c r="B64" s="7"/>
      <c r="C64" s="7" t="str">
        <f>""&amp;CHAR(10)&amp;Basic_Fundamental_Information_Constructure(F64)&amp;CHAR(10)&amp;Basic_Fundamental_Information_Concatenate("")</f>
        <v xml:space="preserve">
市值22.070048亿, 利润-2118.92万; PE; 平均PE-161.06; 平均PEG-6.21, PB1.77; ROIC-.01%; ROE-4.34%; 股利率0%; 毛利8.6733%; 净利-24.0233%; 上一年度营收增-84.13%, 利润增86.06%; 当季营收增-56.61%, 利润增51.28%; 过往5年营收增-25.94%, 利润增-165.04%
Income profile:
</v>
      </c>
      <c r="D64" t="s">
        <v>562</v>
      </c>
      <c r="E64" t="s">
        <v>563</v>
      </c>
      <c r="F64">
        <v>4.24</v>
      </c>
      <c r="G64">
        <v>-1.17</v>
      </c>
      <c r="H64" t="s">
        <v>2657</v>
      </c>
      <c r="I64">
        <v>2207004800</v>
      </c>
      <c r="K64">
        <v>1.77</v>
      </c>
      <c r="L64" t="s">
        <v>303</v>
      </c>
      <c r="M64" t="s">
        <v>2658</v>
      </c>
      <c r="N64" t="s">
        <v>2659</v>
      </c>
      <c r="O64" t="s">
        <v>2660</v>
      </c>
      <c r="P64">
        <v>-21.77</v>
      </c>
      <c r="Q64" t="s">
        <v>2660</v>
      </c>
      <c r="R64">
        <v>-21189158</v>
      </c>
      <c r="S64" s="6">
        <v>0.28599999999999998</v>
      </c>
      <c r="T64" t="s">
        <v>2661</v>
      </c>
      <c r="U64">
        <v>520520000</v>
      </c>
      <c r="V64">
        <v>520520000</v>
      </c>
      <c r="W64">
        <v>1.38</v>
      </c>
      <c r="X64">
        <v>0.05</v>
      </c>
      <c r="Y64">
        <v>-22.82</v>
      </c>
      <c r="Z64" t="s">
        <v>65</v>
      </c>
      <c r="AA64" t="s">
        <v>87</v>
      </c>
      <c r="AB64" t="s">
        <v>2662</v>
      </c>
      <c r="AC64" t="s">
        <v>2663</v>
      </c>
      <c r="AD64" t="s">
        <v>5</v>
      </c>
      <c r="AE64">
        <v>-5803278</v>
      </c>
      <c r="AF64" t="s">
        <v>2664</v>
      </c>
      <c r="AG64" t="s">
        <v>2665</v>
      </c>
      <c r="AH64" t="s">
        <v>2666</v>
      </c>
      <c r="AI64" t="s">
        <v>2048</v>
      </c>
      <c r="AJ64" t="s">
        <v>2667</v>
      </c>
      <c r="AK64" t="s">
        <v>5</v>
      </c>
      <c r="AL64" t="s">
        <v>2668</v>
      </c>
      <c r="AM64" t="s">
        <v>5</v>
      </c>
      <c r="AN64" t="s">
        <v>2669</v>
      </c>
      <c r="AO64" t="s">
        <v>5</v>
      </c>
      <c r="AP64" t="s">
        <v>2670</v>
      </c>
      <c r="AQ64" t="s">
        <v>20</v>
      </c>
      <c r="AR64" t="s">
        <v>5</v>
      </c>
      <c r="AS64" t="s">
        <v>163</v>
      </c>
      <c r="AT64" t="s">
        <v>5</v>
      </c>
      <c r="AU64" t="s">
        <v>2671</v>
      </c>
      <c r="AV64" t="s">
        <v>2672</v>
      </c>
      <c r="AW64" t="s">
        <v>5</v>
      </c>
      <c r="AX64" t="s">
        <v>247</v>
      </c>
      <c r="AY64" t="s">
        <v>269</v>
      </c>
      <c r="AZ64" t="s">
        <v>351</v>
      </c>
      <c r="BA64" t="s">
        <v>206</v>
      </c>
      <c r="BB64" t="s">
        <v>565</v>
      </c>
      <c r="BC64" t="s">
        <v>991</v>
      </c>
      <c r="BD64" t="s">
        <v>682</v>
      </c>
      <c r="BE64" t="s">
        <v>564</v>
      </c>
      <c r="BF64" t="s">
        <v>566</v>
      </c>
      <c r="BG64" t="s">
        <v>567</v>
      </c>
      <c r="BH64" t="s">
        <v>767</v>
      </c>
      <c r="BI64" t="s">
        <v>181</v>
      </c>
      <c r="BJ64" t="s">
        <v>247</v>
      </c>
      <c r="BK64" t="s">
        <v>2673</v>
      </c>
      <c r="BL64" t="s">
        <v>1205</v>
      </c>
      <c r="BM64" t="s">
        <v>991</v>
      </c>
      <c r="BN64" t="s">
        <v>5</v>
      </c>
      <c r="BO64" t="s">
        <v>5</v>
      </c>
      <c r="BP64">
        <v>-0.01</v>
      </c>
      <c r="BQ64">
        <v>-4.37</v>
      </c>
      <c r="BR64">
        <v>-9.81</v>
      </c>
      <c r="BS64">
        <v>1.1599999999999999</v>
      </c>
      <c r="BT64" t="s">
        <v>873</v>
      </c>
      <c r="BU64" t="s">
        <v>1296</v>
      </c>
      <c r="BV64">
        <v>-1.08</v>
      </c>
      <c r="BW64">
        <v>5.26</v>
      </c>
      <c r="BX64">
        <v>21.84</v>
      </c>
      <c r="BY64">
        <v>-48.74</v>
      </c>
      <c r="BZ64">
        <v>-25.99</v>
      </c>
      <c r="CA64">
        <v>2.66</v>
      </c>
      <c r="CB64">
        <v>-0.47</v>
      </c>
      <c r="CC64">
        <v>-11.48</v>
      </c>
      <c r="CD64" t="s">
        <v>128</v>
      </c>
      <c r="CE64" t="s">
        <v>101</v>
      </c>
      <c r="CF64" s="11">
        <v>-0.56612429906542061</v>
      </c>
      <c r="CG64" s="12">
        <v>0.5127820354517465</v>
      </c>
      <c r="CH64" s="11">
        <v>-0.84128308296203613</v>
      </c>
      <c r="CI64" s="11">
        <v>-0.18181818723678589</v>
      </c>
      <c r="CJ64" s="11">
        <v>-0.2261904776096344</v>
      </c>
      <c r="CK64" s="11">
        <v>-9.5004893839359283E-2</v>
      </c>
      <c r="CL64" s="11">
        <v>4.7179486602544785E-2</v>
      </c>
      <c r="CM64" s="12">
        <v>0.86059737205505371</v>
      </c>
      <c r="CN64" s="12">
        <v>-8.9927225112915039</v>
      </c>
      <c r="CO64" s="12">
        <v>-0.41362905502319336</v>
      </c>
      <c r="CP64" s="12">
        <v>1.7999320030212402</v>
      </c>
      <c r="CQ64" s="12">
        <v>-1.5063759088516235</v>
      </c>
      <c r="CR64">
        <v>-161.06193123076736</v>
      </c>
      <c r="CS64">
        <v>-6.2084573704194863</v>
      </c>
      <c r="CT64">
        <v>0</v>
      </c>
      <c r="CU64" s="11">
        <v>-0.25942343100905418</v>
      </c>
      <c r="CV64" s="12">
        <v>-1.6504396200180054</v>
      </c>
      <c r="CW64">
        <v>0.06</v>
      </c>
      <c r="CX64" t="e">
        <v>#VALUE!</v>
      </c>
      <c r="CY64" t="s">
        <v>740</v>
      </c>
      <c r="CZ64">
        <v>-0.25942343100905418</v>
      </c>
      <c r="DA64" t="e">
        <v>#VALUE!</v>
      </c>
      <c r="DB64" t="s">
        <v>741</v>
      </c>
      <c r="DC64">
        <v>-0.24645225945860147</v>
      </c>
      <c r="DD64" t="e">
        <v>#VALUE!</v>
      </c>
      <c r="DE64" t="s">
        <v>741</v>
      </c>
      <c r="DF64">
        <v>-0.22829261928796768</v>
      </c>
      <c r="DG64" t="e">
        <v>#VALUE!</v>
      </c>
      <c r="DH64" t="s">
        <v>741</v>
      </c>
      <c r="DI64">
        <v>-0.20753874480724335</v>
      </c>
      <c r="DJ64" t="e">
        <v>#VALUE!</v>
      </c>
      <c r="DK64" t="s">
        <v>741</v>
      </c>
      <c r="DL64">
        <v>-0.18159640170633792</v>
      </c>
      <c r="DM64">
        <v>-21189200</v>
      </c>
      <c r="DN64">
        <v>-0.25942343100905418</v>
      </c>
      <c r="DO64">
        <v>1520004800</v>
      </c>
      <c r="DP64">
        <v>958217290</v>
      </c>
      <c r="DQ64">
        <v>3934</v>
      </c>
      <c r="DR64">
        <v>-0.30670086805636643</v>
      </c>
      <c r="DS64">
        <v>2.1632216554697519</v>
      </c>
      <c r="DT64" s="13">
        <v>-1.0566666666666666</v>
      </c>
      <c r="DU64">
        <v>-2.2150000000000003</v>
      </c>
      <c r="DV64">
        <v>-3.2716666666666669</v>
      </c>
      <c r="DW64">
        <v>-2.1147999999999998</v>
      </c>
      <c r="DX64">
        <v>0.6375155279503113</v>
      </c>
      <c r="DY64">
        <v>-2.0456347826086958</v>
      </c>
      <c r="DZ64">
        <v>793</v>
      </c>
      <c r="EA64">
        <v>-2.0385529073428064</v>
      </c>
      <c r="EB64">
        <v>2</v>
      </c>
      <c r="EC64">
        <v>0.24590793821563053</v>
      </c>
      <c r="ED64">
        <v>0.61861215707369555</v>
      </c>
      <c r="EE64" s="14">
        <v>-3.0805099999999999</v>
      </c>
      <c r="EF64">
        <v>-3.1230099999999998</v>
      </c>
      <c r="EG64">
        <v>24.397515527950311</v>
      </c>
      <c r="EH64" t="s">
        <v>1095</v>
      </c>
      <c r="EI64">
        <v>0</v>
      </c>
      <c r="EJ64">
        <v>1</v>
      </c>
      <c r="EK64" s="10">
        <v>45470</v>
      </c>
      <c r="EL64" s="15">
        <v>-0.77</v>
      </c>
      <c r="EM64" s="15">
        <v>-3.65</v>
      </c>
      <c r="EN64" s="15">
        <v>2.87</v>
      </c>
      <c r="EO64" s="15">
        <v>2.34</v>
      </c>
      <c r="EP64" s="15">
        <v>-4.25</v>
      </c>
    </row>
    <row r="65" spans="1:146" ht="108" x14ac:dyDescent="0.25">
      <c r="A65" s="7"/>
      <c r="B65" s="7"/>
      <c r="C65" s="7" t="str">
        <f>""&amp;CHAR(10)&amp;Basic_Fundamental_Information_Constructure(F65)&amp;CHAR(10)&amp;Basic_Fundamental_Information_Concatenate("")</f>
        <v xml:space="preserve">
市值74.512691亿, 利润4038.13万; PE73.31; 平均PE118.03; 平均PEG298.24, PB5.34; ROIC4.0467%; ROE5.02%; 股利率.2364%; 毛利41.4767%; 净利9.0367%; 上一年度营收增-66.41%, 利润增-47.02%; 当季营收增-18.81%, 利润增139.68%; 过往5年营收增-.4%, 利润增-7.88%
Income profile:
</v>
      </c>
      <c r="D65" t="s">
        <v>568</v>
      </c>
      <c r="E65" t="s">
        <v>569</v>
      </c>
      <c r="F65">
        <v>23.27</v>
      </c>
      <c r="G65">
        <v>1.1299999999999999</v>
      </c>
      <c r="H65" t="s">
        <v>2674</v>
      </c>
      <c r="I65">
        <v>7451269100</v>
      </c>
      <c r="J65">
        <v>73.31</v>
      </c>
      <c r="K65">
        <v>5.34</v>
      </c>
      <c r="L65" t="s">
        <v>303</v>
      </c>
      <c r="M65" t="s">
        <v>2675</v>
      </c>
      <c r="N65" t="s">
        <v>2676</v>
      </c>
      <c r="O65" t="s">
        <v>119</v>
      </c>
      <c r="P65">
        <v>56.99</v>
      </c>
      <c r="Q65" t="s">
        <v>119</v>
      </c>
      <c r="R65">
        <v>40381292</v>
      </c>
      <c r="S65" s="5">
        <v>1.304</v>
      </c>
      <c r="T65" t="s">
        <v>2677</v>
      </c>
      <c r="U65">
        <v>320209240</v>
      </c>
      <c r="V65">
        <v>320209240</v>
      </c>
      <c r="W65">
        <v>1.7</v>
      </c>
      <c r="X65">
        <v>0.11</v>
      </c>
      <c r="Y65">
        <v>15.66</v>
      </c>
      <c r="Z65" t="s">
        <v>40</v>
      </c>
      <c r="AA65" t="s">
        <v>29</v>
      </c>
      <c r="AB65" t="s">
        <v>2678</v>
      </c>
      <c r="AC65" t="s">
        <v>2679</v>
      </c>
      <c r="AD65" t="s">
        <v>5</v>
      </c>
      <c r="AE65">
        <v>540823</v>
      </c>
      <c r="AF65" t="s">
        <v>2680</v>
      </c>
      <c r="AG65">
        <v>9446.51</v>
      </c>
      <c r="AH65" t="s">
        <v>2681</v>
      </c>
      <c r="AI65" t="s">
        <v>1088</v>
      </c>
      <c r="AJ65" t="s">
        <v>2682</v>
      </c>
      <c r="AK65" t="s">
        <v>2683</v>
      </c>
      <c r="AL65" t="s">
        <v>2684</v>
      </c>
      <c r="AM65" t="s">
        <v>5</v>
      </c>
      <c r="AN65" t="s">
        <v>1207</v>
      </c>
      <c r="AO65" t="s">
        <v>37</v>
      </c>
      <c r="AP65" t="s">
        <v>2685</v>
      </c>
      <c r="AQ65" t="s">
        <v>2686</v>
      </c>
      <c r="AR65" t="s">
        <v>5</v>
      </c>
      <c r="AS65" t="s">
        <v>2687</v>
      </c>
      <c r="AT65" t="s">
        <v>2688</v>
      </c>
      <c r="AU65" t="s">
        <v>2689</v>
      </c>
      <c r="AV65" t="s">
        <v>2690</v>
      </c>
      <c r="AW65" t="s">
        <v>2691</v>
      </c>
      <c r="AX65" t="s">
        <v>328</v>
      </c>
      <c r="AY65" t="s">
        <v>683</v>
      </c>
      <c r="AZ65" t="s">
        <v>270</v>
      </c>
      <c r="BA65" t="s">
        <v>274</v>
      </c>
      <c r="BB65" t="s">
        <v>212</v>
      </c>
      <c r="BC65" t="s">
        <v>992</v>
      </c>
      <c r="BD65" t="s">
        <v>684</v>
      </c>
      <c r="BE65" t="s">
        <v>570</v>
      </c>
      <c r="BF65" t="s">
        <v>571</v>
      </c>
      <c r="BG65" t="s">
        <v>135</v>
      </c>
      <c r="BH65" t="s">
        <v>328</v>
      </c>
      <c r="BI65" t="s">
        <v>1209</v>
      </c>
      <c r="BJ65" t="s">
        <v>328</v>
      </c>
      <c r="BK65" t="s">
        <v>2692</v>
      </c>
      <c r="BL65" t="s">
        <v>1210</v>
      </c>
      <c r="BM65" t="s">
        <v>992</v>
      </c>
      <c r="BN65">
        <v>1.94</v>
      </c>
      <c r="BO65">
        <v>5.44</v>
      </c>
      <c r="BP65">
        <v>4.76</v>
      </c>
      <c r="BQ65">
        <v>2.4700000000000002</v>
      </c>
      <c r="BR65">
        <v>6.29</v>
      </c>
      <c r="BS65">
        <v>6.3</v>
      </c>
      <c r="BT65" t="s">
        <v>2693</v>
      </c>
      <c r="BU65" t="s">
        <v>1296</v>
      </c>
      <c r="BV65">
        <v>45.78</v>
      </c>
      <c r="BW65">
        <v>43.03</v>
      </c>
      <c r="BX65">
        <v>35.619999999999997</v>
      </c>
      <c r="BY65">
        <v>10.050000000000001</v>
      </c>
      <c r="BZ65">
        <v>9.76</v>
      </c>
      <c r="CA65">
        <v>7.3</v>
      </c>
      <c r="CB65">
        <v>-4.83</v>
      </c>
      <c r="CC65">
        <v>-11.4</v>
      </c>
      <c r="CD65" t="s">
        <v>2694</v>
      </c>
      <c r="CE65" t="s">
        <v>40</v>
      </c>
      <c r="CF65" s="11">
        <v>-0.18808777429467086</v>
      </c>
      <c r="CG65" s="12">
        <v>1.3968287847671506</v>
      </c>
      <c r="CH65" s="11">
        <v>-0.66407263278961182</v>
      </c>
      <c r="CI65" s="11">
        <v>0.13716813921928406</v>
      </c>
      <c r="CJ65" s="11">
        <v>0.27204501628875732</v>
      </c>
      <c r="CK65" s="11">
        <v>0.22811059653759003</v>
      </c>
      <c r="CL65" s="11">
        <v>6.9605568423867226E-3</v>
      </c>
      <c r="CM65" s="12">
        <v>-0.47021463513374329</v>
      </c>
      <c r="CN65" s="12">
        <v>0.42630186676979065</v>
      </c>
      <c r="CO65" s="12">
        <v>0.46833375096321106</v>
      </c>
      <c r="CP65" s="12">
        <v>-0.45951545238494873</v>
      </c>
      <c r="CQ65" s="12">
        <v>-0.35868480801582336</v>
      </c>
      <c r="CR65">
        <v>118.03152356967914</v>
      </c>
      <c r="CS65">
        <v>298.23527287263897</v>
      </c>
      <c r="CT65">
        <v>0.23635582294800175</v>
      </c>
      <c r="CU65" s="11">
        <v>-3.9576647803187372E-3</v>
      </c>
      <c r="CV65" s="12">
        <v>-7.8755855560302734E-2</v>
      </c>
      <c r="CW65">
        <v>0.06</v>
      </c>
      <c r="CX65">
        <v>176.84594354317468</v>
      </c>
      <c r="CY65" t="s">
        <v>2695</v>
      </c>
      <c r="CZ65">
        <v>-3.9576647803187372E-3</v>
      </c>
      <c r="DA65">
        <v>58.948647847724892</v>
      </c>
      <c r="DB65" t="s">
        <v>2696</v>
      </c>
      <c r="DC65">
        <v>-3.7597815413028001E-3</v>
      </c>
      <c r="DD65">
        <v>29.474323923862446</v>
      </c>
      <c r="DE65" t="s">
        <v>2697</v>
      </c>
      <c r="DF65">
        <v>-3.4827450066804888E-3</v>
      </c>
      <c r="DG65">
        <v>17.684594354317468</v>
      </c>
      <c r="DH65" t="s">
        <v>2698</v>
      </c>
      <c r="DI65">
        <v>-3.1661318242549898E-3</v>
      </c>
      <c r="DJ65">
        <v>8.8422971771587342</v>
      </c>
      <c r="DK65" t="s">
        <v>2699</v>
      </c>
      <c r="DL65">
        <v>-2.770365346223116E-3</v>
      </c>
      <c r="DM65">
        <v>40381300</v>
      </c>
      <c r="DN65">
        <v>-3.9576647803187372E-3</v>
      </c>
      <c r="DO65">
        <v>7141269100</v>
      </c>
      <c r="DP65">
        <v>920457499.99999988</v>
      </c>
      <c r="DQ65">
        <v>4156</v>
      </c>
      <c r="DR65">
        <v>-0.18413010951435213</v>
      </c>
      <c r="DS65">
        <v>1.4755846403274533</v>
      </c>
      <c r="DT65" s="13">
        <v>-0.52333333333333332</v>
      </c>
      <c r="DU65">
        <v>0.34000000000000008</v>
      </c>
      <c r="DV65">
        <v>-0.18333333333333324</v>
      </c>
      <c r="DW65">
        <v>-8.4236842105263161</v>
      </c>
      <c r="DX65">
        <v>0.36575714285714311</v>
      </c>
      <c r="DY65">
        <v>-8.0532813157894729</v>
      </c>
      <c r="DZ65">
        <v>3391</v>
      </c>
      <c r="EA65">
        <v>-8.0179237929240905</v>
      </c>
      <c r="EB65">
        <v>8</v>
      </c>
      <c r="EC65">
        <v>8.7972476996603849E-2</v>
      </c>
      <c r="ED65">
        <v>0.69954258659119273</v>
      </c>
      <c r="EE65" s="14">
        <v>4.0529999999999999</v>
      </c>
      <c r="EF65">
        <v>4.0110999999999999</v>
      </c>
      <c r="EG65">
        <v>24.125757142857143</v>
      </c>
      <c r="EH65" t="s">
        <v>1263</v>
      </c>
      <c r="EI65">
        <v>0</v>
      </c>
      <c r="EJ65">
        <v>0</v>
      </c>
      <c r="EK65" s="10">
        <v>45470</v>
      </c>
      <c r="EL65" s="15">
        <v>0.85</v>
      </c>
      <c r="EM65" s="15">
        <v>-3.5</v>
      </c>
      <c r="EN65" s="15">
        <v>-0.36</v>
      </c>
      <c r="EO65" s="15">
        <v>2.5499999999999998</v>
      </c>
      <c r="EP65" s="15">
        <v>-4.1900000000000004</v>
      </c>
    </row>
    <row r="66" spans="1:146" ht="156" x14ac:dyDescent="0.25">
      <c r="A66" s="7" t="s">
        <v>603</v>
      </c>
      <c r="B66" s="7" t="s">
        <v>604</v>
      </c>
      <c r="C66" s="7" t="str">
        <f>""&amp;CHAR(10)&amp;Basic_Fundamental_Information_Constructure(F66)&amp;CHAR(10)&amp;Basic_Fundamental_Information_Concatenate("")</f>
        <v xml:space="preserve">
市值68.515006亿, 利润1.00亿; PE16.26; 平均PE33.31; 平均PEG11.36, PB1.47; ROIC7.0433%; ROE7.7533%; 股利率4.2101%; 毛利61.5467%; 净利35.7567%; 上一年度营收增-71.98%, 利润增-71.1%; 当季营收增-43.16%, 利润增-42.34%; 过往5年营收增2.93%, 利润增46.56%
Income profile:
</v>
      </c>
      <c r="D66" t="s">
        <v>572</v>
      </c>
      <c r="E66" t="s">
        <v>573</v>
      </c>
      <c r="F66">
        <v>17.97</v>
      </c>
      <c r="G66">
        <v>1.07</v>
      </c>
      <c r="H66" t="s">
        <v>2700</v>
      </c>
      <c r="I66">
        <v>6851500600</v>
      </c>
      <c r="J66">
        <v>16.260000000000002</v>
      </c>
      <c r="K66">
        <v>1.47</v>
      </c>
      <c r="L66" t="s">
        <v>303</v>
      </c>
      <c r="M66" t="s">
        <v>2701</v>
      </c>
      <c r="N66" t="s">
        <v>2702</v>
      </c>
      <c r="O66" t="s">
        <v>1152</v>
      </c>
      <c r="P66">
        <v>8.42</v>
      </c>
      <c r="Q66" t="s">
        <v>1152</v>
      </c>
      <c r="R66">
        <v>100323203</v>
      </c>
      <c r="S66" s="5">
        <v>0.1023</v>
      </c>
      <c r="T66" t="s">
        <v>22</v>
      </c>
      <c r="U66">
        <v>381274380</v>
      </c>
      <c r="V66">
        <v>381274380</v>
      </c>
      <c r="W66">
        <v>1.05</v>
      </c>
      <c r="X66">
        <v>0.06</v>
      </c>
      <c r="Y66">
        <v>34.67</v>
      </c>
      <c r="Z66" t="s">
        <v>91</v>
      </c>
      <c r="AA66" t="s">
        <v>26</v>
      </c>
      <c r="AB66" t="s">
        <v>2703</v>
      </c>
      <c r="AC66" t="s">
        <v>2704</v>
      </c>
      <c r="AD66" t="s">
        <v>5</v>
      </c>
      <c r="AE66">
        <v>-10857905</v>
      </c>
      <c r="AF66" t="s">
        <v>2705</v>
      </c>
      <c r="AG66" t="s">
        <v>2706</v>
      </c>
      <c r="AH66" t="s">
        <v>2707</v>
      </c>
      <c r="AI66" t="s">
        <v>2708</v>
      </c>
      <c r="AJ66" t="s">
        <v>2709</v>
      </c>
      <c r="AK66" t="s">
        <v>2710</v>
      </c>
      <c r="AL66" t="s">
        <v>2711</v>
      </c>
      <c r="AM66" t="s">
        <v>5</v>
      </c>
      <c r="AN66" t="s">
        <v>2712</v>
      </c>
      <c r="AO66" t="s">
        <v>5</v>
      </c>
      <c r="AP66" t="s">
        <v>2713</v>
      </c>
      <c r="AQ66" t="s">
        <v>2714</v>
      </c>
      <c r="AR66" t="s">
        <v>5</v>
      </c>
      <c r="AS66" t="s">
        <v>2715</v>
      </c>
      <c r="AT66" t="s">
        <v>5</v>
      </c>
      <c r="AU66" t="s">
        <v>2716</v>
      </c>
      <c r="AV66" t="s">
        <v>2717</v>
      </c>
      <c r="AW66" t="s">
        <v>5</v>
      </c>
      <c r="AX66" t="s">
        <v>993</v>
      </c>
      <c r="AY66" t="s">
        <v>685</v>
      </c>
      <c r="AZ66" t="s">
        <v>275</v>
      </c>
      <c r="BA66" t="s">
        <v>575</v>
      </c>
      <c r="BB66" t="s">
        <v>576</v>
      </c>
      <c r="BC66" t="s">
        <v>755</v>
      </c>
      <c r="BD66" t="s">
        <v>132</v>
      </c>
      <c r="BE66" t="s">
        <v>574</v>
      </c>
      <c r="BF66" t="s">
        <v>209</v>
      </c>
      <c r="BG66" t="s">
        <v>250</v>
      </c>
      <c r="BH66" t="s">
        <v>980</v>
      </c>
      <c r="BI66" t="s">
        <v>185</v>
      </c>
      <c r="BJ66" t="s">
        <v>993</v>
      </c>
      <c r="BK66" t="s">
        <v>2122</v>
      </c>
      <c r="BL66" t="s">
        <v>794</v>
      </c>
      <c r="BM66" t="s">
        <v>755</v>
      </c>
      <c r="BN66">
        <v>5.09</v>
      </c>
      <c r="BO66">
        <v>7.52</v>
      </c>
      <c r="BP66">
        <v>8.52</v>
      </c>
      <c r="BQ66">
        <v>5.59</v>
      </c>
      <c r="BR66">
        <v>8.09</v>
      </c>
      <c r="BS66">
        <v>9.58</v>
      </c>
      <c r="BT66" t="s">
        <v>2718</v>
      </c>
      <c r="BU66" t="s">
        <v>1547</v>
      </c>
      <c r="BV66">
        <v>63.09</v>
      </c>
      <c r="BW66">
        <v>60.57</v>
      </c>
      <c r="BX66">
        <v>60.98</v>
      </c>
      <c r="BY66">
        <v>36.28</v>
      </c>
      <c r="BZ66">
        <v>33.950000000000003</v>
      </c>
      <c r="CA66">
        <v>37.04</v>
      </c>
      <c r="CB66">
        <v>-4.16</v>
      </c>
      <c r="CC66">
        <v>-16.73</v>
      </c>
      <c r="CD66" t="s">
        <v>2719</v>
      </c>
      <c r="CE66" t="s">
        <v>139</v>
      </c>
      <c r="CF66" s="11">
        <v>-0.43155893536121676</v>
      </c>
      <c r="CG66" s="12">
        <v>-0.42342986781609193</v>
      </c>
      <c r="CH66" s="11">
        <v>-0.71977508068084717</v>
      </c>
      <c r="CI66" s="11">
        <v>2.8195488266646862E-3</v>
      </c>
      <c r="CJ66" s="11">
        <v>0.26066350936889648</v>
      </c>
      <c r="CK66" s="11">
        <v>-6.4301550388336182E-2</v>
      </c>
      <c r="CL66" s="11">
        <v>0.6672828197479248</v>
      </c>
      <c r="CM66" s="12">
        <v>-0.71098268032073975</v>
      </c>
      <c r="CN66" s="12">
        <v>-0.10129870474338531</v>
      </c>
      <c r="CO66" s="12">
        <v>1.6707316637039185</v>
      </c>
      <c r="CP66" s="12">
        <v>-1.7275032997131348</v>
      </c>
      <c r="CQ66" s="12">
        <v>3.1968085765838623</v>
      </c>
      <c r="CR66">
        <v>33.313617179902757</v>
      </c>
      <c r="CS66">
        <v>11.355166752082738</v>
      </c>
      <c r="CT66">
        <v>4.2100723427935449</v>
      </c>
      <c r="CU66" s="11">
        <v>2.9337849374860524E-2</v>
      </c>
      <c r="CV66" s="12">
        <v>0.46555111110210418</v>
      </c>
      <c r="CW66">
        <v>0.06</v>
      </c>
      <c r="CX66">
        <v>25.533605293890695</v>
      </c>
      <c r="CY66">
        <v>97107344.280647218</v>
      </c>
      <c r="CZ66">
        <v>2.9337849374860524E-2</v>
      </c>
      <c r="DA66">
        <v>8.7869948002450258</v>
      </c>
      <c r="DB66">
        <v>282178453.0851047</v>
      </c>
      <c r="DC66">
        <v>2.7870956906117496E-2</v>
      </c>
      <c r="DD66">
        <v>4.6276246600981219</v>
      </c>
      <c r="DE66">
        <v>535804172.14464104</v>
      </c>
      <c r="DF66">
        <v>2.5817307449877262E-2</v>
      </c>
      <c r="DG66">
        <v>2.9917937308590328</v>
      </c>
      <c r="DH66">
        <v>828767228.97873771</v>
      </c>
      <c r="DI66">
        <v>2.3470279499888419E-2</v>
      </c>
      <c r="DJ66">
        <v>1.803027895089385</v>
      </c>
      <c r="DK66">
        <v>1375187043.2803698</v>
      </c>
      <c r="DL66">
        <v>2.0536494562402367E-2</v>
      </c>
      <c r="DM66">
        <v>100000000</v>
      </c>
      <c r="DN66">
        <v>2.9337849374860524E-2</v>
      </c>
      <c r="DO66">
        <v>2479500600</v>
      </c>
      <c r="DP66">
        <v>2753365400</v>
      </c>
      <c r="DQ66">
        <v>4163</v>
      </c>
      <c r="DR66">
        <v>-0.46089678473607726</v>
      </c>
      <c r="DS66">
        <v>-0.88898097891819616</v>
      </c>
      <c r="DT66" s="13">
        <v>-0.44</v>
      </c>
      <c r="DU66">
        <v>-0.50833333333333341</v>
      </c>
      <c r="DV66">
        <v>-0.94833333333333347</v>
      </c>
      <c r="DW66">
        <v>-8.2486551105797972</v>
      </c>
      <c r="DX66">
        <v>0.29872918918918928</v>
      </c>
      <c r="DY66">
        <v>-8.0245495174552914</v>
      </c>
      <c r="DZ66">
        <v>3290</v>
      </c>
      <c r="EA66">
        <v>-8.0087436637511988</v>
      </c>
      <c r="EB66">
        <v>8</v>
      </c>
      <c r="EC66">
        <v>4.7904871027526164E-2</v>
      </c>
      <c r="ED66">
        <v>0.48521487334134539</v>
      </c>
      <c r="EE66" s="14">
        <v>0.10800999999999999</v>
      </c>
      <c r="EF66">
        <v>9.2609999999999998E-2</v>
      </c>
      <c r="EG66">
        <v>20.098729189189189</v>
      </c>
      <c r="EH66">
        <v>-1</v>
      </c>
      <c r="EI66">
        <v>0</v>
      </c>
      <c r="EJ66">
        <v>0</v>
      </c>
      <c r="EK66" s="10">
        <v>45470</v>
      </c>
      <c r="EL66" s="15">
        <v>0.65</v>
      </c>
      <c r="EM66" s="15">
        <v>-3.24</v>
      </c>
      <c r="EN66" s="15">
        <v>0.33</v>
      </c>
      <c r="EO66" s="15">
        <v>2.58</v>
      </c>
      <c r="EP66" s="15">
        <v>1.54</v>
      </c>
    </row>
    <row r="67" spans="1:146" ht="108" x14ac:dyDescent="0.25">
      <c r="A67" s="7"/>
      <c r="B67" s="7"/>
      <c r="C67" s="7" t="str">
        <f>""&amp;CHAR(10)&amp;Basic_Fundamental_Information_Constructure(F67)&amp;CHAR(10)&amp;Basic_Fundamental_Information_Concatenate("")</f>
        <v xml:space="preserve">
市值62.1269亿, 利润599.12万; PE174.9; 平均PE83.59; 平均PEG11.16, PB4.88; ROIC4.1167%; ROE3.95%; 股利率.3249%; 毛利51.02%; 净利9.5533%; 上一年度营收增-80.37%, 利润增-79.95%; 当季营收增-65.69%, 利润增-9.3%; 过往5年营收增-7.49%, 利润增-26.52%
Income profile:
</v>
      </c>
      <c r="D67" t="s">
        <v>577</v>
      </c>
      <c r="E67" t="s">
        <v>578</v>
      </c>
      <c r="F67">
        <v>30.78</v>
      </c>
      <c r="G67">
        <v>-0.71</v>
      </c>
      <c r="H67" t="s">
        <v>2720</v>
      </c>
      <c r="I67">
        <v>6212690000</v>
      </c>
      <c r="J67">
        <v>174.9</v>
      </c>
      <c r="K67">
        <v>4.88</v>
      </c>
      <c r="L67" t="s">
        <v>303</v>
      </c>
      <c r="M67" t="s">
        <v>34</v>
      </c>
      <c r="N67" t="s">
        <v>2721</v>
      </c>
      <c r="O67" t="s">
        <v>2722</v>
      </c>
      <c r="P67">
        <v>3.74</v>
      </c>
      <c r="Q67" t="s">
        <v>2722</v>
      </c>
      <c r="R67">
        <v>5991242</v>
      </c>
      <c r="S67" s="5">
        <v>1.4970000000000001</v>
      </c>
      <c r="T67" t="s">
        <v>2723</v>
      </c>
      <c r="U67">
        <v>201841780</v>
      </c>
      <c r="V67">
        <v>201841780</v>
      </c>
      <c r="W67">
        <v>1.19</v>
      </c>
      <c r="X67">
        <v>0.05</v>
      </c>
      <c r="Y67">
        <v>7.38</v>
      </c>
      <c r="Z67" t="s">
        <v>2724</v>
      </c>
      <c r="AA67" t="s">
        <v>2725</v>
      </c>
      <c r="AB67" t="s">
        <v>2726</v>
      </c>
      <c r="AC67" t="s">
        <v>2727</v>
      </c>
      <c r="AD67" t="s">
        <v>5</v>
      </c>
      <c r="AE67">
        <v>3320927</v>
      </c>
      <c r="AF67" t="s">
        <v>2728</v>
      </c>
      <c r="AG67" t="s">
        <v>2729</v>
      </c>
      <c r="AH67" t="s">
        <v>2730</v>
      </c>
      <c r="AI67" t="s">
        <v>2731</v>
      </c>
      <c r="AJ67" t="s">
        <v>2732</v>
      </c>
      <c r="AK67" t="s">
        <v>2733</v>
      </c>
      <c r="AL67" t="s">
        <v>2734</v>
      </c>
      <c r="AM67" t="s">
        <v>5</v>
      </c>
      <c r="AN67">
        <v>0</v>
      </c>
      <c r="AO67" t="s">
        <v>5</v>
      </c>
      <c r="AP67" t="s">
        <v>1211</v>
      </c>
      <c r="AQ67" t="s">
        <v>2735</v>
      </c>
      <c r="AR67" t="s">
        <v>5</v>
      </c>
      <c r="AS67" t="s">
        <v>65</v>
      </c>
      <c r="AT67" t="s">
        <v>5</v>
      </c>
      <c r="AU67" t="s">
        <v>2736</v>
      </c>
      <c r="AV67" t="s">
        <v>2737</v>
      </c>
      <c r="AW67" t="s">
        <v>2738</v>
      </c>
      <c r="AX67" t="s">
        <v>124</v>
      </c>
      <c r="AY67" t="s">
        <v>63</v>
      </c>
      <c r="AZ67" t="s">
        <v>114</v>
      </c>
      <c r="BA67" t="s">
        <v>169</v>
      </c>
      <c r="BB67" t="s">
        <v>38</v>
      </c>
      <c r="BC67" t="s">
        <v>2739</v>
      </c>
      <c r="BD67" t="s">
        <v>686</v>
      </c>
      <c r="BE67" t="s">
        <v>128</v>
      </c>
      <c r="BF67" t="s">
        <v>87</v>
      </c>
      <c r="BG67" t="s">
        <v>579</v>
      </c>
      <c r="BH67" t="s">
        <v>944</v>
      </c>
      <c r="BI67" t="s">
        <v>23</v>
      </c>
      <c r="BJ67" t="s">
        <v>124</v>
      </c>
      <c r="BK67" t="s">
        <v>2740</v>
      </c>
      <c r="BL67" t="s">
        <v>1213</v>
      </c>
      <c r="BM67" t="s">
        <v>2739</v>
      </c>
      <c r="BN67">
        <v>1.67</v>
      </c>
      <c r="BO67">
        <v>3.2</v>
      </c>
      <c r="BP67">
        <v>7.48</v>
      </c>
      <c r="BQ67">
        <v>1.1100000000000001</v>
      </c>
      <c r="BR67">
        <v>2.79</v>
      </c>
      <c r="BS67">
        <v>7.95</v>
      </c>
      <c r="BT67" t="s">
        <v>872</v>
      </c>
      <c r="BU67" t="s">
        <v>1296</v>
      </c>
      <c r="BV67">
        <v>43.52</v>
      </c>
      <c r="BW67">
        <v>51.62</v>
      </c>
      <c r="BX67">
        <v>57.92</v>
      </c>
      <c r="BY67">
        <v>3.23</v>
      </c>
      <c r="BZ67">
        <v>7.68</v>
      </c>
      <c r="CA67">
        <v>17.75</v>
      </c>
      <c r="CB67">
        <v>-2.5</v>
      </c>
      <c r="CC67">
        <v>-27.66</v>
      </c>
      <c r="CD67" t="s">
        <v>2741</v>
      </c>
      <c r="CE67" t="s">
        <v>234</v>
      </c>
      <c r="CF67" s="11">
        <v>-0.65692201834862385</v>
      </c>
      <c r="CG67" s="12">
        <v>-9.2978169376570691E-2</v>
      </c>
      <c r="CH67" s="11">
        <v>-0.80369812250137329</v>
      </c>
      <c r="CI67" s="11">
        <v>-0.18589743971824646</v>
      </c>
      <c r="CJ67" s="11">
        <v>-3.1055901199579239E-2</v>
      </c>
      <c r="CK67" s="11">
        <v>0.30188679695129395</v>
      </c>
      <c r="CL67" s="11">
        <v>0.34420290589332581</v>
      </c>
      <c r="CM67" s="12">
        <v>-0.79953557252883911</v>
      </c>
      <c r="CN67" s="12">
        <v>-0.64037716388702393</v>
      </c>
      <c r="CO67" s="12">
        <v>-0.35073906183242798</v>
      </c>
      <c r="CP67" s="12">
        <v>0.12280701845884323</v>
      </c>
      <c r="CQ67" s="12">
        <v>0.34190735220909119</v>
      </c>
      <c r="CR67">
        <v>83.590615622972663</v>
      </c>
      <c r="CS67">
        <v>11.158455616871345</v>
      </c>
      <c r="CT67">
        <v>0.32488628979857048</v>
      </c>
      <c r="CU67" s="11">
        <v>-7.4912352114915842E-2</v>
      </c>
      <c r="CV67" s="12">
        <v>-0.2651874855160713</v>
      </c>
      <c r="CW67">
        <v>0.06</v>
      </c>
      <c r="CX67">
        <v>904.27460275070098</v>
      </c>
      <c r="CY67" t="s">
        <v>2742</v>
      </c>
      <c r="CZ67">
        <v>-7.4912352114915842E-2</v>
      </c>
      <c r="DA67">
        <v>301.42486758356699</v>
      </c>
      <c r="DB67" t="s">
        <v>2743</v>
      </c>
      <c r="DC67">
        <v>-7.1166734509170049E-2</v>
      </c>
      <c r="DD67">
        <v>150.7124337917835</v>
      </c>
      <c r="DE67" t="s">
        <v>2744</v>
      </c>
      <c r="DF67">
        <v>-6.5922869861125943E-2</v>
      </c>
      <c r="DG67">
        <v>90.427460275070104</v>
      </c>
      <c r="DH67" t="s">
        <v>2745</v>
      </c>
      <c r="DI67">
        <v>-5.9929881691932675E-2</v>
      </c>
      <c r="DJ67">
        <v>45.213730137535052</v>
      </c>
      <c r="DK67" t="s">
        <v>2746</v>
      </c>
      <c r="DL67">
        <v>-5.2438646480441088E-2</v>
      </c>
      <c r="DM67">
        <v>5991200</v>
      </c>
      <c r="DN67">
        <v>-7.4912352114915842E-2</v>
      </c>
      <c r="DO67">
        <v>5417690000</v>
      </c>
      <c r="DP67">
        <v>971820380</v>
      </c>
      <c r="DQ67">
        <v>4166</v>
      </c>
      <c r="DR67">
        <v>-0.58200966623370798</v>
      </c>
      <c r="DS67">
        <v>0.17220931613950061</v>
      </c>
      <c r="DT67" s="13">
        <v>-0.70666666666666667</v>
      </c>
      <c r="DU67">
        <v>-0.88666666666666671</v>
      </c>
      <c r="DV67">
        <v>-1.5933333333333333</v>
      </c>
      <c r="DW67">
        <v>-8.0903832248734631</v>
      </c>
      <c r="DX67">
        <v>0.37783518518518422</v>
      </c>
      <c r="DY67">
        <v>-8.0097464917918639</v>
      </c>
      <c r="DZ67">
        <v>986</v>
      </c>
      <c r="EA67">
        <v>-8.007865857563532</v>
      </c>
      <c r="EB67">
        <v>8</v>
      </c>
      <c r="EC67">
        <v>0.14424912423978822</v>
      </c>
      <c r="ED67">
        <v>1.337681425520524</v>
      </c>
      <c r="EE67" s="14">
        <v>-2.0308099999999998</v>
      </c>
      <c r="EF67">
        <v>-2.05911</v>
      </c>
      <c r="EG67">
        <v>27.107835185185184</v>
      </c>
      <c r="EH67" t="s">
        <v>1075</v>
      </c>
      <c r="EI67">
        <v>0</v>
      </c>
      <c r="EJ67">
        <v>1</v>
      </c>
      <c r="EK67" s="10">
        <v>45470</v>
      </c>
      <c r="EL67" s="15">
        <v>-0.06</v>
      </c>
      <c r="EM67" s="15">
        <v>-3.5</v>
      </c>
      <c r="EN67" s="15">
        <v>-1.1000000000000001</v>
      </c>
      <c r="EO67" s="15">
        <v>3.99</v>
      </c>
      <c r="EP67" s="15">
        <v>-2.83</v>
      </c>
    </row>
    <row r="68" spans="1:146" ht="96" x14ac:dyDescent="0.25">
      <c r="A68" s="7"/>
      <c r="B68" s="7"/>
      <c r="C68" s="7" t="str">
        <f>""&amp;CHAR(10)&amp;Basic_Fundamental_Information_Constructure(F68)&amp;CHAR(10)&amp;Basic_Fundamental_Information_Concatenate("")</f>
        <v xml:space="preserve">
市值25.955147亿, 利润-1.52亿; PE; 平均PE-89.62; 平均PEG-3.74, PB3.11; ROIC3.89%; ROE-20.1867%; 股利率0%; 毛利55.4%; 净利-16.5333%; 上一年度营收增-87.25%, 利润增73.93%; 当季营收增-75.06%, 利润增16.81%; 过往5年营收增-23.94%, 利润增-210.72%
Income profile:
</v>
      </c>
      <c r="D68" t="s">
        <v>580</v>
      </c>
      <c r="E68" t="s">
        <v>581</v>
      </c>
      <c r="F68">
        <v>5.16</v>
      </c>
      <c r="G68">
        <v>1.18</v>
      </c>
      <c r="H68" t="s">
        <v>2747</v>
      </c>
      <c r="I68">
        <v>2595514700</v>
      </c>
      <c r="K68">
        <v>3.11</v>
      </c>
      <c r="L68" t="s">
        <v>303</v>
      </c>
      <c r="M68" t="s">
        <v>1214</v>
      </c>
      <c r="N68" t="s">
        <v>2748</v>
      </c>
      <c r="O68" t="s">
        <v>642</v>
      </c>
      <c r="P68">
        <v>-49.79</v>
      </c>
      <c r="Q68" t="s">
        <v>642</v>
      </c>
      <c r="R68">
        <v>-152236940</v>
      </c>
      <c r="S68" s="5">
        <v>-1.222</v>
      </c>
      <c r="T68" t="s">
        <v>991</v>
      </c>
      <c r="U68">
        <v>494322130</v>
      </c>
      <c r="V68">
        <v>503006730</v>
      </c>
      <c r="W68">
        <v>2.92</v>
      </c>
      <c r="X68">
        <v>7.0000000000000007E-2</v>
      </c>
      <c r="Y68">
        <v>-76.180000000000007</v>
      </c>
      <c r="Z68" t="s">
        <v>2749</v>
      </c>
      <c r="AA68" t="s">
        <v>2750</v>
      </c>
      <c r="AB68" t="s">
        <v>74</v>
      </c>
      <c r="AC68" t="s">
        <v>2751</v>
      </c>
      <c r="AD68" t="s">
        <v>5</v>
      </c>
      <c r="AE68">
        <v>6265862</v>
      </c>
      <c r="AF68" t="s">
        <v>2752</v>
      </c>
      <c r="AG68" t="s">
        <v>2753</v>
      </c>
      <c r="AH68" t="s">
        <v>2754</v>
      </c>
      <c r="AI68" t="s">
        <v>1151</v>
      </c>
      <c r="AJ68" t="s">
        <v>2755</v>
      </c>
      <c r="AK68" t="s">
        <v>2756</v>
      </c>
      <c r="AL68" t="s">
        <v>2757</v>
      </c>
      <c r="AM68" t="s">
        <v>5</v>
      </c>
      <c r="AN68" t="s">
        <v>170</v>
      </c>
      <c r="AO68" t="s">
        <v>73</v>
      </c>
      <c r="AP68" t="s">
        <v>5</v>
      </c>
      <c r="AQ68" t="s">
        <v>1198</v>
      </c>
      <c r="AR68" t="s">
        <v>5</v>
      </c>
      <c r="AS68" t="s">
        <v>2758</v>
      </c>
      <c r="AT68" t="s">
        <v>2759</v>
      </c>
      <c r="AU68" t="s">
        <v>2760</v>
      </c>
      <c r="AV68" t="s">
        <v>777</v>
      </c>
      <c r="AW68" t="s">
        <v>2761</v>
      </c>
      <c r="AX68" t="s">
        <v>994</v>
      </c>
      <c r="AY68" t="s">
        <v>687</v>
      </c>
      <c r="AZ68" t="s">
        <v>582</v>
      </c>
      <c r="BA68" t="s">
        <v>584</v>
      </c>
      <c r="BB68" t="s">
        <v>585</v>
      </c>
      <c r="BC68" t="s">
        <v>995</v>
      </c>
      <c r="BD68" t="s">
        <v>688</v>
      </c>
      <c r="BE68" t="s">
        <v>583</v>
      </c>
      <c r="BF68" t="s">
        <v>586</v>
      </c>
      <c r="BG68" t="s">
        <v>101</v>
      </c>
      <c r="BH68" t="s">
        <v>2762</v>
      </c>
      <c r="BI68" t="s">
        <v>1216</v>
      </c>
      <c r="BJ68" t="s">
        <v>994</v>
      </c>
      <c r="BK68" t="s">
        <v>2763</v>
      </c>
      <c r="BL68" t="s">
        <v>1217</v>
      </c>
      <c r="BM68" t="s">
        <v>995</v>
      </c>
      <c r="BN68" t="s">
        <v>5</v>
      </c>
      <c r="BO68" t="s">
        <v>5</v>
      </c>
      <c r="BP68">
        <v>3.89</v>
      </c>
      <c r="BQ68">
        <v>-27.74</v>
      </c>
      <c r="BR68">
        <v>-36.14</v>
      </c>
      <c r="BS68">
        <v>3.32</v>
      </c>
      <c r="BT68" t="s">
        <v>873</v>
      </c>
      <c r="BU68" t="s">
        <v>1296</v>
      </c>
      <c r="BV68">
        <v>56.51</v>
      </c>
      <c r="BW68">
        <v>52.06</v>
      </c>
      <c r="BX68">
        <v>57.63</v>
      </c>
      <c r="BY68">
        <v>-14.54</v>
      </c>
      <c r="BZ68">
        <v>-37.49</v>
      </c>
      <c r="CA68">
        <v>2.4300000000000002</v>
      </c>
      <c r="CB68">
        <v>-5.49</v>
      </c>
      <c r="CC68">
        <v>-13.71</v>
      </c>
      <c r="CD68" t="s">
        <v>979</v>
      </c>
      <c r="CE68" t="s">
        <v>2764</v>
      </c>
      <c r="CF68" s="11">
        <v>-0.75062034739454098</v>
      </c>
      <c r="CG68" s="12">
        <v>0.16810415300546447</v>
      </c>
      <c r="CH68" s="11">
        <v>-0.8725428581237793</v>
      </c>
      <c r="CI68" s="11">
        <v>-0.39647915959358215</v>
      </c>
      <c r="CJ68" s="11">
        <v>0.11002552509307861</v>
      </c>
      <c r="CK68" s="11">
        <v>-7.5775496661663055E-2</v>
      </c>
      <c r="CL68" s="11">
        <v>3.7897281348705292E-2</v>
      </c>
      <c r="CM68" s="12">
        <v>0.73927956819534302</v>
      </c>
      <c r="CN68" s="12">
        <v>-10.234078407287598</v>
      </c>
      <c r="CO68" s="12">
        <v>-0.25709596276283264</v>
      </c>
      <c r="CP68" s="12">
        <v>-6.7214146256446838E-2</v>
      </c>
      <c r="CQ68" s="12">
        <v>-0.71705341339111328</v>
      </c>
      <c r="CR68">
        <v>-89.618710885909863</v>
      </c>
      <c r="CS68">
        <v>-3.7438635093377339</v>
      </c>
      <c r="CT68">
        <v>0</v>
      </c>
      <c r="CU68" s="11">
        <v>-0.23937494158744813</v>
      </c>
      <c r="CV68" s="12">
        <v>-2.1072324723005296</v>
      </c>
      <c r="CW68">
        <v>0.06</v>
      </c>
      <c r="CX68" t="e">
        <v>#VALUE!</v>
      </c>
      <c r="CY68" t="s">
        <v>740</v>
      </c>
      <c r="CZ68">
        <v>-0.23937494158744813</v>
      </c>
      <c r="DA68" t="e">
        <v>#VALUE!</v>
      </c>
      <c r="DB68" t="s">
        <v>741</v>
      </c>
      <c r="DC68">
        <v>-0.2274061945080757</v>
      </c>
      <c r="DD68" t="e">
        <v>#VALUE!</v>
      </c>
      <c r="DE68" t="s">
        <v>741</v>
      </c>
      <c r="DF68">
        <v>-0.21064994859695435</v>
      </c>
      <c r="DG68" t="e">
        <v>#VALUE!</v>
      </c>
      <c r="DH68" t="s">
        <v>741</v>
      </c>
      <c r="DI68">
        <v>-0.1914999532699585</v>
      </c>
      <c r="DJ68" t="e">
        <v>#VALUE!</v>
      </c>
      <c r="DK68" t="s">
        <v>741</v>
      </c>
      <c r="DL68">
        <v>-0.16756245911121367</v>
      </c>
      <c r="DM68">
        <v>-152000000</v>
      </c>
      <c r="DN68">
        <v>-0.23937494158744813</v>
      </c>
      <c r="DO68">
        <v>3589514700</v>
      </c>
      <c r="DP68">
        <v>1071350800</v>
      </c>
      <c r="DQ68">
        <v>4237</v>
      </c>
      <c r="DR68">
        <v>-0.51124540580709288</v>
      </c>
      <c r="DS68">
        <v>2.2753366253059939</v>
      </c>
      <c r="DT68" s="13">
        <v>-0.92333333333333334</v>
      </c>
      <c r="DU68">
        <v>-2.0316666666666667</v>
      </c>
      <c r="DV68">
        <v>-2.9550000000000001</v>
      </c>
      <c r="DW68">
        <v>-8.4004376367614881</v>
      </c>
      <c r="DX68">
        <v>0.3571686746987966</v>
      </c>
      <c r="DY68">
        <v>-8.0669406290369352</v>
      </c>
      <c r="DZ68">
        <v>1176</v>
      </c>
      <c r="EA68">
        <v>-8.0515351144092566</v>
      </c>
      <c r="EB68">
        <v>8</v>
      </c>
      <c r="EC68">
        <v>0.22067299179078581</v>
      </c>
      <c r="ED68">
        <v>1.3200618608025383</v>
      </c>
      <c r="EE68" s="14">
        <v>1.0069999999999999</v>
      </c>
      <c r="EF68">
        <v>1.0175099999999999</v>
      </c>
      <c r="EG68">
        <v>19.167168674698797</v>
      </c>
      <c r="EH68" t="s">
        <v>714</v>
      </c>
      <c r="EI68">
        <v>0</v>
      </c>
      <c r="EJ68">
        <v>1</v>
      </c>
      <c r="EK68" s="10">
        <v>45470</v>
      </c>
      <c r="EL68" s="15">
        <v>-0.41</v>
      </c>
      <c r="EM68" s="15">
        <v>-1.21</v>
      </c>
      <c r="EN68" s="15">
        <v>0.14000000000000001</v>
      </c>
      <c r="EO68" s="15">
        <v>0.72</v>
      </c>
      <c r="EP68" s="15">
        <v>-2.4500000000000002</v>
      </c>
    </row>
    <row r="69" spans="1:146" ht="108" x14ac:dyDescent="0.25">
      <c r="A69" s="7"/>
      <c r="B69" s="7"/>
      <c r="C69" s="7" t="str">
        <f>""&amp;CHAR(10)&amp;Basic_Fundamental_Information_Constructure(F69)&amp;CHAR(10)&amp;Basic_Fundamental_Information_Concatenate("")</f>
        <v xml:space="preserve">
市值57.362644亿, 利润3430.32万; PE36.19; 平均PE39.64; 平均PEG3.29, PB3.84; ROIC10.3867%; ROE11.1467%; 股利率1.7743%; 毛利41.31%; 净利27.1033%; 上一年度营收增-75.21%, 利润增-78.01%; 当季营收增-50.34%, 利润增-54.49%; 过往5年营收增-12.04%, 利润增-20.11%
Income profile:
</v>
      </c>
      <c r="D69" t="s">
        <v>587</v>
      </c>
      <c r="E69" t="s">
        <v>588</v>
      </c>
      <c r="F69">
        <v>14.09</v>
      </c>
      <c r="G69">
        <v>1.51</v>
      </c>
      <c r="H69" t="s">
        <v>2765</v>
      </c>
      <c r="I69">
        <v>5736264400</v>
      </c>
      <c r="J69">
        <v>36.19</v>
      </c>
      <c r="K69">
        <v>3.84</v>
      </c>
      <c r="L69" t="s">
        <v>303</v>
      </c>
      <c r="M69" t="s">
        <v>891</v>
      </c>
      <c r="N69" t="s">
        <v>2766</v>
      </c>
      <c r="O69" t="s">
        <v>618</v>
      </c>
      <c r="P69">
        <v>10.81</v>
      </c>
      <c r="Q69" t="s">
        <v>618</v>
      </c>
      <c r="R69">
        <v>34303243</v>
      </c>
      <c r="S69" s="5">
        <v>0.14399999999999999</v>
      </c>
      <c r="T69" t="s">
        <v>2767</v>
      </c>
      <c r="U69">
        <v>406670250</v>
      </c>
      <c r="V69">
        <v>407116000</v>
      </c>
      <c r="W69">
        <v>1.1100000000000001</v>
      </c>
      <c r="X69">
        <v>0.09</v>
      </c>
      <c r="Y69">
        <v>23.75</v>
      </c>
      <c r="Z69" t="s">
        <v>147</v>
      </c>
      <c r="AA69" t="s">
        <v>2768</v>
      </c>
      <c r="AB69" t="s">
        <v>2769</v>
      </c>
      <c r="AC69" t="s">
        <v>2770</v>
      </c>
      <c r="AD69" t="s">
        <v>5</v>
      </c>
      <c r="AE69">
        <v>-5066420</v>
      </c>
      <c r="AF69" t="s">
        <v>2771</v>
      </c>
      <c r="AG69" t="s">
        <v>2772</v>
      </c>
      <c r="AH69" t="s">
        <v>2773</v>
      </c>
      <c r="AI69" t="s">
        <v>76</v>
      </c>
      <c r="AJ69" t="s">
        <v>2774</v>
      </c>
      <c r="AK69" t="s">
        <v>5</v>
      </c>
      <c r="AL69" t="s">
        <v>2775</v>
      </c>
      <c r="AM69" t="s">
        <v>5</v>
      </c>
      <c r="AN69" t="s">
        <v>2776</v>
      </c>
      <c r="AO69" t="s">
        <v>5</v>
      </c>
      <c r="AP69" t="s">
        <v>5</v>
      </c>
      <c r="AQ69" t="s">
        <v>2777</v>
      </c>
      <c r="AR69" t="s">
        <v>5</v>
      </c>
      <c r="AS69" t="s">
        <v>137</v>
      </c>
      <c r="AT69" t="s">
        <v>2778</v>
      </c>
      <c r="AU69" t="s">
        <v>2779</v>
      </c>
      <c r="AV69" t="s">
        <v>2219</v>
      </c>
      <c r="AW69" t="s">
        <v>2780</v>
      </c>
      <c r="AX69" t="s">
        <v>247</v>
      </c>
      <c r="AY69" t="s">
        <v>495</v>
      </c>
      <c r="AZ69" t="s">
        <v>198</v>
      </c>
      <c r="BA69" t="s">
        <v>83</v>
      </c>
      <c r="BB69" t="s">
        <v>185</v>
      </c>
      <c r="BC69" t="s">
        <v>140</v>
      </c>
      <c r="BD69" t="s">
        <v>92</v>
      </c>
      <c r="BE69" t="s">
        <v>27</v>
      </c>
      <c r="BF69" t="s">
        <v>39</v>
      </c>
      <c r="BG69" t="s">
        <v>52</v>
      </c>
      <c r="BH69" t="s">
        <v>2781</v>
      </c>
      <c r="BI69" t="s">
        <v>64</v>
      </c>
      <c r="BJ69" t="s">
        <v>247</v>
      </c>
      <c r="BK69" t="s">
        <v>86</v>
      </c>
      <c r="BL69" t="s">
        <v>1219</v>
      </c>
      <c r="BM69" t="s">
        <v>140</v>
      </c>
      <c r="BN69">
        <v>7.56</v>
      </c>
      <c r="BO69">
        <v>11.7</v>
      </c>
      <c r="BP69">
        <v>11.9</v>
      </c>
      <c r="BQ69">
        <v>8.6</v>
      </c>
      <c r="BR69">
        <v>12.33</v>
      </c>
      <c r="BS69">
        <v>12.51</v>
      </c>
      <c r="BT69" t="s">
        <v>870</v>
      </c>
      <c r="BU69" t="s">
        <v>1547</v>
      </c>
      <c r="BV69">
        <v>40.4</v>
      </c>
      <c r="BW69">
        <v>40.99</v>
      </c>
      <c r="BX69">
        <v>42.54</v>
      </c>
      <c r="BY69">
        <v>25.56</v>
      </c>
      <c r="BZ69">
        <v>26.64</v>
      </c>
      <c r="CA69">
        <v>29.11</v>
      </c>
      <c r="CB69">
        <v>-5.37</v>
      </c>
      <c r="CC69">
        <v>-17.36</v>
      </c>
      <c r="CD69" t="s">
        <v>2782</v>
      </c>
      <c r="CE69" t="s">
        <v>2783</v>
      </c>
      <c r="CF69" s="11">
        <v>-0.50342465753424659</v>
      </c>
      <c r="CG69" s="12">
        <v>-0.54491462981044769</v>
      </c>
      <c r="CH69" s="11">
        <v>-0.75213676691055298</v>
      </c>
      <c r="CI69" s="11">
        <v>0.16766467690467834</v>
      </c>
      <c r="CJ69" s="11">
        <v>0.20143884420394897</v>
      </c>
      <c r="CK69" s="11">
        <v>-0.10322580486536026</v>
      </c>
      <c r="CL69" s="11">
        <v>-0.11596958339214325</v>
      </c>
      <c r="CM69" s="12">
        <v>-0.78010767698287964</v>
      </c>
      <c r="CN69" s="12">
        <v>6.8493150174617767E-2</v>
      </c>
      <c r="CO69" s="12">
        <v>-3.3112581819295883E-2</v>
      </c>
      <c r="CP69" s="12">
        <v>-0.16574585437774658</v>
      </c>
      <c r="CQ69" s="12">
        <v>-9.4999998807907104E-2</v>
      </c>
      <c r="CR69">
        <v>39.637751421392899</v>
      </c>
      <c r="CS69">
        <v>3.2909221830094317</v>
      </c>
      <c r="CT69">
        <v>1.7743080198722498</v>
      </c>
      <c r="CU69" s="11">
        <v>-0.12044572681188584</v>
      </c>
      <c r="CV69" s="12">
        <v>-0.20109459236264229</v>
      </c>
      <c r="CW69">
        <v>0.06</v>
      </c>
      <c r="CX69">
        <v>128.9752676135171</v>
      </c>
      <c r="CY69" t="s">
        <v>2784</v>
      </c>
      <c r="CZ69">
        <v>-0.12044572681188584</v>
      </c>
      <c r="DA69">
        <v>42.991755871172366</v>
      </c>
      <c r="DB69" t="s">
        <v>2785</v>
      </c>
      <c r="DC69">
        <v>-0.11442344047129155</v>
      </c>
      <c r="DD69">
        <v>21.495877935586183</v>
      </c>
      <c r="DE69" t="s">
        <v>2786</v>
      </c>
      <c r="DF69">
        <v>-0.10599223959445954</v>
      </c>
      <c r="DG69">
        <v>12.897526761351711</v>
      </c>
      <c r="DH69" t="s">
        <v>2787</v>
      </c>
      <c r="DI69">
        <v>-9.6356581449508677E-2</v>
      </c>
      <c r="DJ69">
        <v>6.4487633806758557</v>
      </c>
      <c r="DK69" t="s">
        <v>2788</v>
      </c>
      <c r="DL69">
        <v>-8.4312008768320082E-2</v>
      </c>
      <c r="DM69">
        <v>34303200</v>
      </c>
      <c r="DN69">
        <v>-0.12044572681188584</v>
      </c>
      <c r="DO69">
        <v>4424264400</v>
      </c>
      <c r="DP69">
        <v>757408450</v>
      </c>
      <c r="DQ69">
        <v>4462</v>
      </c>
      <c r="DR69">
        <v>-0.38297893072236078</v>
      </c>
      <c r="DS69">
        <v>-0.34382003744780543</v>
      </c>
      <c r="DT69" s="13">
        <v>-0.49</v>
      </c>
      <c r="DU69">
        <v>-0.67</v>
      </c>
      <c r="DV69">
        <v>-1.1600000000000001</v>
      </c>
      <c r="DW69">
        <v>-8.3093317972350231</v>
      </c>
      <c r="DX69">
        <v>0.32657257880506063</v>
      </c>
      <c r="DY69">
        <v>-8.0329662873377412</v>
      </c>
      <c r="DZ69">
        <v>1613</v>
      </c>
      <c r="EA69">
        <v>-8.0225602948767278</v>
      </c>
      <c r="EB69">
        <v>8</v>
      </c>
      <c r="EC69">
        <v>1.76220045392468E-2</v>
      </c>
      <c r="ED69">
        <v>0.16535213550928973</v>
      </c>
      <c r="EE69" s="14">
        <v>-6.0654000000000003</v>
      </c>
      <c r="EF69">
        <v>-6.0480999999999998</v>
      </c>
      <c r="EG69">
        <v>22.106572578805061</v>
      </c>
      <c r="EH69" t="s">
        <v>2100</v>
      </c>
      <c r="EI69">
        <v>0</v>
      </c>
      <c r="EJ69">
        <v>0</v>
      </c>
      <c r="EK69" s="10">
        <v>45470</v>
      </c>
      <c r="EL69" s="15">
        <v>1.1399999999999999</v>
      </c>
      <c r="EM69" s="15">
        <v>-4.09</v>
      </c>
      <c r="EN69" s="15">
        <v>1.17</v>
      </c>
      <c r="EO69" s="15">
        <v>3.48</v>
      </c>
      <c r="EP69" s="15">
        <v>-1.73</v>
      </c>
    </row>
    <row r="70" spans="1:146" ht="108" x14ac:dyDescent="0.25">
      <c r="A70" s="7"/>
      <c r="B70" s="7"/>
      <c r="C70" s="7" t="str">
        <f>""&amp;CHAR(10)&amp;Basic_Fundamental_Information_Constructure(F70)&amp;CHAR(10)&amp;Basic_Fundamental_Information_Concatenate("")</f>
        <v xml:space="preserve">
市值17.611807亿, 利润334.33万; PE; 平均PE41.68; 平均PEG12.22, PB1.84; ROIC2.3333%; ROE2.5733%; 股利率0%; 毛利33.0367%; 净利6.6333%; 上一年度营收增-80.36%, 利润增-80.05%; 当季营收增-48.77%, 利润增-49.31%; 过往5年营收增-3.41%, 利润增-21.09%
Income profile:
</v>
      </c>
      <c r="D70" t="s">
        <v>589</v>
      </c>
      <c r="E70" t="s">
        <v>590</v>
      </c>
      <c r="F70">
        <v>29.26</v>
      </c>
      <c r="G70">
        <v>1.81</v>
      </c>
      <c r="H70" t="s">
        <v>2789</v>
      </c>
      <c r="I70">
        <v>1761180700</v>
      </c>
      <c r="K70">
        <v>1.84</v>
      </c>
      <c r="L70" t="s">
        <v>303</v>
      </c>
      <c r="M70" t="s">
        <v>36</v>
      </c>
      <c r="N70" t="s">
        <v>2790</v>
      </c>
      <c r="O70" t="s">
        <v>2791</v>
      </c>
      <c r="P70">
        <v>17.329999999999998</v>
      </c>
      <c r="Q70" t="s">
        <v>2791</v>
      </c>
      <c r="R70">
        <v>3343261</v>
      </c>
      <c r="S70" s="5">
        <v>-0.2051</v>
      </c>
      <c r="T70" t="s">
        <v>2792</v>
      </c>
      <c r="U70">
        <v>60190728</v>
      </c>
      <c r="V70">
        <v>60190728</v>
      </c>
      <c r="W70">
        <v>1.1000000000000001</v>
      </c>
      <c r="X70">
        <v>0.05</v>
      </c>
      <c r="Y70">
        <v>5.08</v>
      </c>
      <c r="Z70" t="s">
        <v>2793</v>
      </c>
      <c r="AA70" t="s">
        <v>2794</v>
      </c>
      <c r="AB70" t="s">
        <v>2795</v>
      </c>
      <c r="AC70" t="s">
        <v>2796</v>
      </c>
      <c r="AD70" t="s">
        <v>5</v>
      </c>
      <c r="AE70">
        <v>7064</v>
      </c>
      <c r="AF70" t="s">
        <v>2797</v>
      </c>
      <c r="AG70" t="s">
        <v>5</v>
      </c>
      <c r="AH70" t="s">
        <v>2798</v>
      </c>
      <c r="AI70" t="s">
        <v>2799</v>
      </c>
      <c r="AJ70" t="s">
        <v>2800</v>
      </c>
      <c r="AK70" t="s">
        <v>2801</v>
      </c>
      <c r="AL70" t="s">
        <v>2802</v>
      </c>
      <c r="AM70" t="s">
        <v>5</v>
      </c>
      <c r="AN70" t="s">
        <v>2803</v>
      </c>
      <c r="AO70" t="s">
        <v>1103</v>
      </c>
      <c r="AP70" t="s">
        <v>2804</v>
      </c>
      <c r="AQ70" t="s">
        <v>2805</v>
      </c>
      <c r="AR70" t="s">
        <v>2806</v>
      </c>
      <c r="AS70" t="s">
        <v>2807</v>
      </c>
      <c r="AT70" t="s">
        <v>5</v>
      </c>
      <c r="AU70" t="s">
        <v>2808</v>
      </c>
      <c r="AV70" t="s">
        <v>2809</v>
      </c>
      <c r="AW70" t="s">
        <v>2810</v>
      </c>
      <c r="AX70" t="s">
        <v>774</v>
      </c>
      <c r="AY70" t="s">
        <v>146</v>
      </c>
      <c r="AZ70" t="s">
        <v>129</v>
      </c>
      <c r="BA70" t="s">
        <v>117</v>
      </c>
      <c r="BB70" t="s">
        <v>42</v>
      </c>
      <c r="BC70" t="s">
        <v>996</v>
      </c>
      <c r="BD70" t="s">
        <v>689</v>
      </c>
      <c r="BE70" t="s">
        <v>591</v>
      </c>
      <c r="BF70" t="s">
        <v>592</v>
      </c>
      <c r="BG70" t="s">
        <v>593</v>
      </c>
      <c r="BH70" t="s">
        <v>651</v>
      </c>
      <c r="BI70" t="s">
        <v>98</v>
      </c>
      <c r="BJ70" t="s">
        <v>774</v>
      </c>
      <c r="BK70" t="s">
        <v>2811</v>
      </c>
      <c r="BL70" t="s">
        <v>1220</v>
      </c>
      <c r="BM70" t="s">
        <v>996</v>
      </c>
      <c r="BN70">
        <v>0.17</v>
      </c>
      <c r="BO70">
        <v>1.36</v>
      </c>
      <c r="BP70">
        <v>5.47</v>
      </c>
      <c r="BQ70">
        <v>0.44</v>
      </c>
      <c r="BR70">
        <v>1.74</v>
      </c>
      <c r="BS70">
        <v>5.54</v>
      </c>
      <c r="BT70" t="s">
        <v>873</v>
      </c>
      <c r="BU70" t="s">
        <v>1296</v>
      </c>
      <c r="BV70">
        <v>28.78</v>
      </c>
      <c r="BW70">
        <v>33.19</v>
      </c>
      <c r="BX70">
        <v>37.14</v>
      </c>
      <c r="BY70">
        <v>-2.93</v>
      </c>
      <c r="BZ70">
        <v>5.72</v>
      </c>
      <c r="CA70">
        <v>17.11</v>
      </c>
      <c r="CB70">
        <v>-8.68</v>
      </c>
      <c r="CC70">
        <v>-4.5</v>
      </c>
      <c r="CD70" t="s">
        <v>2812</v>
      </c>
      <c r="CE70" t="s">
        <v>2813</v>
      </c>
      <c r="CF70" s="11">
        <v>-0.48770882352941175</v>
      </c>
      <c r="CG70" s="12">
        <v>-0.49307663148956815</v>
      </c>
      <c r="CH70" s="11">
        <v>-0.80355751514434814</v>
      </c>
      <c r="CI70" s="11">
        <v>-0.13915857672691345</v>
      </c>
      <c r="CJ70" s="11">
        <v>0.17490494251251221</v>
      </c>
      <c r="CK70" s="11">
        <v>4.780876636505127E-2</v>
      </c>
      <c r="CL70" s="11">
        <v>0.54938268661499023</v>
      </c>
      <c r="CM70" s="12">
        <v>-0.80048340559005737</v>
      </c>
      <c r="CN70" s="12">
        <v>-0.68081659078598022</v>
      </c>
      <c r="CO70" s="12">
        <v>-0.29229417443275452</v>
      </c>
      <c r="CP70" s="12">
        <v>0.13349458575248718</v>
      </c>
      <c r="CQ70" s="12">
        <v>0.58567643165588379</v>
      </c>
      <c r="CR70">
        <v>41.684404981260514</v>
      </c>
      <c r="CS70">
        <v>12.21558995414507</v>
      </c>
      <c r="CT70">
        <v>0</v>
      </c>
      <c r="CU70" s="11">
        <v>-3.4123939275741574E-2</v>
      </c>
      <c r="CV70" s="12">
        <v>-0.21088463068008423</v>
      </c>
      <c r="CW70">
        <v>0.06</v>
      </c>
      <c r="CX70">
        <v>270.44557772260936</v>
      </c>
      <c r="CY70" t="s">
        <v>2814</v>
      </c>
      <c r="CZ70">
        <v>-3.4123939275741574E-2</v>
      </c>
      <c r="DA70">
        <v>90.148525907536452</v>
      </c>
      <c r="DB70" t="s">
        <v>2815</v>
      </c>
      <c r="DC70">
        <v>-3.2417742311954496E-2</v>
      </c>
      <c r="DD70">
        <v>45.074262953768226</v>
      </c>
      <c r="DE70" t="s">
        <v>2816</v>
      </c>
      <c r="DF70">
        <v>-3.0029066562652584E-2</v>
      </c>
      <c r="DG70">
        <v>27.044557772260937</v>
      </c>
      <c r="DH70" t="s">
        <v>2817</v>
      </c>
      <c r="DI70">
        <v>-2.7299151420593262E-2</v>
      </c>
      <c r="DJ70">
        <v>13.522278886130469</v>
      </c>
      <c r="DK70" t="s">
        <v>2818</v>
      </c>
      <c r="DL70">
        <v>-2.3886757493019099E-2</v>
      </c>
      <c r="DM70">
        <v>3343300</v>
      </c>
      <c r="DN70">
        <v>-3.4123939275741574E-2</v>
      </c>
      <c r="DO70">
        <v>904180699.99999988</v>
      </c>
      <c r="DP70">
        <v>744598780</v>
      </c>
      <c r="DQ70">
        <v>4591</v>
      </c>
      <c r="DR70">
        <v>-0.45358488425367016</v>
      </c>
      <c r="DS70">
        <v>-0.28219200080948392</v>
      </c>
      <c r="DT70" s="13">
        <v>-0.54</v>
      </c>
      <c r="DU70">
        <v>-0.88666666666666671</v>
      </c>
      <c r="DV70">
        <v>-1.4266666666666667</v>
      </c>
      <c r="DW70">
        <v>-5.5184331797235027</v>
      </c>
      <c r="DX70">
        <v>0.35282951121375433</v>
      </c>
      <c r="DY70">
        <v>-5.084416221251371</v>
      </c>
      <c r="DZ70">
        <v>2116</v>
      </c>
      <c r="EA70">
        <v>-5.0494603065414099</v>
      </c>
      <c r="EB70">
        <v>5</v>
      </c>
      <c r="EC70">
        <v>5.9972692139560101E-2</v>
      </c>
      <c r="ED70">
        <v>0.36831586419755546</v>
      </c>
      <c r="EE70" s="14">
        <v>-2.0536099999999999</v>
      </c>
      <c r="EF70">
        <v>-2.1170100000000001</v>
      </c>
      <c r="EG70">
        <v>19.162829511213754</v>
      </c>
      <c r="EH70" t="s">
        <v>1075</v>
      </c>
      <c r="EI70">
        <v>0</v>
      </c>
      <c r="EJ70">
        <v>0</v>
      </c>
      <c r="EK70" s="10">
        <v>45470</v>
      </c>
      <c r="EL70" s="15">
        <v>-1.89</v>
      </c>
      <c r="EM70" s="15">
        <v>1.45</v>
      </c>
      <c r="EN70">
        <v>-10.43</v>
      </c>
      <c r="EO70">
        <v>2.2200000000000002</v>
      </c>
      <c r="EP70">
        <v>-6.34</v>
      </c>
    </row>
    <row r="71" spans="1:146" ht="96" x14ac:dyDescent="0.25">
      <c r="A71" s="7"/>
      <c r="B71" s="7"/>
      <c r="C71" s="7" t="str">
        <f>""&amp;CHAR(10)&amp;Basic_Fundamental_Information_Constructure(F71)&amp;CHAR(10)&amp;Basic_Fundamental_Information_Concatenate("")</f>
        <v xml:space="preserve">
市值16.938054亿, 利润-1.06亿; PE; 平均PE54.5; 平均PEG23.58, PB2.27; ROIC4.775%; ROE3.9733%; 股利率0%; 毛利41.7333%; 净利3.8967%; 上一年度营收增-40.89%, 利润增-458.44%; 当季营收增105.08%, 利润增55.67%; 过往5年营收增2.31%, 利润增-91.34%
Income profile:
</v>
      </c>
      <c r="D71" t="s">
        <v>594</v>
      </c>
      <c r="E71" t="s">
        <v>595</v>
      </c>
      <c r="F71">
        <v>16.88</v>
      </c>
      <c r="G71">
        <v>3.3</v>
      </c>
      <c r="H71" t="s">
        <v>1270</v>
      </c>
      <c r="I71">
        <v>1693805400</v>
      </c>
      <c r="K71">
        <v>2.27</v>
      </c>
      <c r="L71" t="s">
        <v>303</v>
      </c>
      <c r="M71" t="s">
        <v>122</v>
      </c>
      <c r="N71" t="s">
        <v>1187</v>
      </c>
      <c r="O71" t="s">
        <v>64</v>
      </c>
      <c r="P71">
        <v>62.7</v>
      </c>
      <c r="Q71" t="s">
        <v>177</v>
      </c>
      <c r="R71">
        <v>-35813457</v>
      </c>
      <c r="S71" s="5">
        <v>0.38640000000000002</v>
      </c>
      <c r="T71" t="s">
        <v>752</v>
      </c>
      <c r="U71">
        <v>100343920</v>
      </c>
      <c r="V71">
        <v>100343920</v>
      </c>
      <c r="W71">
        <v>1.3</v>
      </c>
      <c r="X71">
        <v>0.28999999999999998</v>
      </c>
      <c r="Y71">
        <v>-12.56</v>
      </c>
      <c r="Z71" t="s">
        <v>164</v>
      </c>
      <c r="AA71" t="s">
        <v>775</v>
      </c>
      <c r="AB71" t="s">
        <v>1223</v>
      </c>
      <c r="AC71" t="s">
        <v>1224</v>
      </c>
      <c r="AD71" t="s">
        <v>1225</v>
      </c>
      <c r="AE71">
        <v>-1321460</v>
      </c>
      <c r="AF71" t="s">
        <v>1226</v>
      </c>
      <c r="AG71" t="s">
        <v>1227</v>
      </c>
      <c r="AH71" t="s">
        <v>1228</v>
      </c>
      <c r="AI71" t="s">
        <v>749</v>
      </c>
      <c r="AJ71" t="s">
        <v>1229</v>
      </c>
      <c r="AK71" t="s">
        <v>1230</v>
      </c>
      <c r="AL71" t="s">
        <v>1231</v>
      </c>
      <c r="AM71" t="s">
        <v>5</v>
      </c>
      <c r="AN71" t="s">
        <v>1232</v>
      </c>
      <c r="AO71" t="s">
        <v>1233</v>
      </c>
      <c r="AP71" t="s">
        <v>1234</v>
      </c>
      <c r="AQ71" t="s">
        <v>1235</v>
      </c>
      <c r="AR71" t="s">
        <v>1236</v>
      </c>
      <c r="AS71" t="s">
        <v>1237</v>
      </c>
      <c r="AT71" t="s">
        <v>5</v>
      </c>
      <c r="AU71" t="s">
        <v>1238</v>
      </c>
      <c r="AV71" t="s">
        <v>1239</v>
      </c>
      <c r="AW71" t="s">
        <v>1240</v>
      </c>
      <c r="AX71" t="s">
        <v>58</v>
      </c>
      <c r="AY71" t="s">
        <v>97</v>
      </c>
      <c r="AZ71" t="s">
        <v>189</v>
      </c>
      <c r="BA71" t="s">
        <v>50</v>
      </c>
      <c r="BB71" t="s">
        <v>80</v>
      </c>
      <c r="BC71" t="s">
        <v>691</v>
      </c>
      <c r="BD71" t="s">
        <v>596</v>
      </c>
      <c r="BE71" t="s">
        <v>597</v>
      </c>
      <c r="BF71" t="s">
        <v>598</v>
      </c>
      <c r="BG71" t="s">
        <v>599</v>
      </c>
      <c r="BH71" t="s">
        <v>159</v>
      </c>
      <c r="BI71" t="s">
        <v>91</v>
      </c>
      <c r="BJ71" t="s">
        <v>137</v>
      </c>
      <c r="BK71" t="s">
        <v>1241</v>
      </c>
      <c r="BL71" t="s">
        <v>1242</v>
      </c>
      <c r="BM71" t="s">
        <v>1243</v>
      </c>
      <c r="BN71" t="s">
        <v>5</v>
      </c>
      <c r="BO71">
        <v>1.1100000000000001</v>
      </c>
      <c r="BP71">
        <v>8.44</v>
      </c>
      <c r="BQ71">
        <v>-1.38</v>
      </c>
      <c r="BR71">
        <v>3.24</v>
      </c>
      <c r="BS71">
        <v>10.06</v>
      </c>
      <c r="BT71" t="s">
        <v>873</v>
      </c>
      <c r="BU71" t="s">
        <v>303</v>
      </c>
      <c r="BV71">
        <v>36.19</v>
      </c>
      <c r="BW71">
        <v>41.8</v>
      </c>
      <c r="BX71">
        <v>47.21</v>
      </c>
      <c r="BY71">
        <v>-14.2</v>
      </c>
      <c r="BZ71">
        <v>6.53</v>
      </c>
      <c r="CA71">
        <v>19.36</v>
      </c>
      <c r="CB71">
        <v>8.5500000000000007</v>
      </c>
      <c r="CC71">
        <v>-25.01</v>
      </c>
      <c r="CD71" t="s">
        <v>1271</v>
      </c>
      <c r="CE71" t="s">
        <v>1272</v>
      </c>
      <c r="CF71" s="11">
        <v>1.0508474576271187</v>
      </c>
      <c r="CG71" s="12">
        <v>0.55669696256354051</v>
      </c>
      <c r="CH71" s="11">
        <v>-0.4088670015335083</v>
      </c>
      <c r="CI71" s="11">
        <v>-0.10964912176132202</v>
      </c>
      <c r="CJ71" s="11">
        <v>0.45686900615692139</v>
      </c>
      <c r="CK71" s="11">
        <v>0.26209676265716553</v>
      </c>
      <c r="CL71" s="11">
        <v>-8.4870845079421997E-2</v>
      </c>
      <c r="CM71" s="12">
        <v>-4.5843992233276367</v>
      </c>
      <c r="CN71" s="12">
        <v>-0.66511452198028564</v>
      </c>
      <c r="CO71" s="12">
        <v>0.26716530323028564</v>
      </c>
      <c r="CP71" s="12">
        <v>0.22006109356880188</v>
      </c>
      <c r="CQ71" s="12">
        <v>0.1950593888759613</v>
      </c>
      <c r="CR71">
        <v>54.49768797936958</v>
      </c>
      <c r="CS71">
        <v>23.575987885312394</v>
      </c>
      <c r="CT71">
        <v>0</v>
      </c>
      <c r="CU71" s="11">
        <v>2.3115760087966918E-2</v>
      </c>
      <c r="CV71" s="12">
        <v>-0.91344559192657471</v>
      </c>
      <c r="CW71">
        <v>0.06</v>
      </c>
      <c r="CX71" t="e">
        <v>#VALUE!</v>
      </c>
      <c r="CY71" t="s">
        <v>740</v>
      </c>
      <c r="CZ71">
        <v>2.3115760087966918E-2</v>
      </c>
      <c r="DA71" t="e">
        <v>#VALUE!</v>
      </c>
      <c r="DB71" t="s">
        <v>741</v>
      </c>
      <c r="DC71">
        <v>2.195997208356857E-2</v>
      </c>
      <c r="DD71" t="e">
        <v>#VALUE!</v>
      </c>
      <c r="DE71" t="s">
        <v>741</v>
      </c>
      <c r="DF71">
        <v>2.0341868877410886E-2</v>
      </c>
      <c r="DG71" t="e">
        <v>#VALUE!</v>
      </c>
      <c r="DH71" t="s">
        <v>741</v>
      </c>
      <c r="DI71">
        <v>1.8492608070373534E-2</v>
      </c>
      <c r="DJ71" t="e">
        <v>#VALUE!</v>
      </c>
      <c r="DK71" t="s">
        <v>741</v>
      </c>
      <c r="DL71">
        <v>1.6181032061576842E-2</v>
      </c>
      <c r="DM71">
        <v>-106000000</v>
      </c>
      <c r="DN71">
        <v>2.3115760087966918E-2</v>
      </c>
      <c r="DO71">
        <v>1143805400</v>
      </c>
      <c r="DP71">
        <v>424952670</v>
      </c>
      <c r="DQ71">
        <v>4795</v>
      </c>
      <c r="DR71">
        <v>1.0277316975391517</v>
      </c>
      <c r="DS71">
        <v>1.4701425544901152</v>
      </c>
      <c r="DT71" s="13">
        <v>-0.35666666666666669</v>
      </c>
      <c r="DU71">
        <v>-1.5983333333333334</v>
      </c>
      <c r="DV71">
        <v>-1.9550000000000001</v>
      </c>
      <c r="DW71">
        <v>7.2547675804529206</v>
      </c>
      <c r="DX71">
        <v>0.40391546944492901</v>
      </c>
      <c r="DY71">
        <v>7.0570464023764643</v>
      </c>
      <c r="DZ71">
        <v>4485</v>
      </c>
      <c r="EA71">
        <v>7.0070262431079513</v>
      </c>
      <c r="EB71">
        <v>7</v>
      </c>
      <c r="EC71">
        <v>0.12377730509232647</v>
      </c>
      <c r="ED71">
        <v>0.55278585887415999</v>
      </c>
      <c r="EE71" s="14">
        <v>-2.0814840000000001</v>
      </c>
      <c r="EF71">
        <v>-2.1145</v>
      </c>
      <c r="EG71">
        <v>18.223915469444929</v>
      </c>
      <c r="EH71" t="s">
        <v>1119</v>
      </c>
      <c r="EI71">
        <v>1</v>
      </c>
      <c r="EJ71">
        <v>0</v>
      </c>
      <c r="EK71" s="10">
        <v>45352</v>
      </c>
      <c r="EL71" s="15">
        <v>4.63</v>
      </c>
      <c r="EM71" s="15">
        <v>2.95</v>
      </c>
      <c r="EN71">
        <v>-11.52</v>
      </c>
      <c r="EO71">
        <v>0.1026</v>
      </c>
      <c r="EP71">
        <v>3.3</v>
      </c>
    </row>
    <row r="72" spans="1:146" ht="108" x14ac:dyDescent="0.25">
      <c r="C72" s="7" t="str">
        <f>""&amp;CHAR(10)&amp;Basic_Fundamental_Information_Constructure(F72)&amp;CHAR(10)&amp;Basic_Fundamental_Information_Concatenate("")</f>
        <v xml:space="preserve">
市值16.8344亿, 利润1108.79万; PE34.81; 平均PE61.26; 平均PEG5.82, PB1.98; ROIC7.5133%; ROE6.825%; 股利率1.5682%; 毛利32.63%; 净利9.6167%; 上一年度营收增-80.33%, 利润增-73.03%; 当季营收增-52.97%, 利润增53.71%; 过往5年营收增-10.53%, 利润增-1.46%
Income profile:
</v>
      </c>
      <c r="D72" t="s">
        <v>892</v>
      </c>
      <c r="E72" t="s">
        <v>893</v>
      </c>
      <c r="F72">
        <v>19.13</v>
      </c>
      <c r="G72">
        <v>0.68</v>
      </c>
      <c r="H72" t="s">
        <v>2819</v>
      </c>
      <c r="I72">
        <v>1683440000</v>
      </c>
      <c r="J72">
        <v>34.81</v>
      </c>
      <c r="K72">
        <v>1.98</v>
      </c>
      <c r="L72" t="s">
        <v>303</v>
      </c>
      <c r="M72" t="s">
        <v>2820</v>
      </c>
      <c r="N72" t="s">
        <v>2821</v>
      </c>
      <c r="O72" t="s">
        <v>2822</v>
      </c>
      <c r="P72" s="5">
        <v>18.04</v>
      </c>
      <c r="Q72" t="s">
        <v>2822</v>
      </c>
      <c r="R72">
        <v>11087868</v>
      </c>
      <c r="S72">
        <v>12.7</v>
      </c>
      <c r="T72" t="s">
        <v>2823</v>
      </c>
      <c r="U72">
        <v>57049322</v>
      </c>
      <c r="V72">
        <v>88000000</v>
      </c>
      <c r="W72">
        <v>1.19</v>
      </c>
      <c r="X72">
        <v>0.08</v>
      </c>
      <c r="Y72">
        <v>14.09</v>
      </c>
      <c r="Z72" t="s">
        <v>2824</v>
      </c>
      <c r="AA72" t="s">
        <v>2825</v>
      </c>
      <c r="AB72" t="s">
        <v>2826</v>
      </c>
      <c r="AC72" t="s">
        <v>2827</v>
      </c>
      <c r="AD72" t="s">
        <v>5</v>
      </c>
      <c r="AE72">
        <v>-3406793</v>
      </c>
      <c r="AF72" t="s">
        <v>21</v>
      </c>
      <c r="AG72">
        <v>116.85</v>
      </c>
      <c r="AH72" t="s">
        <v>2828</v>
      </c>
      <c r="AI72" t="s">
        <v>199</v>
      </c>
      <c r="AJ72" t="s">
        <v>2829</v>
      </c>
      <c r="AK72" t="s">
        <v>2830</v>
      </c>
      <c r="AL72" t="s">
        <v>2831</v>
      </c>
      <c r="AM72" t="s">
        <v>5</v>
      </c>
      <c r="AN72" t="s">
        <v>2832</v>
      </c>
      <c r="AO72" t="s">
        <v>5</v>
      </c>
      <c r="AP72" t="s">
        <v>2833</v>
      </c>
      <c r="AQ72" t="s">
        <v>2834</v>
      </c>
      <c r="AR72" t="s">
        <v>5</v>
      </c>
      <c r="AS72" t="s">
        <v>87</v>
      </c>
      <c r="AT72" t="s">
        <v>2835</v>
      </c>
      <c r="AU72" t="s">
        <v>2836</v>
      </c>
      <c r="AV72" t="s">
        <v>2837</v>
      </c>
      <c r="AW72" t="s">
        <v>2838</v>
      </c>
      <c r="AX72" t="s">
        <v>157</v>
      </c>
      <c r="AY72" t="s">
        <v>998</v>
      </c>
      <c r="AZ72" t="s">
        <v>214</v>
      </c>
      <c r="BA72" t="s">
        <v>259</v>
      </c>
      <c r="BB72" t="s">
        <v>5</v>
      </c>
      <c r="BC72" t="s">
        <v>997</v>
      </c>
      <c r="BD72" t="s">
        <v>999</v>
      </c>
      <c r="BE72" t="s">
        <v>1000</v>
      </c>
      <c r="BF72" t="s">
        <v>1001</v>
      </c>
      <c r="BG72" t="s">
        <v>5</v>
      </c>
      <c r="BH72" t="s">
        <v>2513</v>
      </c>
      <c r="BI72" t="s">
        <v>81</v>
      </c>
      <c r="BJ72" t="s">
        <v>157</v>
      </c>
      <c r="BK72" t="s">
        <v>2839</v>
      </c>
      <c r="BL72" t="s">
        <v>1244</v>
      </c>
      <c r="BM72" t="s">
        <v>997</v>
      </c>
      <c r="BN72">
        <v>0.95</v>
      </c>
      <c r="BO72">
        <v>10.81</v>
      </c>
      <c r="BP72">
        <v>10.78</v>
      </c>
      <c r="BQ72">
        <v>1.81</v>
      </c>
      <c r="BR72">
        <v>11.84</v>
      </c>
      <c r="BS72" t="s">
        <v>5</v>
      </c>
      <c r="BT72" t="s">
        <v>973</v>
      </c>
      <c r="BU72" t="s">
        <v>1547</v>
      </c>
      <c r="BV72">
        <v>33.619999999999997</v>
      </c>
      <c r="BW72">
        <v>32.72</v>
      </c>
      <c r="BX72">
        <v>31.55</v>
      </c>
      <c r="BY72">
        <v>9.65</v>
      </c>
      <c r="BZ72">
        <v>10.23</v>
      </c>
      <c r="CA72">
        <v>8.9700000000000006</v>
      </c>
      <c r="CB72">
        <v>-7.54</v>
      </c>
      <c r="CC72" s="11">
        <v>-8.73</v>
      </c>
      <c r="CD72" s="12" t="s">
        <v>2840</v>
      </c>
      <c r="CE72" s="11" t="s">
        <v>2841</v>
      </c>
      <c r="CF72" s="11">
        <v>-0.52968165680473378</v>
      </c>
      <c r="CG72" s="11">
        <v>0.53714222339289919</v>
      </c>
      <c r="CH72" s="11">
        <v>-0.80325788259506226</v>
      </c>
      <c r="CI72" s="11">
        <v>2.0202020183205605E-2</v>
      </c>
      <c r="CJ72" s="12">
        <v>0.185628741979599</v>
      </c>
      <c r="CK72" s="12">
        <v>0.17605634033679962</v>
      </c>
      <c r="CL72" s="12" t="s">
        <v>5</v>
      </c>
      <c r="CM72" s="12">
        <v>-0.7303205132484436</v>
      </c>
      <c r="CN72" s="12">
        <v>0.14366182684898376</v>
      </c>
      <c r="CO72">
        <v>0.34907931089401245</v>
      </c>
      <c r="CP72">
        <v>0.17934386432170868</v>
      </c>
      <c r="CQ72" t="s">
        <v>5</v>
      </c>
      <c r="CR72" s="11">
        <v>61.261801550541058</v>
      </c>
      <c r="CS72" s="12">
        <v>5.8154769570555134</v>
      </c>
      <c r="CT72">
        <v>1.5682174594877156</v>
      </c>
      <c r="CU72">
        <v>-0.10534269502386451</v>
      </c>
      <c r="CV72">
        <v>-1.4558877795934677E-2</v>
      </c>
      <c r="CW72">
        <v>0.06</v>
      </c>
      <c r="CX72">
        <v>90.76921689409177</v>
      </c>
      <c r="CY72" t="s">
        <v>2842</v>
      </c>
      <c r="CZ72">
        <v>-0.10534269502386451</v>
      </c>
      <c r="DA72">
        <v>30.256405631363922</v>
      </c>
      <c r="DB72" t="s">
        <v>2843</v>
      </c>
      <c r="DC72">
        <v>-0.10007556027267128</v>
      </c>
      <c r="DD72">
        <v>15.128202815681961</v>
      </c>
      <c r="DE72" t="s">
        <v>2844</v>
      </c>
      <c r="DF72">
        <v>-9.2701571621000761E-2</v>
      </c>
      <c r="DG72">
        <v>9.0769216894091773</v>
      </c>
      <c r="DH72" t="s">
        <v>2845</v>
      </c>
      <c r="DI72">
        <v>-8.4274156019091606E-2</v>
      </c>
      <c r="DJ72">
        <v>4.5384608447045887</v>
      </c>
      <c r="DK72" t="s">
        <v>2846</v>
      </c>
      <c r="DL72">
        <v>-7.3739886516705155E-2</v>
      </c>
      <c r="DM72">
        <v>11087900</v>
      </c>
      <c r="DN72">
        <v>-0.10534269502386451</v>
      </c>
      <c r="DO72">
        <v>1006440000.0000001</v>
      </c>
      <c r="DP72">
        <v>550339980</v>
      </c>
      <c r="DQ72" s="13">
        <v>4806</v>
      </c>
      <c r="DR72">
        <v>-0.42433896178086927</v>
      </c>
      <c r="DS72">
        <v>0.55170110118883386</v>
      </c>
      <c r="DT72">
        <v>-0.628</v>
      </c>
      <c r="DU72">
        <v>-0.1</v>
      </c>
      <c r="DV72">
        <v>-0.72799999999999998</v>
      </c>
      <c r="DW72">
        <v>-9.8636884306987405</v>
      </c>
      <c r="DX72">
        <v>0.29343183336951728</v>
      </c>
      <c r="DY72">
        <v>-9.1152435307681756</v>
      </c>
      <c r="DZ72">
        <v>1936</v>
      </c>
      <c r="EA72">
        <v>-9.0715817938665726</v>
      </c>
      <c r="EB72" s="14">
        <v>9</v>
      </c>
      <c r="EC72" s="14">
        <v>5.3775000000000003E-2</v>
      </c>
      <c r="ED72">
        <v>0.40301477272727271</v>
      </c>
      <c r="EE72">
        <v>-2.1041099999999999</v>
      </c>
      <c r="EF72">
        <v>-2.1432099999999998</v>
      </c>
      <c r="EG72">
        <v>16.133431833369517</v>
      </c>
      <c r="EH72" s="10" t="s">
        <v>1075</v>
      </c>
      <c r="EI72" s="15">
        <v>0</v>
      </c>
      <c r="EJ72" s="15">
        <v>0</v>
      </c>
      <c r="EK72" s="15">
        <v>45470</v>
      </c>
      <c r="EL72" s="15">
        <v>-1.36</v>
      </c>
      <c r="EM72" s="15">
        <v>-5.98</v>
      </c>
      <c r="EN72">
        <v>-3.18</v>
      </c>
      <c r="EO72">
        <v>3.28</v>
      </c>
      <c r="EP72">
        <v>-3.91</v>
      </c>
    </row>
    <row r="73" spans="1:146" ht="108" x14ac:dyDescent="0.25">
      <c r="C73" s="7" t="str">
        <f>""&amp;CHAR(10)&amp;Basic_Fundamental_Information_Constructure(F73)&amp;CHAR(10)&amp;Basic_Fundamental_Information_Concatenate("")</f>
        <v xml:space="preserve">
市值242.55亿, 利润1.25亿; PE40.63; 平均PE92.22; 平均PEG8.73, PB4.5; ROIC15.7267%; ROE22.3533%; 股利率1.6234%; 毛利38.1767%; 净利10%; 上一年度营收增-71.27%, 利润增-62.46%; 当季营收增-45.86%, 利润增-51.64%; 过往5年营收增10.57%, 利润增12.81%
Income profile:
</v>
      </c>
      <c r="D73" t="s">
        <v>895</v>
      </c>
      <c r="E73" t="s">
        <v>896</v>
      </c>
      <c r="F73">
        <v>30.8</v>
      </c>
      <c r="G73">
        <v>-0.68</v>
      </c>
      <c r="H73" t="s">
        <v>2847</v>
      </c>
      <c r="I73">
        <v>24255000000</v>
      </c>
      <c r="J73">
        <v>40.630000000000003</v>
      </c>
      <c r="K73">
        <v>4.5</v>
      </c>
      <c r="L73" t="s">
        <v>303</v>
      </c>
      <c r="M73" t="s">
        <v>2848</v>
      </c>
      <c r="N73" t="s">
        <v>2849</v>
      </c>
      <c r="O73" t="s">
        <v>415</v>
      </c>
      <c r="P73" s="5">
        <v>14.61</v>
      </c>
      <c r="Q73" t="s">
        <v>415</v>
      </c>
      <c r="R73">
        <v>125253301</v>
      </c>
      <c r="S73">
        <v>0.37380000000000002</v>
      </c>
      <c r="T73" t="s">
        <v>99</v>
      </c>
      <c r="U73">
        <v>404775000</v>
      </c>
      <c r="V73">
        <v>787500000</v>
      </c>
      <c r="W73">
        <v>1.47</v>
      </c>
      <c r="X73">
        <v>0.15</v>
      </c>
      <c r="Y73">
        <v>10.130000000000001</v>
      </c>
      <c r="Z73" t="s">
        <v>357</v>
      </c>
      <c r="AA73" t="s">
        <v>2850</v>
      </c>
      <c r="AB73" t="s">
        <v>891</v>
      </c>
      <c r="AC73" t="s">
        <v>2851</v>
      </c>
      <c r="AD73" t="s">
        <v>5</v>
      </c>
      <c r="AE73">
        <v>-44920895</v>
      </c>
      <c r="AF73" t="s">
        <v>21</v>
      </c>
      <c r="AG73" t="s">
        <v>2852</v>
      </c>
      <c r="AH73" t="s">
        <v>2853</v>
      </c>
      <c r="AI73" t="s">
        <v>2854</v>
      </c>
      <c r="AJ73" t="s">
        <v>2855</v>
      </c>
      <c r="AK73" t="s">
        <v>2856</v>
      </c>
      <c r="AL73" t="s">
        <v>2857</v>
      </c>
      <c r="AM73" t="s">
        <v>5</v>
      </c>
      <c r="AN73" t="s">
        <v>243</v>
      </c>
      <c r="AO73" t="s">
        <v>5</v>
      </c>
      <c r="AP73" t="s">
        <v>183</v>
      </c>
      <c r="AQ73" t="s">
        <v>2858</v>
      </c>
      <c r="AR73" t="s">
        <v>5</v>
      </c>
      <c r="AS73" t="s">
        <v>1058</v>
      </c>
      <c r="AT73" t="s">
        <v>933</v>
      </c>
      <c r="AU73" t="s">
        <v>1570</v>
      </c>
      <c r="AV73" t="s">
        <v>2859</v>
      </c>
      <c r="AW73" t="s">
        <v>2860</v>
      </c>
      <c r="AX73" t="s">
        <v>1002</v>
      </c>
      <c r="AY73" t="s">
        <v>897</v>
      </c>
      <c r="AZ73" t="s">
        <v>898</v>
      </c>
      <c r="BA73" t="s">
        <v>899</v>
      </c>
      <c r="BB73" t="s">
        <v>786</v>
      </c>
      <c r="BC73" t="s">
        <v>164</v>
      </c>
      <c r="BD73" t="s">
        <v>793</v>
      </c>
      <c r="BE73" t="s">
        <v>900</v>
      </c>
      <c r="BF73" t="s">
        <v>174</v>
      </c>
      <c r="BG73" t="s">
        <v>167</v>
      </c>
      <c r="BH73" t="s">
        <v>2861</v>
      </c>
      <c r="BI73" t="s">
        <v>1247</v>
      </c>
      <c r="BJ73" t="s">
        <v>1002</v>
      </c>
      <c r="BK73" t="s">
        <v>2862</v>
      </c>
      <c r="BL73" t="s">
        <v>119</v>
      </c>
      <c r="BM73" t="s">
        <v>164</v>
      </c>
      <c r="BN73">
        <v>6.59</v>
      </c>
      <c r="BO73">
        <v>8.73</v>
      </c>
      <c r="BP73">
        <v>31.86</v>
      </c>
      <c r="BQ73">
        <v>8.0500000000000007</v>
      </c>
      <c r="BR73">
        <v>20.22</v>
      </c>
      <c r="BS73">
        <v>38.79</v>
      </c>
      <c r="BT73" t="s">
        <v>2863</v>
      </c>
      <c r="BU73" t="s">
        <v>1547</v>
      </c>
      <c r="BV73">
        <v>42.85</v>
      </c>
      <c r="BW73">
        <v>36.42</v>
      </c>
      <c r="BX73">
        <v>35.26</v>
      </c>
      <c r="BY73">
        <v>11.63</v>
      </c>
      <c r="BZ73">
        <v>7.73</v>
      </c>
      <c r="CA73">
        <v>10.64</v>
      </c>
      <c r="CB73">
        <v>-9.6999999999999993</v>
      </c>
      <c r="CC73" s="11">
        <v>-21.17</v>
      </c>
      <c r="CD73" s="12" t="s">
        <v>2864</v>
      </c>
      <c r="CE73" s="11" t="s">
        <v>172</v>
      </c>
      <c r="CF73" s="11">
        <v>-0.45864332603938729</v>
      </c>
      <c r="CG73" s="11">
        <v>-0.51639652123552127</v>
      </c>
      <c r="CH73" s="11">
        <v>-0.7127264142036438</v>
      </c>
      <c r="CI73" s="11">
        <v>1.6045244410634041E-2</v>
      </c>
      <c r="CJ73" s="12">
        <v>0.37642091512680054</v>
      </c>
      <c r="CK73" s="12">
        <v>0.30245348811149597</v>
      </c>
      <c r="CL73" s="12">
        <v>0.54610860347747803</v>
      </c>
      <c r="CM73" s="12">
        <v>-0.62462460994720459</v>
      </c>
      <c r="CN73" s="12">
        <v>-0.26164078712463379</v>
      </c>
      <c r="CO73">
        <v>0.38343557715415955</v>
      </c>
      <c r="CP73">
        <v>0.54502367973327637</v>
      </c>
      <c r="CQ73">
        <v>0.59848487377166748</v>
      </c>
      <c r="CR73" s="11">
        <v>92.224334600760457</v>
      </c>
      <c r="CS73" s="12">
        <v>8.7283753486402524</v>
      </c>
      <c r="CT73">
        <v>1.6233766233766234</v>
      </c>
      <c r="CU73">
        <v>0.10566036738455295</v>
      </c>
      <c r="CV73">
        <v>0.12813574671745301</v>
      </c>
      <c r="CW73">
        <v>0.06</v>
      </c>
      <c r="CX73">
        <v>167.11345133684804</v>
      </c>
      <c r="CY73">
        <v>130384477.28591424</v>
      </c>
      <c r="CZ73">
        <v>0.10566036738455295</v>
      </c>
      <c r="DA73">
        <v>53.892977767562719</v>
      </c>
      <c r="DB73">
        <v>404301281.95874965</v>
      </c>
      <c r="DC73">
        <v>0.1003773490153253</v>
      </c>
      <c r="DD73">
        <v>26.062005283791439</v>
      </c>
      <c r="DE73">
        <v>836044646.70840502</v>
      </c>
      <c r="DF73">
        <v>9.298112329840659E-2</v>
      </c>
      <c r="DG73">
        <v>15.337252512408318</v>
      </c>
      <c r="DH73">
        <v>1420658620.7257144</v>
      </c>
      <c r="DI73">
        <v>8.4528293907642368E-2</v>
      </c>
      <c r="DJ73">
        <v>7.5751021028131218</v>
      </c>
      <c r="DK73">
        <v>2876396872.8432512</v>
      </c>
      <c r="DL73">
        <v>7.3962257169187057E-2</v>
      </c>
      <c r="DM73">
        <v>125000000</v>
      </c>
      <c r="DN73">
        <v>0.10566036738455295</v>
      </c>
      <c r="DO73">
        <v>21789000000</v>
      </c>
      <c r="DP73">
        <v>4017773800</v>
      </c>
      <c r="DQ73" s="13">
        <v>4916</v>
      </c>
      <c r="DR73">
        <v>-0.56430369342394027</v>
      </c>
      <c r="DS73">
        <v>-0.64453226795297425</v>
      </c>
      <c r="DT73">
        <v>-0.42333333333333339</v>
      </c>
      <c r="DU73">
        <v>-0.35333333333333333</v>
      </c>
      <c r="DV73">
        <v>-0.77666666666666673</v>
      </c>
      <c r="DW73">
        <v>-9.458195559754369</v>
      </c>
      <c r="DX73">
        <v>0.29800578512396597</v>
      </c>
      <c r="DY73">
        <v>-9.0540697267691304</v>
      </c>
      <c r="DZ73">
        <v>8</v>
      </c>
      <c r="EA73">
        <v>-9.0539850774904309</v>
      </c>
      <c r="EB73" s="14">
        <v>9</v>
      </c>
      <c r="EC73" s="14">
        <v>1.8131682539682538E-2</v>
      </c>
      <c r="ED73">
        <v>0.15365079365079365</v>
      </c>
      <c r="EE73">
        <v>-1.0717099999999999</v>
      </c>
      <c r="EF73">
        <v>-1.0938099999999999</v>
      </c>
      <c r="EG73">
        <v>18.118005785123966</v>
      </c>
      <c r="EH73" s="10" t="s">
        <v>753</v>
      </c>
      <c r="EI73" s="15">
        <v>0</v>
      </c>
      <c r="EJ73" s="15">
        <v>1</v>
      </c>
      <c r="EK73" s="15">
        <v>45470</v>
      </c>
      <c r="EL73" s="15">
        <v>0.89</v>
      </c>
      <c r="EM73" s="15">
        <v>-8.32</v>
      </c>
      <c r="EN73">
        <v>-5.86</v>
      </c>
      <c r="EO73">
        <v>3.59</v>
      </c>
      <c r="EP73">
        <v>-2.21</v>
      </c>
    </row>
    <row r="74" spans="1:146" ht="108" x14ac:dyDescent="0.25">
      <c r="C74" s="7" t="str">
        <f>""&amp;CHAR(10)&amp;Basic_Fundamental_Information_Constructure(F74)&amp;CHAR(10)&amp;Basic_Fundamental_Information_Concatenate("")</f>
        <v xml:space="preserve">
市值29.668354亿, 利润-996.61万; PE48.56; 平均PE69.44; 平均PEG6.46, PB1.61; ROIC10.4867%; ROE14.4833%; 股利率.7707%; 毛利74.0967%; 净利26.7667%; 上一年度营收增-85.48%, 利润增-109.31%; 当季营收增-52.52%, 利润增-198.29%; 过往5年营收增10.74%, 利润增41.01%
Income profile:
</v>
      </c>
      <c r="D74" s="5" t="s">
        <v>884</v>
      </c>
      <c r="E74" t="s">
        <v>885</v>
      </c>
      <c r="F74">
        <v>25.95</v>
      </c>
      <c r="G74">
        <v>2.98</v>
      </c>
      <c r="H74" t="s">
        <v>2865</v>
      </c>
      <c r="I74">
        <v>2966835400</v>
      </c>
      <c r="J74">
        <v>48.56</v>
      </c>
      <c r="K74">
        <v>1.61</v>
      </c>
      <c r="L74" t="s">
        <v>303</v>
      </c>
      <c r="M74" t="s">
        <v>1218</v>
      </c>
      <c r="N74" t="s">
        <v>2866</v>
      </c>
      <c r="O74" t="s">
        <v>2867</v>
      </c>
      <c r="P74" s="5">
        <v>36.35</v>
      </c>
      <c r="Q74" t="s">
        <v>2867</v>
      </c>
      <c r="R74">
        <v>-9966080</v>
      </c>
      <c r="S74">
        <v>-1.6339999999999999</v>
      </c>
      <c r="T74" t="s">
        <v>2868</v>
      </c>
      <c r="U74">
        <v>49914855</v>
      </c>
      <c r="V74">
        <v>114328916</v>
      </c>
      <c r="W74">
        <v>1.05</v>
      </c>
      <c r="X74">
        <v>0.02</v>
      </c>
      <c r="Y74">
        <v>-22.3</v>
      </c>
      <c r="Z74" t="s">
        <v>2869</v>
      </c>
      <c r="AA74" t="s">
        <v>2870</v>
      </c>
      <c r="AB74" t="s">
        <v>2871</v>
      </c>
      <c r="AC74" t="s">
        <v>2872</v>
      </c>
      <c r="AD74" t="s">
        <v>5</v>
      </c>
      <c r="AE74">
        <v>-3065384</v>
      </c>
      <c r="AF74" t="s">
        <v>2873</v>
      </c>
      <c r="AG74">
        <v>4927.3100000000004</v>
      </c>
      <c r="AH74" t="s">
        <v>2874</v>
      </c>
      <c r="AI74" t="s">
        <v>2875</v>
      </c>
      <c r="AJ74" t="s">
        <v>2876</v>
      </c>
      <c r="AK74" t="s">
        <v>5</v>
      </c>
      <c r="AL74" t="s">
        <v>2877</v>
      </c>
      <c r="AM74" t="s">
        <v>5</v>
      </c>
      <c r="AN74" t="s">
        <v>2878</v>
      </c>
      <c r="AO74" t="s">
        <v>5</v>
      </c>
      <c r="AP74" t="s">
        <v>5</v>
      </c>
      <c r="AQ74" t="s">
        <v>2879</v>
      </c>
      <c r="AR74" t="s">
        <v>2880</v>
      </c>
      <c r="AS74" t="s">
        <v>2881</v>
      </c>
      <c r="AT74" t="s">
        <v>5</v>
      </c>
      <c r="AU74" t="s">
        <v>2882</v>
      </c>
      <c r="AV74" t="s">
        <v>1154</v>
      </c>
      <c r="AW74" t="s">
        <v>2883</v>
      </c>
      <c r="AX74" t="s">
        <v>792</v>
      </c>
      <c r="AY74" t="s">
        <v>234</v>
      </c>
      <c r="AZ74" t="s">
        <v>48</v>
      </c>
      <c r="BA74" t="s">
        <v>55</v>
      </c>
      <c r="BB74" t="s">
        <v>147</v>
      </c>
      <c r="BC74" t="s">
        <v>53</v>
      </c>
      <c r="BD74" t="s">
        <v>886</v>
      </c>
      <c r="BE74" t="s">
        <v>887</v>
      </c>
      <c r="BF74" t="s">
        <v>888</v>
      </c>
      <c r="BG74" t="s">
        <v>889</v>
      </c>
      <c r="BH74" t="s">
        <v>2884</v>
      </c>
      <c r="BI74" t="s">
        <v>147</v>
      </c>
      <c r="BJ74" t="s">
        <v>792</v>
      </c>
      <c r="BK74" t="s">
        <v>2885</v>
      </c>
      <c r="BL74" t="s">
        <v>1249</v>
      </c>
      <c r="BM74" t="s">
        <v>53</v>
      </c>
      <c r="BN74">
        <v>1.2</v>
      </c>
      <c r="BO74">
        <v>9.2799999999999994</v>
      </c>
      <c r="BP74">
        <v>20.98</v>
      </c>
      <c r="BQ74">
        <v>2.1</v>
      </c>
      <c r="BR74">
        <v>19.32</v>
      </c>
      <c r="BS74">
        <v>22.03</v>
      </c>
      <c r="BT74" t="s">
        <v>875</v>
      </c>
      <c r="BU74" t="s">
        <v>1547</v>
      </c>
      <c r="BV74">
        <v>73.2</v>
      </c>
      <c r="BW74">
        <v>75.47</v>
      </c>
      <c r="BX74">
        <v>73.62</v>
      </c>
      <c r="BY74">
        <v>21.12</v>
      </c>
      <c r="BZ74">
        <v>31.55</v>
      </c>
      <c r="CA74">
        <v>27.63</v>
      </c>
      <c r="CB74">
        <v>-2.59</v>
      </c>
      <c r="CC74" s="11">
        <v>-8.5</v>
      </c>
      <c r="CD74" s="12" t="s">
        <v>2886</v>
      </c>
      <c r="CE74" s="11" t="s">
        <v>2887</v>
      </c>
      <c r="CF74" s="11">
        <v>-0.5251682692307692</v>
      </c>
      <c r="CG74" s="11">
        <v>-1.9829159803931238</v>
      </c>
      <c r="CH74" s="11">
        <v>-0.85475736856460571</v>
      </c>
      <c r="CI74" s="11">
        <v>0.25925925374031067</v>
      </c>
      <c r="CJ74" s="12">
        <v>0.33663365244865417</v>
      </c>
      <c r="CK74" s="12">
        <v>0.50746268033981323</v>
      </c>
      <c r="CL74" s="12">
        <v>0.28846153616905212</v>
      </c>
      <c r="CM74" s="12">
        <v>-1.0931410789489746</v>
      </c>
      <c r="CN74" s="12">
        <v>0.43249014019966125</v>
      </c>
      <c r="CO74">
        <v>0.42805448174476624</v>
      </c>
      <c r="CP74">
        <v>1.5541540384292603</v>
      </c>
      <c r="CQ74">
        <v>0.7288668155670166</v>
      </c>
      <c r="CR74" s="11">
        <v>69.438045672032345</v>
      </c>
      <c r="CS74" s="12">
        <v>6.4646480338207724</v>
      </c>
      <c r="CT74">
        <v>0.77071290944123316</v>
      </c>
      <c r="CU74">
        <v>0.1074119508266449</v>
      </c>
      <c r="CV74">
        <v>0.41008487939834593</v>
      </c>
      <c r="CW74">
        <v>0.06</v>
      </c>
      <c r="CX74" t="e">
        <v>#VALUE!</v>
      </c>
      <c r="CY74" t="s">
        <v>740</v>
      </c>
      <c r="CZ74">
        <v>0.1074119508266449</v>
      </c>
      <c r="DA74" t="e">
        <v>#VALUE!</v>
      </c>
      <c r="DB74" t="s">
        <v>741</v>
      </c>
      <c r="DC74">
        <v>0.10204135328531265</v>
      </c>
      <c r="DD74" t="e">
        <v>#VALUE!</v>
      </c>
      <c r="DE74" t="s">
        <v>741</v>
      </c>
      <c r="DF74">
        <v>9.4522516727447506E-2</v>
      </c>
      <c r="DG74" t="e">
        <v>#VALUE!</v>
      </c>
      <c r="DH74" t="s">
        <v>741</v>
      </c>
      <c r="DI74">
        <v>8.5929560661315921E-2</v>
      </c>
      <c r="DJ74" t="e">
        <v>#VALUE!</v>
      </c>
      <c r="DK74" t="s">
        <v>741</v>
      </c>
      <c r="DL74">
        <v>7.5188365578651425E-2</v>
      </c>
      <c r="DM74">
        <v>-9966100</v>
      </c>
      <c r="DN74">
        <v>0.1074119508266449</v>
      </c>
      <c r="DO74">
        <v>1269835400.0000002</v>
      </c>
      <c r="DP74">
        <v>1516098100</v>
      </c>
      <c r="DQ74" s="13">
        <v>4924</v>
      </c>
      <c r="DR74">
        <v>-0.6325802200574141</v>
      </c>
      <c r="DS74">
        <v>-2.3930008597914698</v>
      </c>
      <c r="DT74">
        <v>-0.27333333333333343</v>
      </c>
      <c r="DU74">
        <v>-0.93166666666666664</v>
      </c>
      <c r="DV74">
        <v>-1.2050000000000001</v>
      </c>
      <c r="DW74">
        <v>-8.3047058823529412</v>
      </c>
      <c r="DX74">
        <v>0.32916704331242652</v>
      </c>
      <c r="DY74">
        <v>-8.0363108990799041</v>
      </c>
      <c r="DZ74">
        <v>4359</v>
      </c>
      <c r="EA74">
        <v>-8.0053364941700611</v>
      </c>
      <c r="EB74" s="14">
        <v>8</v>
      </c>
      <c r="EC74">
        <v>2.836552740515794E-2</v>
      </c>
      <c r="ED74">
        <v>0.23803164546753858</v>
      </c>
      <c r="EE74">
        <v>6.0164999999999997</v>
      </c>
      <c r="EF74">
        <v>6.0068000000000001</v>
      </c>
      <c r="EG74">
        <v>21.119167043312427</v>
      </c>
      <c r="EH74" s="10" t="s">
        <v>1967</v>
      </c>
      <c r="EI74" s="15">
        <v>0</v>
      </c>
      <c r="EJ74" s="15">
        <v>0</v>
      </c>
      <c r="EK74" s="15">
        <v>45470</v>
      </c>
      <c r="EL74" s="15">
        <v>-2.48</v>
      </c>
      <c r="EM74" s="15">
        <v>-5.59</v>
      </c>
      <c r="EN74">
        <v>-6.35</v>
      </c>
      <c r="EO74">
        <v>6.21</v>
      </c>
      <c r="EP74">
        <v>-0.97</v>
      </c>
    </row>
    <row r="75" spans="1:146" ht="96" x14ac:dyDescent="0.25">
      <c r="A75" s="7"/>
      <c r="B75" s="7"/>
      <c r="C75" s="7" t="str">
        <f>""&amp;CHAR(10)&amp;Basic_Fundamental_Information_Constructure(F75)&amp;CHAR(10)&amp;Basic_Fundamental_Information_Concatenate("")</f>
        <v xml:space="preserve">
市值13.0413605亿, 利润-2109.21万; PE; 平均PE77.96; 平均PEG4.46, PB1.23; ROIC6.67%; ROE-1.5767%; 股利率0%; 毛利29.0767%; 净利-27.2367%; 上一年度营收增-85.9%, 利润增84.93%; 当季营收增-79.81%, 利润增44.43%; 过往5年营收增-17.49%, 利润增-18.82%
Income profile:
</v>
      </c>
      <c r="D75" t="s">
        <v>600</v>
      </c>
      <c r="E75" t="s">
        <v>601</v>
      </c>
      <c r="F75">
        <v>6.95</v>
      </c>
      <c r="G75">
        <v>1.61</v>
      </c>
      <c r="H75" t="s">
        <v>2888</v>
      </c>
      <c r="I75">
        <v>1304136050</v>
      </c>
      <c r="K75">
        <v>1.23</v>
      </c>
      <c r="L75" t="s">
        <v>303</v>
      </c>
      <c r="M75" t="s">
        <v>2889</v>
      </c>
      <c r="N75" t="s">
        <v>2890</v>
      </c>
      <c r="O75" t="s">
        <v>2891</v>
      </c>
      <c r="P75">
        <v>-1.8</v>
      </c>
      <c r="Q75" t="s">
        <v>2891</v>
      </c>
      <c r="R75">
        <v>-21092128</v>
      </c>
      <c r="S75" s="5">
        <v>-0.22650000000000001</v>
      </c>
      <c r="T75" t="s">
        <v>2892</v>
      </c>
      <c r="U75">
        <v>187645480</v>
      </c>
      <c r="V75">
        <v>187645480</v>
      </c>
      <c r="W75">
        <v>1.7</v>
      </c>
      <c r="X75">
        <v>0.01</v>
      </c>
      <c r="Y75">
        <v>-87.7</v>
      </c>
      <c r="Z75" t="s">
        <v>2893</v>
      </c>
      <c r="AA75" t="s">
        <v>2894</v>
      </c>
      <c r="AB75" t="s">
        <v>2895</v>
      </c>
      <c r="AC75" t="s">
        <v>2896</v>
      </c>
      <c r="AD75" t="s">
        <v>5</v>
      </c>
      <c r="AE75">
        <v>3283152</v>
      </c>
      <c r="AF75" t="s">
        <v>2897</v>
      </c>
      <c r="AG75">
        <v>0.81</v>
      </c>
      <c r="AH75" t="s">
        <v>2898</v>
      </c>
      <c r="AI75" t="s">
        <v>122</v>
      </c>
      <c r="AJ75" t="s">
        <v>2899</v>
      </c>
      <c r="AK75" t="s">
        <v>2900</v>
      </c>
      <c r="AL75" t="s">
        <v>2901</v>
      </c>
      <c r="AM75" t="s">
        <v>5</v>
      </c>
      <c r="AN75" t="s">
        <v>2715</v>
      </c>
      <c r="AO75" t="s">
        <v>82</v>
      </c>
      <c r="AP75" t="s">
        <v>2902</v>
      </c>
      <c r="AQ75" t="s">
        <v>205</v>
      </c>
      <c r="AR75" t="s">
        <v>5</v>
      </c>
      <c r="AS75" t="s">
        <v>2903</v>
      </c>
      <c r="AT75" t="s">
        <v>2904</v>
      </c>
      <c r="AU75" t="s">
        <v>2905</v>
      </c>
      <c r="AV75" t="s">
        <v>2906</v>
      </c>
      <c r="AW75" t="s">
        <v>2907</v>
      </c>
      <c r="AX75" t="s">
        <v>81</v>
      </c>
      <c r="AY75" t="s">
        <v>1250</v>
      </c>
      <c r="AZ75" t="s">
        <v>1198</v>
      </c>
      <c r="BA75" t="s">
        <v>96</v>
      </c>
      <c r="BB75" t="s">
        <v>130</v>
      </c>
      <c r="BC75" t="s">
        <v>966</v>
      </c>
      <c r="BD75" t="s">
        <v>1251</v>
      </c>
      <c r="BE75" t="s">
        <v>1252</v>
      </c>
      <c r="BF75" t="s">
        <v>98</v>
      </c>
      <c r="BG75" t="s">
        <v>602</v>
      </c>
      <c r="BH75" t="s">
        <v>1159</v>
      </c>
      <c r="BI75" t="s">
        <v>123</v>
      </c>
      <c r="BJ75" t="s">
        <v>81</v>
      </c>
      <c r="BK75" t="s">
        <v>2908</v>
      </c>
      <c r="BL75" t="s">
        <v>1253</v>
      </c>
      <c r="BM75" t="s">
        <v>966</v>
      </c>
      <c r="BN75" t="s">
        <v>5</v>
      </c>
      <c r="BO75" t="s">
        <v>5</v>
      </c>
      <c r="BP75">
        <v>6.67</v>
      </c>
      <c r="BQ75">
        <v>-0.4</v>
      </c>
      <c r="BR75">
        <v>-10.88</v>
      </c>
      <c r="BS75">
        <v>6.55</v>
      </c>
      <c r="BT75" t="s">
        <v>873</v>
      </c>
      <c r="BU75" t="s">
        <v>1547</v>
      </c>
      <c r="BV75">
        <v>31.01</v>
      </c>
      <c r="BW75">
        <v>27.16</v>
      </c>
      <c r="BX75">
        <v>29.06</v>
      </c>
      <c r="BY75">
        <v>-10.36</v>
      </c>
      <c r="BZ75">
        <v>-83.1</v>
      </c>
      <c r="CA75">
        <v>11.75</v>
      </c>
      <c r="CB75">
        <v>-1.1399999999999999</v>
      </c>
      <c r="CC75">
        <v>-14.09</v>
      </c>
      <c r="CD75" t="s">
        <v>2909</v>
      </c>
      <c r="CE75" t="s">
        <v>2910</v>
      </c>
      <c r="CF75" s="11">
        <v>-0.7980703389830508</v>
      </c>
      <c r="CG75" s="12">
        <v>0.4442844533907348</v>
      </c>
      <c r="CH75" s="11">
        <v>-0.85900771617889404</v>
      </c>
      <c r="CI75" s="11">
        <v>-0.72430670261383057</v>
      </c>
      <c r="CJ75" s="11">
        <v>0.52109181880950928</v>
      </c>
      <c r="CK75" s="11">
        <v>-0.20512820780277252</v>
      </c>
      <c r="CL75" s="11">
        <v>0.3928571343421936</v>
      </c>
      <c r="CM75" s="12">
        <v>0.84934216737747192</v>
      </c>
      <c r="CN75" s="12">
        <v>-3.0025546550750732</v>
      </c>
      <c r="CO75" s="12">
        <v>1.0055568218231201</v>
      </c>
      <c r="CP75" s="12">
        <v>-0.65825003385543823</v>
      </c>
      <c r="CQ75" s="12">
        <v>0.86512237787246704</v>
      </c>
      <c r="CR75">
        <v>77.963440515238347</v>
      </c>
      <c r="CS75">
        <v>4.4576331929432325</v>
      </c>
      <c r="CT75">
        <v>0</v>
      </c>
      <c r="CU75" s="11">
        <v>-0.17489873468875886</v>
      </c>
      <c r="CV75" s="12">
        <v>-0.18815666437149048</v>
      </c>
      <c r="CW75">
        <v>0.06</v>
      </c>
      <c r="CX75" t="e">
        <v>#VALUE!</v>
      </c>
      <c r="CY75" t="s">
        <v>740</v>
      </c>
      <c r="CZ75">
        <v>-0.17489873468875886</v>
      </c>
      <c r="DA75" t="e">
        <v>#VALUE!</v>
      </c>
      <c r="DB75" t="s">
        <v>741</v>
      </c>
      <c r="DC75">
        <v>-0.16615379795432089</v>
      </c>
      <c r="DD75" t="e">
        <v>#VALUE!</v>
      </c>
      <c r="DE75" t="s">
        <v>741</v>
      </c>
      <c r="DF75">
        <v>-0.15391088652610779</v>
      </c>
      <c r="DG75" t="e">
        <v>#VALUE!</v>
      </c>
      <c r="DH75" t="s">
        <v>741</v>
      </c>
      <c r="DI75">
        <v>-0.13991898775100708</v>
      </c>
      <c r="DJ75" t="e">
        <v>#VALUE!</v>
      </c>
      <c r="DK75" t="s">
        <v>741</v>
      </c>
      <c r="DL75">
        <v>-0.12242911428213119</v>
      </c>
      <c r="DM75">
        <v>-21092100</v>
      </c>
      <c r="DN75">
        <v>-0.17489873468875886</v>
      </c>
      <c r="DO75">
        <v>984136050</v>
      </c>
      <c r="DP75">
        <v>470479570</v>
      </c>
      <c r="DQ75">
        <v>5021</v>
      </c>
      <c r="DR75">
        <v>-0.62317160429429197</v>
      </c>
      <c r="DS75">
        <v>0.63244111776222534</v>
      </c>
      <c r="DT75" s="13">
        <v>-0.95666666666666667</v>
      </c>
      <c r="DU75">
        <v>-1.2450000000000001</v>
      </c>
      <c r="DV75">
        <v>-2.2016666666666667</v>
      </c>
      <c r="DW75">
        <v>-2.1408999999999998</v>
      </c>
      <c r="DX75">
        <v>0.30587443862935448</v>
      </c>
      <c r="DY75">
        <v>-2.0191447084028762</v>
      </c>
      <c r="DZ75">
        <v>3913</v>
      </c>
      <c r="EA75">
        <v>-2.004484582379304</v>
      </c>
      <c r="EB75">
        <v>2</v>
      </c>
      <c r="EC75">
        <v>3.9002804650556999E-2</v>
      </c>
      <c r="ED75">
        <v>0.28705034621670611</v>
      </c>
      <c r="EE75" s="14">
        <v>4.0430999999999999</v>
      </c>
      <c r="EF75">
        <v>4.0186000000000002</v>
      </c>
      <c r="EG75">
        <v>17.135874438629354</v>
      </c>
      <c r="EH75" t="s">
        <v>1263</v>
      </c>
      <c r="EI75">
        <v>0</v>
      </c>
      <c r="EJ75">
        <v>0</v>
      </c>
      <c r="EK75" s="10">
        <v>45470</v>
      </c>
      <c r="EL75" s="15">
        <v>-4.53</v>
      </c>
      <c r="EM75" s="15">
        <v>-7.98</v>
      </c>
      <c r="EN75">
        <v>-2.5099999999999998</v>
      </c>
      <c r="EO75">
        <v>5.03</v>
      </c>
      <c r="EP75">
        <v>-2.4500000000000002</v>
      </c>
    </row>
    <row r="76" spans="1:146" x14ac:dyDescent="0.25">
      <c r="A76" s="7"/>
      <c r="B76" s="7"/>
      <c r="C76" s="7"/>
      <c r="Q76" s="5"/>
    </row>
    <row r="77" spans="1:146" x14ac:dyDescent="0.25">
      <c r="A77" s="7"/>
      <c r="B77" s="7"/>
      <c r="C77" s="7"/>
      <c r="Q77" s="5"/>
    </row>
    <row r="78" spans="1:146" x14ac:dyDescent="0.25">
      <c r="A78" s="7"/>
      <c r="B78" s="7"/>
      <c r="C78" s="7"/>
      <c r="Q78" s="5"/>
    </row>
    <row r="79" spans="1:146" x14ac:dyDescent="0.25">
      <c r="A79" s="7"/>
      <c r="B79" s="7"/>
      <c r="C79" s="7"/>
      <c r="Q79" s="5"/>
    </row>
    <row r="80" spans="1:146" x14ac:dyDescent="0.25">
      <c r="A80" s="7"/>
      <c r="B80" s="7"/>
      <c r="C80" s="7"/>
      <c r="Q80" s="5"/>
    </row>
    <row r="81" spans="1:17" x14ac:dyDescent="0.25">
      <c r="A81" s="7"/>
      <c r="B81" s="7"/>
      <c r="C81" s="7"/>
      <c r="Q81" s="6"/>
    </row>
    <row r="82" spans="1:17" x14ac:dyDescent="0.25">
      <c r="A82" s="7"/>
      <c r="B82" s="7"/>
      <c r="C82" s="7"/>
      <c r="Q82" s="5"/>
    </row>
    <row r="83" spans="1:17" x14ac:dyDescent="0.25">
      <c r="A83" s="7"/>
      <c r="B83" s="7"/>
      <c r="C83" s="7"/>
      <c r="Q83" s="5"/>
    </row>
    <row r="84" spans="1:17" x14ac:dyDescent="0.25">
      <c r="A84" s="7"/>
      <c r="B84" s="7"/>
      <c r="C84" s="7"/>
      <c r="Q84" s="5"/>
    </row>
    <row r="85" spans="1:17" x14ac:dyDescent="0.25">
      <c r="A85" s="7"/>
      <c r="B85" s="7"/>
      <c r="C85" s="7"/>
      <c r="Q85" s="5"/>
    </row>
    <row r="86" spans="1:17" x14ac:dyDescent="0.25">
      <c r="A86" s="7"/>
      <c r="B86" s="7"/>
      <c r="C86" s="7"/>
      <c r="Q86" s="5"/>
    </row>
    <row r="87" spans="1:17" x14ac:dyDescent="0.25">
      <c r="A87" s="7"/>
      <c r="B87" s="7"/>
      <c r="C87" s="7"/>
      <c r="Q87" s="5"/>
    </row>
    <row r="88" spans="1:17" x14ac:dyDescent="0.25">
      <c r="A88" s="7"/>
      <c r="B88" s="7"/>
      <c r="C88" s="7"/>
      <c r="Q88" s="5"/>
    </row>
    <row r="89" spans="1:17" x14ac:dyDescent="0.25">
      <c r="A89" s="7"/>
      <c r="B89" s="7"/>
      <c r="C89" s="7"/>
      <c r="Q89" s="5"/>
    </row>
    <row r="90" spans="1:17" x14ac:dyDescent="0.25">
      <c r="A90" s="7"/>
      <c r="B90" s="7"/>
      <c r="C90" s="7"/>
      <c r="Q90" s="5"/>
    </row>
    <row r="91" spans="1:17" x14ac:dyDescent="0.25">
      <c r="A91" s="7"/>
      <c r="B91" s="7"/>
      <c r="C91" s="7"/>
      <c r="Q91" s="5"/>
    </row>
    <row r="92" spans="1:17" x14ac:dyDescent="0.25">
      <c r="A92" s="7"/>
      <c r="B92" s="7"/>
      <c r="C92" s="7"/>
      <c r="Q92" s="5"/>
    </row>
    <row r="93" spans="1:17" x14ac:dyDescent="0.25">
      <c r="A93" s="7"/>
      <c r="B93" s="7"/>
      <c r="C93" s="7"/>
      <c r="Q93" s="5"/>
    </row>
    <row r="94" spans="1:17" x14ac:dyDescent="0.25">
      <c r="A94" s="7"/>
      <c r="B94" s="7"/>
      <c r="C94" s="7"/>
      <c r="Q94" s="5"/>
    </row>
    <row r="95" spans="1:17" x14ac:dyDescent="0.25">
      <c r="A95" s="7"/>
      <c r="B95" s="7"/>
      <c r="C95" s="7"/>
      <c r="Q95" s="6"/>
    </row>
    <row r="96" spans="1:17" x14ac:dyDescent="0.25">
      <c r="A96" s="7"/>
      <c r="B96" s="7"/>
      <c r="C96" s="7"/>
      <c r="Q96" s="5"/>
    </row>
    <row r="97" spans="1:17" x14ac:dyDescent="0.25">
      <c r="A97" s="7"/>
      <c r="B97" s="7"/>
      <c r="C97" s="7"/>
      <c r="Q97" s="5"/>
    </row>
    <row r="98" spans="1:17" x14ac:dyDescent="0.25">
      <c r="A98" s="7"/>
      <c r="B98" s="7"/>
      <c r="C98" s="7"/>
      <c r="Q98" s="5"/>
    </row>
    <row r="99" spans="1:17" x14ac:dyDescent="0.25">
      <c r="A99" s="7"/>
      <c r="B99" s="7"/>
      <c r="C99" s="7"/>
      <c r="Q99" s="5"/>
    </row>
    <row r="100" spans="1:17" x14ac:dyDescent="0.25">
      <c r="A100" s="7"/>
      <c r="B100" s="7"/>
      <c r="C100" s="7"/>
      <c r="Q100" s="5"/>
    </row>
    <row r="101" spans="1:17" x14ac:dyDescent="0.25">
      <c r="A101" s="7"/>
      <c r="B101" s="7"/>
      <c r="C101" s="7"/>
      <c r="Q101" s="5"/>
    </row>
    <row r="102" spans="1:17" x14ac:dyDescent="0.25">
      <c r="A102" s="7"/>
      <c r="B102" s="7"/>
      <c r="C102" s="7"/>
      <c r="Q102" s="5"/>
    </row>
    <row r="103" spans="1:17" x14ac:dyDescent="0.25">
      <c r="A103" s="7"/>
      <c r="B103" s="7"/>
      <c r="C103" s="7"/>
      <c r="Q103" s="5"/>
    </row>
    <row r="104" spans="1:17" x14ac:dyDescent="0.25">
      <c r="A104" s="7"/>
      <c r="B104" s="7"/>
      <c r="C104" s="7"/>
      <c r="Q104" s="5"/>
    </row>
    <row r="105" spans="1:17" x14ac:dyDescent="0.25">
      <c r="A105" s="7"/>
      <c r="B105" s="7"/>
      <c r="C105" s="7"/>
      <c r="Q105" s="5"/>
    </row>
    <row r="106" spans="1:17" x14ac:dyDescent="0.25">
      <c r="A106" s="7"/>
      <c r="B106" s="7"/>
      <c r="C106" s="7"/>
      <c r="Q106" s="5"/>
    </row>
    <row r="107" spans="1:17" x14ac:dyDescent="0.25">
      <c r="A107" s="7"/>
      <c r="B107" s="7"/>
      <c r="C107" s="7"/>
      <c r="Q107" s="5"/>
    </row>
    <row r="108" spans="1:17" x14ac:dyDescent="0.25">
      <c r="A108" s="7"/>
      <c r="B108" s="7"/>
      <c r="C108" s="7"/>
      <c r="Q108" s="5"/>
    </row>
    <row r="109" spans="1:17" x14ac:dyDescent="0.25">
      <c r="A109" s="7"/>
      <c r="B109" s="7"/>
      <c r="C109" s="7"/>
      <c r="Q109" s="5"/>
    </row>
    <row r="110" spans="1:17" x14ac:dyDescent="0.25">
      <c r="A110" s="7"/>
      <c r="B110" s="7"/>
      <c r="C110" s="7"/>
      <c r="Q110" s="5"/>
    </row>
    <row r="111" spans="1:17" x14ac:dyDescent="0.25">
      <c r="A111" s="7"/>
      <c r="B111" s="7"/>
      <c r="C111" s="7"/>
      <c r="Q111" s="5"/>
    </row>
    <row r="112" spans="1:17" x14ac:dyDescent="0.25">
      <c r="A112" s="7"/>
      <c r="B112" s="7"/>
      <c r="C112" s="7"/>
      <c r="Q112" s="5"/>
    </row>
    <row r="113" spans="1:17" x14ac:dyDescent="0.25">
      <c r="A113" s="7"/>
      <c r="B113" s="7"/>
      <c r="C113" s="7"/>
      <c r="Q113" s="6"/>
    </row>
    <row r="114" spans="1:17" x14ac:dyDescent="0.25">
      <c r="A114" s="7"/>
      <c r="B114" s="7"/>
      <c r="C114" s="7"/>
      <c r="Q114" s="5"/>
    </row>
    <row r="115" spans="1:17" x14ac:dyDescent="0.25">
      <c r="A115" s="7"/>
      <c r="B115" s="7"/>
      <c r="C115" s="7"/>
      <c r="Q115" s="5"/>
    </row>
    <row r="116" spans="1:17" x14ac:dyDescent="0.25">
      <c r="A116" s="7"/>
      <c r="B116" s="7"/>
      <c r="C116" s="7"/>
      <c r="Q116" s="5"/>
    </row>
    <row r="117" spans="1:17" x14ac:dyDescent="0.25">
      <c r="A117" s="7"/>
      <c r="B117" s="7"/>
      <c r="C117" s="7"/>
      <c r="Q117" s="5"/>
    </row>
    <row r="118" spans="1:17" x14ac:dyDescent="0.25">
      <c r="A118" s="7"/>
      <c r="B118" s="7"/>
      <c r="C118" s="7"/>
      <c r="Q118" s="5"/>
    </row>
    <row r="119" spans="1:17" x14ac:dyDescent="0.25">
      <c r="A119" s="7"/>
      <c r="B119" s="7"/>
      <c r="C119" s="7"/>
      <c r="Q119" s="5"/>
    </row>
    <row r="120" spans="1:17" x14ac:dyDescent="0.25">
      <c r="A120" s="7"/>
      <c r="B120" s="7"/>
      <c r="C120" s="7"/>
      <c r="Q120" s="5"/>
    </row>
    <row r="121" spans="1:17" x14ac:dyDescent="0.25">
      <c r="A121" s="7"/>
      <c r="B121" s="7"/>
      <c r="C121" s="7"/>
      <c r="Q121" s="5"/>
    </row>
    <row r="122" spans="1:17" x14ac:dyDescent="0.25">
      <c r="A122" s="7"/>
      <c r="B122" s="7"/>
      <c r="C122" s="7"/>
      <c r="Q122" s="5"/>
    </row>
    <row r="123" spans="1:17" x14ac:dyDescent="0.25">
      <c r="A123" s="7"/>
      <c r="B123" s="7"/>
      <c r="C123" s="7"/>
      <c r="Q123" s="5"/>
    </row>
    <row r="124" spans="1:17" x14ac:dyDescent="0.25">
      <c r="A124" s="7"/>
      <c r="B124" s="7"/>
      <c r="C124" s="7"/>
      <c r="Q124" s="5"/>
    </row>
    <row r="125" spans="1:17" x14ac:dyDescent="0.25">
      <c r="A125" s="7"/>
      <c r="B125" s="7"/>
      <c r="C125" s="7"/>
      <c r="Q125" s="5"/>
    </row>
    <row r="126" spans="1:17" x14ac:dyDescent="0.25">
      <c r="A126" s="7"/>
      <c r="B126" s="7"/>
      <c r="C126" s="7"/>
      <c r="Q126" s="5"/>
    </row>
    <row r="127" spans="1:17" x14ac:dyDescent="0.25">
      <c r="A127" s="7"/>
      <c r="B127" s="7"/>
      <c r="C127" s="7"/>
      <c r="Q127" s="5"/>
    </row>
    <row r="128" spans="1:17" x14ac:dyDescent="0.25">
      <c r="A128" s="7"/>
      <c r="B128" s="7"/>
      <c r="C128" s="7"/>
      <c r="Q128" s="5"/>
    </row>
    <row r="129" spans="1:17" x14ac:dyDescent="0.25">
      <c r="A129" s="7"/>
      <c r="B129" s="7"/>
      <c r="C129" s="7"/>
      <c r="Q129" s="5"/>
    </row>
    <row r="130" spans="1:17" x14ac:dyDescent="0.25">
      <c r="A130" s="7"/>
      <c r="B130" s="7"/>
      <c r="C130" s="7"/>
      <c r="Q130" s="5"/>
    </row>
    <row r="131" spans="1:17" x14ac:dyDescent="0.25">
      <c r="A131" s="7"/>
      <c r="B131" s="7"/>
      <c r="C131" s="7"/>
      <c r="Q131" s="5"/>
    </row>
    <row r="132" spans="1:17" x14ac:dyDescent="0.25">
      <c r="A132" s="7"/>
      <c r="B132" s="7"/>
      <c r="C132" s="7"/>
      <c r="Q132" s="5"/>
    </row>
    <row r="133" spans="1:17" x14ac:dyDescent="0.25">
      <c r="A133" s="7"/>
      <c r="B133" s="7"/>
      <c r="C133" s="7"/>
      <c r="Q133" s="5"/>
    </row>
    <row r="134" spans="1:17" x14ac:dyDescent="0.25">
      <c r="A134" s="7"/>
      <c r="B134" s="7"/>
      <c r="C134" s="7"/>
      <c r="Q134" s="5"/>
    </row>
    <row r="135" spans="1:17" x14ac:dyDescent="0.25">
      <c r="A135" s="7"/>
      <c r="B135" s="7"/>
      <c r="C135" s="7"/>
      <c r="Q135" s="5"/>
    </row>
    <row r="136" spans="1:17" x14ac:dyDescent="0.25">
      <c r="A136" s="7"/>
      <c r="B136" s="7"/>
      <c r="C136" s="7"/>
      <c r="Q136" s="5"/>
    </row>
    <row r="137" spans="1:17" x14ac:dyDescent="0.25">
      <c r="A137" s="7"/>
      <c r="B137" s="7"/>
      <c r="C137" s="7"/>
      <c r="Q137" s="5"/>
    </row>
    <row r="138" spans="1:17" x14ac:dyDescent="0.25">
      <c r="A138" s="7"/>
      <c r="B138" s="7"/>
      <c r="C138" s="7"/>
      <c r="Q138" s="5"/>
    </row>
    <row r="139" spans="1:17" x14ac:dyDescent="0.25">
      <c r="A139" s="7"/>
      <c r="B139" s="7"/>
      <c r="C139" s="7"/>
      <c r="Q139" s="5"/>
    </row>
    <row r="140" spans="1:17" x14ac:dyDescent="0.25">
      <c r="A140" s="7"/>
      <c r="B140" s="7"/>
      <c r="C140" s="7"/>
      <c r="Q140" s="5"/>
    </row>
    <row r="141" spans="1:17" x14ac:dyDescent="0.25">
      <c r="A141" s="7"/>
      <c r="B141" s="7"/>
      <c r="C141" s="7"/>
      <c r="Q141" s="5"/>
    </row>
    <row r="142" spans="1:17" x14ac:dyDescent="0.25">
      <c r="A142" s="7"/>
      <c r="B142" s="7"/>
      <c r="C142" s="7"/>
      <c r="Q142" s="5"/>
    </row>
    <row r="143" spans="1:17" x14ac:dyDescent="0.25">
      <c r="A143" s="7"/>
      <c r="B143" s="7"/>
      <c r="C143" s="7"/>
      <c r="Q143" s="5"/>
    </row>
    <row r="144" spans="1:17" x14ac:dyDescent="0.25">
      <c r="A144" s="7"/>
      <c r="B144" s="7"/>
      <c r="C144" s="7"/>
      <c r="Q144" s="5"/>
    </row>
    <row r="145" spans="1:17" x14ac:dyDescent="0.25">
      <c r="A145" s="7"/>
      <c r="B145" s="7"/>
      <c r="C145" s="7"/>
      <c r="Q145" s="5"/>
    </row>
    <row r="146" spans="1:17" x14ac:dyDescent="0.25">
      <c r="A146" s="7"/>
      <c r="B146" s="7"/>
      <c r="C146" s="7"/>
    </row>
    <row r="147" spans="1:17" x14ac:dyDescent="0.25">
      <c r="A147" s="7"/>
      <c r="B147" s="7"/>
      <c r="C147" s="7"/>
      <c r="Q147" s="5"/>
    </row>
    <row r="148" spans="1:17" x14ac:dyDescent="0.25">
      <c r="A148" s="7"/>
      <c r="B148" s="7"/>
      <c r="C148" s="7"/>
      <c r="Q148" s="5"/>
    </row>
    <row r="149" spans="1:17" x14ac:dyDescent="0.25">
      <c r="A149" s="7"/>
      <c r="B149" s="7"/>
      <c r="C149" s="7"/>
      <c r="Q149" s="5"/>
    </row>
    <row r="150" spans="1:17" x14ac:dyDescent="0.25">
      <c r="A150" s="7"/>
      <c r="B150" s="7"/>
      <c r="C150" s="7"/>
      <c r="Q150" s="5"/>
    </row>
    <row r="151" spans="1:17" x14ac:dyDescent="0.25">
      <c r="A151" s="7"/>
      <c r="B151" s="7"/>
      <c r="C151" s="7"/>
      <c r="Q151" s="5"/>
    </row>
    <row r="152" spans="1:17" x14ac:dyDescent="0.25">
      <c r="A152" s="7"/>
      <c r="B152" s="7"/>
      <c r="C152" s="7"/>
      <c r="Q152" s="5"/>
    </row>
    <row r="153" spans="1:17" x14ac:dyDescent="0.25">
      <c r="A153" s="7"/>
      <c r="B153" s="7"/>
      <c r="C153" s="7"/>
      <c r="Q153" s="5"/>
    </row>
    <row r="154" spans="1:17" x14ac:dyDescent="0.25">
      <c r="A154" s="7"/>
      <c r="B154" s="7"/>
      <c r="C154" s="7"/>
      <c r="Q154" s="5"/>
    </row>
    <row r="155" spans="1:17" x14ac:dyDescent="0.25">
      <c r="A155" s="7"/>
      <c r="B155" s="7"/>
      <c r="C155" s="7"/>
      <c r="Q155" s="6"/>
    </row>
    <row r="156" spans="1:17" x14ac:dyDescent="0.25">
      <c r="A156" s="7"/>
      <c r="B156" s="7"/>
      <c r="C156" s="7"/>
      <c r="Q156" s="5"/>
    </row>
    <row r="157" spans="1:17" x14ac:dyDescent="0.25">
      <c r="A157" s="7"/>
      <c r="B157" s="7"/>
      <c r="C157" s="7"/>
      <c r="Q157" s="5"/>
    </row>
    <row r="158" spans="1:17" x14ac:dyDescent="0.25">
      <c r="A158" s="7"/>
      <c r="B158" s="7"/>
      <c r="C158" s="7"/>
      <c r="Q158" s="5"/>
    </row>
    <row r="159" spans="1:17" x14ac:dyDescent="0.25">
      <c r="A159" s="7"/>
      <c r="B159" s="7"/>
      <c r="C159" s="7"/>
      <c r="Q159" s="5"/>
    </row>
    <row r="160" spans="1:17" x14ac:dyDescent="0.25">
      <c r="A160" s="7"/>
      <c r="B160" s="7"/>
      <c r="C160" s="7"/>
      <c r="Q160" s="5"/>
    </row>
    <row r="161" spans="1:17" x14ac:dyDescent="0.25">
      <c r="A161" s="7"/>
      <c r="B161" s="7"/>
      <c r="C161" s="7"/>
      <c r="Q161" s="5"/>
    </row>
    <row r="162" spans="1:17" x14ac:dyDescent="0.25">
      <c r="A162" s="7"/>
      <c r="B162" s="7"/>
      <c r="C162" s="7"/>
      <c r="Q162" s="5"/>
    </row>
    <row r="163" spans="1:17" x14ac:dyDescent="0.25">
      <c r="A163" s="7"/>
      <c r="B163" s="7"/>
      <c r="C163" s="7"/>
      <c r="Q163" s="5"/>
    </row>
    <row r="164" spans="1:17" x14ac:dyDescent="0.25">
      <c r="A164" s="7"/>
      <c r="B164" s="7"/>
      <c r="C164" s="7"/>
      <c r="Q164" s="5"/>
    </row>
    <row r="165" spans="1:17" x14ac:dyDescent="0.25">
      <c r="A165" s="7"/>
      <c r="B165" s="7"/>
      <c r="C165" s="7"/>
      <c r="Q165" s="5"/>
    </row>
    <row r="166" spans="1:17" x14ac:dyDescent="0.25">
      <c r="A166" s="7"/>
      <c r="B166" s="7"/>
      <c r="C166" s="7"/>
      <c r="Q166" s="5"/>
    </row>
    <row r="167" spans="1:17" x14ac:dyDescent="0.25">
      <c r="A167" s="7"/>
      <c r="B167" s="7"/>
      <c r="C167" s="7"/>
      <c r="Q167" s="5"/>
    </row>
    <row r="168" spans="1:17" x14ac:dyDescent="0.25">
      <c r="A168" s="7"/>
      <c r="B168" s="7"/>
      <c r="C168" s="7"/>
      <c r="Q168" s="5"/>
    </row>
    <row r="169" spans="1:17" x14ac:dyDescent="0.25">
      <c r="A169" s="7"/>
      <c r="B169" s="7"/>
      <c r="C169" s="7"/>
      <c r="Q169" s="5"/>
    </row>
    <row r="170" spans="1:17" x14ac:dyDescent="0.25">
      <c r="A170" s="7"/>
      <c r="B170" s="7"/>
      <c r="C170" s="7"/>
      <c r="Q170" s="5"/>
    </row>
    <row r="171" spans="1:17" x14ac:dyDescent="0.25">
      <c r="A171" s="7"/>
      <c r="B171" s="7"/>
      <c r="C171" s="7"/>
      <c r="Q171" s="5"/>
    </row>
    <row r="172" spans="1:17" x14ac:dyDescent="0.25">
      <c r="A172" s="7"/>
      <c r="B172" s="7"/>
      <c r="C172" s="7"/>
      <c r="Q172" s="5"/>
    </row>
    <row r="173" spans="1:17" x14ac:dyDescent="0.25">
      <c r="A173" s="7"/>
      <c r="B173" s="7"/>
      <c r="C173" s="7"/>
      <c r="Q173" s="5"/>
    </row>
    <row r="174" spans="1:17" x14ac:dyDescent="0.25">
      <c r="A174" s="7"/>
      <c r="B174" s="7"/>
      <c r="C174" s="7"/>
      <c r="Q174" s="5"/>
    </row>
    <row r="175" spans="1:17" x14ac:dyDescent="0.25">
      <c r="A175" s="7"/>
      <c r="B175" s="7"/>
      <c r="C175" s="7"/>
      <c r="Q175" s="5"/>
    </row>
    <row r="176" spans="1:17" x14ac:dyDescent="0.25">
      <c r="A176" s="7"/>
      <c r="B176" s="7"/>
      <c r="C176" s="7"/>
      <c r="Q176" s="5"/>
    </row>
    <row r="177" spans="1:17" x14ac:dyDescent="0.25">
      <c r="A177" s="7"/>
      <c r="B177" s="7"/>
      <c r="C177" s="7"/>
      <c r="Q177" s="5"/>
    </row>
    <row r="178" spans="1:17" x14ac:dyDescent="0.25">
      <c r="A178" s="7"/>
      <c r="B178" s="7"/>
      <c r="C178" s="7"/>
      <c r="Q178" s="5"/>
    </row>
    <row r="179" spans="1:17" x14ac:dyDescent="0.25">
      <c r="A179" s="7"/>
      <c r="B179" s="7"/>
      <c r="C179" s="7"/>
      <c r="Q179" s="5"/>
    </row>
    <row r="180" spans="1:17" x14ac:dyDescent="0.25">
      <c r="A180" s="7"/>
      <c r="B180" s="7"/>
      <c r="C180" s="7"/>
      <c r="Q180" s="5"/>
    </row>
    <row r="181" spans="1:17" x14ac:dyDescent="0.25">
      <c r="A181" s="7"/>
      <c r="B181" s="7"/>
      <c r="C181" s="7"/>
      <c r="Q181" s="5"/>
    </row>
    <row r="182" spans="1:17" x14ac:dyDescent="0.25">
      <c r="A182" s="7"/>
      <c r="B182" s="7"/>
      <c r="C182" s="7"/>
      <c r="Q182" s="5"/>
    </row>
    <row r="183" spans="1:17" x14ac:dyDescent="0.25">
      <c r="A183" s="7"/>
      <c r="B183" s="7"/>
      <c r="C183" s="7"/>
      <c r="Q183" s="5"/>
    </row>
    <row r="184" spans="1:17" x14ac:dyDescent="0.25">
      <c r="A184" s="7"/>
      <c r="B184" s="7"/>
      <c r="C184" s="7"/>
      <c r="Q184" s="5"/>
    </row>
    <row r="185" spans="1:17" x14ac:dyDescent="0.25">
      <c r="A185" s="7"/>
      <c r="B185" s="7"/>
      <c r="C185" s="7"/>
      <c r="Q185" s="5"/>
    </row>
    <row r="186" spans="1:17" x14ac:dyDescent="0.25">
      <c r="A186" s="7"/>
      <c r="B186" s="7"/>
      <c r="C186" s="7"/>
      <c r="Q186" s="5"/>
    </row>
    <row r="187" spans="1:17" x14ac:dyDescent="0.25">
      <c r="A187" s="7"/>
      <c r="B187" s="7"/>
      <c r="C187" s="7"/>
      <c r="Q187" s="5"/>
    </row>
    <row r="188" spans="1:17" x14ac:dyDescent="0.25">
      <c r="A188" s="7"/>
      <c r="B188" s="7"/>
      <c r="C188" s="7"/>
      <c r="Q188" s="5"/>
    </row>
    <row r="189" spans="1:17" x14ac:dyDescent="0.25">
      <c r="A189" s="7"/>
      <c r="B189" s="7"/>
      <c r="C189" s="7"/>
      <c r="Q189" s="5"/>
    </row>
    <row r="190" spans="1:17" x14ac:dyDescent="0.25">
      <c r="A190" s="7"/>
      <c r="B190" s="7"/>
      <c r="C190" s="7"/>
      <c r="Q190" s="5"/>
    </row>
    <row r="191" spans="1:17" x14ac:dyDescent="0.25">
      <c r="A191" s="7"/>
      <c r="B191" s="7"/>
      <c r="C191" s="7"/>
      <c r="Q191" s="5"/>
    </row>
    <row r="192" spans="1:17" x14ac:dyDescent="0.25">
      <c r="A192" s="7"/>
      <c r="B192" s="7"/>
      <c r="C192" s="7"/>
      <c r="Q192" s="5"/>
    </row>
    <row r="193" spans="1:17" x14ac:dyDescent="0.25">
      <c r="A193" s="7"/>
      <c r="B193" s="7"/>
      <c r="C193" s="7"/>
      <c r="Q193" s="5"/>
    </row>
    <row r="194" spans="1:17" x14ac:dyDescent="0.25">
      <c r="A194" s="7"/>
      <c r="B194" s="7"/>
      <c r="C194" s="7"/>
      <c r="Q194" s="5"/>
    </row>
    <row r="195" spans="1:17" x14ac:dyDescent="0.25">
      <c r="A195" s="7"/>
      <c r="B195" s="7"/>
      <c r="C195" s="7"/>
      <c r="Q195" s="5"/>
    </row>
    <row r="196" spans="1:17" x14ac:dyDescent="0.25">
      <c r="A196" s="7"/>
      <c r="B196" s="7"/>
      <c r="C196" s="7"/>
      <c r="Q196" s="5"/>
    </row>
    <row r="197" spans="1:17" x14ac:dyDescent="0.25">
      <c r="A197" s="7"/>
      <c r="B197" s="7"/>
      <c r="C197" s="7"/>
      <c r="Q197" s="5"/>
    </row>
    <row r="198" spans="1:17" x14ac:dyDescent="0.25">
      <c r="A198" s="7"/>
      <c r="B198" s="7"/>
      <c r="C198" s="7"/>
      <c r="Q198" s="5"/>
    </row>
    <row r="199" spans="1:17" x14ac:dyDescent="0.25">
      <c r="A199" s="7"/>
      <c r="B199" s="7"/>
      <c r="C199" s="7"/>
      <c r="Q199" s="5"/>
    </row>
    <row r="200" spans="1:17" x14ac:dyDescent="0.25">
      <c r="A200" s="7"/>
      <c r="B200" s="7"/>
      <c r="C200" s="7"/>
      <c r="Q200" s="5"/>
    </row>
    <row r="201" spans="1:17" x14ac:dyDescent="0.25">
      <c r="A201" s="7"/>
      <c r="B201" s="7"/>
      <c r="C201" s="7"/>
      <c r="Q201" s="5"/>
    </row>
    <row r="202" spans="1:17" x14ac:dyDescent="0.25">
      <c r="A202" s="7"/>
      <c r="B202" s="7"/>
      <c r="C202" s="7"/>
      <c r="Q202" s="5"/>
    </row>
    <row r="203" spans="1:17" x14ac:dyDescent="0.25">
      <c r="A203" s="7"/>
      <c r="B203" s="7"/>
      <c r="C203" s="7"/>
      <c r="Q203" s="5"/>
    </row>
    <row r="204" spans="1:17" x14ac:dyDescent="0.25">
      <c r="A204" s="7"/>
      <c r="B204" s="7"/>
      <c r="C204" s="7"/>
      <c r="Q204" s="5"/>
    </row>
    <row r="205" spans="1:17" x14ac:dyDescent="0.25">
      <c r="A205" s="7"/>
      <c r="B205" s="7"/>
      <c r="C205" s="7"/>
      <c r="Q205" s="5"/>
    </row>
    <row r="206" spans="1:17" x14ac:dyDescent="0.25">
      <c r="A206" s="7"/>
      <c r="B206" s="7"/>
      <c r="C206" s="7"/>
      <c r="Q206" s="5"/>
    </row>
    <row r="207" spans="1:17" x14ac:dyDescent="0.25">
      <c r="A207" s="7"/>
      <c r="B207" s="7"/>
      <c r="C207" s="7"/>
      <c r="Q207" s="5"/>
    </row>
    <row r="208" spans="1:17" x14ac:dyDescent="0.25">
      <c r="A208" s="7"/>
      <c r="B208" s="7"/>
      <c r="C208" s="7"/>
      <c r="Q208" s="5"/>
    </row>
    <row r="209" spans="1:17" x14ac:dyDescent="0.25">
      <c r="A209" s="7"/>
      <c r="B209" s="7"/>
      <c r="C209" s="7"/>
      <c r="Q209" s="5"/>
    </row>
    <row r="210" spans="1:17" x14ac:dyDescent="0.25">
      <c r="A210" s="7"/>
      <c r="B210" s="7"/>
      <c r="C210" s="7"/>
      <c r="Q210" s="5"/>
    </row>
    <row r="211" spans="1:17" x14ac:dyDescent="0.25">
      <c r="A211" s="7"/>
      <c r="B211" s="7"/>
      <c r="C211" s="7"/>
      <c r="Q211" s="5"/>
    </row>
    <row r="212" spans="1:17" x14ac:dyDescent="0.25">
      <c r="A212" s="7"/>
      <c r="B212" s="7"/>
      <c r="C212" s="7"/>
      <c r="Q212" s="5"/>
    </row>
    <row r="213" spans="1:17" x14ac:dyDescent="0.25">
      <c r="A213" s="7"/>
      <c r="B213" s="7"/>
      <c r="C213" s="7"/>
      <c r="Q213" s="5"/>
    </row>
    <row r="214" spans="1:17" x14ac:dyDescent="0.25">
      <c r="A214" s="8"/>
      <c r="B214" s="8"/>
      <c r="C214" s="8"/>
      <c r="Q214" s="5"/>
    </row>
    <row r="215" spans="1:17" x14ac:dyDescent="0.25">
      <c r="A215" s="8"/>
      <c r="B215" s="8"/>
      <c r="C215" s="8"/>
      <c r="Q215" s="5"/>
    </row>
    <row r="216" spans="1:17" x14ac:dyDescent="0.25">
      <c r="A216" s="8"/>
      <c r="B216" s="8"/>
      <c r="C216" s="8"/>
      <c r="Q216" s="5"/>
    </row>
    <row r="217" spans="1:17" x14ac:dyDescent="0.25">
      <c r="A217" s="8"/>
      <c r="B217" s="8"/>
      <c r="C217" s="8"/>
      <c r="Q217" s="5"/>
    </row>
  </sheetData>
  <autoFilter ref="BU1:BU217"/>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计算机设备&quot;,&quot;&quot;'" altText="更新基本面按钮_x000a_">
                <anchor moveWithCells="1" sizeWithCells="1">
                  <from>
                    <xdr:col>147</xdr:col>
                    <xdr:colOff>298450</xdr:colOff>
                    <xdr:row>0</xdr:row>
                    <xdr:rowOff>139700</xdr:rowOff>
                  </from>
                  <to>
                    <xdr:col>147</xdr:col>
                    <xdr:colOff>1473200</xdr:colOff>
                    <xdr:row>0</xdr:row>
                    <xdr:rowOff>450850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计算机设备</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2024-07-07T15:08:50Z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