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4Investment\value-investment\估值分析\SW1L计算机\"/>
    </mc:Choice>
  </mc:AlternateContent>
  <bookViews>
    <workbookView xWindow="0" yWindow="0" windowWidth="3800" windowHeight="2950"/>
  </bookViews>
  <sheets>
    <sheet name="计算机应用" sheetId="18" r:id="rId1"/>
    <sheet name="估值-增速与年化收益" sheetId="14" r:id="rId2"/>
  </sheets>
  <functionGroups builtInGroupCount="18"/>
  <definedNames>
    <definedName name="_xlnm._FilterDatabase" localSheetId="0" hidden="1">计算机应用!$BU$1:$BU$122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15" i="18"/>
  <c r="C114" i="18"/>
  <c r="C113" i="18"/>
  <c r="C112" i="18"/>
  <c r="C111" i="18"/>
  <c r="C110" i="18"/>
  <c r="C109" i="18"/>
  <c r="C108" i="18"/>
  <c r="C107" i="18"/>
  <c r="C106" i="18"/>
  <c r="C105" i="18"/>
  <c r="C104" i="18"/>
  <c r="C103" i="18"/>
  <c r="C102" i="18"/>
  <c r="C101" i="18"/>
  <c r="C100" i="18"/>
  <c r="C99" i="18"/>
  <c r="C98" i="18"/>
  <c r="C97" i="18"/>
  <c r="C96" i="18"/>
  <c r="C95" i="18"/>
  <c r="C94"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C3" i="18"/>
  <c r="C2" i="18"/>
</calcChain>
</file>

<file path=xl/sharedStrings.xml><?xml version="1.0" encoding="utf-8"?>
<sst xmlns="http://schemas.openxmlformats.org/spreadsheetml/2006/main" count="6474" uniqueCount="3990">
  <si>
    <t>&lt;-增速</t>
    <phoneticPr fontId="1" type="noConversion"/>
  </si>
  <si>
    <t>&lt;-估值</t>
    <phoneticPr fontId="1" type="noConversion"/>
  </si>
  <si>
    <t>&lt;-折合年化收益</t>
    <phoneticPr fontId="1" type="noConversion"/>
  </si>
  <si>
    <t>现价</t>
  </si>
  <si>
    <t>市净率</t>
  </si>
  <si>
    <t>信雅达</t>
  </si>
  <si>
    <t>中科信息</t>
  </si>
  <si>
    <t>荣科科技</t>
  </si>
  <si>
    <t>常山北明</t>
  </si>
  <si>
    <t>新开普</t>
  </si>
  <si>
    <t>浩云科技</t>
  </si>
  <si>
    <t>太极股份</t>
  </si>
  <si>
    <t>今天国际</t>
  </si>
  <si>
    <t>榕基软件</t>
  </si>
  <si>
    <t>宇信科技</t>
  </si>
  <si>
    <t>华胜天成</t>
  </si>
  <si>
    <t>佳都科技</t>
  </si>
  <si>
    <t>彩讯股份</t>
  </si>
  <si>
    <t>中科创达</t>
  </si>
  <si>
    <t>先进数通</t>
  </si>
  <si>
    <t>东软集团</t>
  </si>
  <si>
    <t>万达信息</t>
  </si>
  <si>
    <t>辰安科技</t>
  </si>
  <si>
    <t>捷顺科技</t>
  </si>
  <si>
    <t>汇纳科技</t>
  </si>
  <si>
    <t>启明信息</t>
  </si>
  <si>
    <t>东方国信</t>
  </si>
  <si>
    <t>久远银海</t>
  </si>
  <si>
    <t>中科金财</t>
  </si>
  <si>
    <t>海量数据</t>
  </si>
  <si>
    <t>真视通</t>
  </si>
  <si>
    <t>初灵信息</t>
  </si>
  <si>
    <t>朗玛信息</t>
  </si>
  <si>
    <t>浪潮软件</t>
  </si>
  <si>
    <t>天玑科技</t>
  </si>
  <si>
    <t>航天信息</t>
  </si>
  <si>
    <t>皖通科技</t>
  </si>
  <si>
    <t>浙大网新</t>
  </si>
  <si>
    <t>运达科技</t>
  </si>
  <si>
    <t>赛意信息</t>
  </si>
  <si>
    <t>达实智能</t>
  </si>
  <si>
    <t>宝信软件</t>
  </si>
  <si>
    <t>南威软件</t>
  </si>
  <si>
    <t>润和软件</t>
  </si>
  <si>
    <t>千方科技</t>
  </si>
  <si>
    <t>世纪瑞尔</t>
  </si>
  <si>
    <t>中远海科</t>
  </si>
  <si>
    <t>易华录</t>
  </si>
  <si>
    <t>东华软件</t>
  </si>
  <si>
    <t>汉得信息</t>
  </si>
  <si>
    <t>神州信息</t>
  </si>
  <si>
    <t>银信科技</t>
  </si>
  <si>
    <t>博彦科技</t>
  </si>
  <si>
    <t>神州数码</t>
  </si>
  <si>
    <t>浩丰科技</t>
  </si>
  <si>
    <t>飞利信</t>
  </si>
  <si>
    <t>海联讯</t>
  </si>
  <si>
    <t>佳创视讯</t>
  </si>
  <si>
    <t>中国软件</t>
  </si>
  <si>
    <t>湘邮科技</t>
  </si>
  <si>
    <t>--</t>
  </si>
  <si>
    <t>3.96亿</t>
  </si>
  <si>
    <t>2.93亿</t>
  </si>
  <si>
    <t>1.92亿</t>
  </si>
  <si>
    <t>3.48亿</t>
  </si>
  <si>
    <t>总市值</t>
  </si>
  <si>
    <t>TTM市盈率</t>
  </si>
  <si>
    <t>所属行业</t>
  </si>
  <si>
    <t>SH600718</t>
  </si>
  <si>
    <t>SH600536</t>
  </si>
  <si>
    <t>SH600131</t>
  </si>
  <si>
    <t>SZ002474</t>
  </si>
  <si>
    <t>SZ002657</t>
  </si>
  <si>
    <t>SH688258</t>
  </si>
  <si>
    <t>卓易信息</t>
  </si>
  <si>
    <t>SH600571</t>
  </si>
  <si>
    <t>SZ300523</t>
  </si>
  <si>
    <t>SZ300290</t>
  </si>
  <si>
    <t>SZ300168</t>
  </si>
  <si>
    <t>SZ300277</t>
  </si>
  <si>
    <t>SZ300079</t>
  </si>
  <si>
    <t>SZ300532</t>
  </si>
  <si>
    <t>SZ300096</t>
  </si>
  <si>
    <t>SH688039</t>
  </si>
  <si>
    <t>当虹科技</t>
  </si>
  <si>
    <t>SH688088</t>
  </si>
  <si>
    <t>虹软科技</t>
  </si>
  <si>
    <t>SZ300399</t>
  </si>
  <si>
    <t>SH603138</t>
  </si>
  <si>
    <t>SZ300496</t>
  </si>
  <si>
    <t>SZ300678</t>
  </si>
  <si>
    <t>SZ300044</t>
  </si>
  <si>
    <t>SZ300245</t>
  </si>
  <si>
    <t>SZ002771</t>
  </si>
  <si>
    <t>SZ300541</t>
  </si>
  <si>
    <t>SH600797</t>
  </si>
  <si>
    <t>SZ300674</t>
  </si>
  <si>
    <t>SZ300300</t>
  </si>
  <si>
    <t>SZ002777</t>
  </si>
  <si>
    <t>SZ000158</t>
  </si>
  <si>
    <t>SZ002232</t>
  </si>
  <si>
    <t>SZ002368</t>
  </si>
  <si>
    <t>SZ300609</t>
  </si>
  <si>
    <t>SZ002609</t>
  </si>
  <si>
    <t>SZ300288</t>
  </si>
  <si>
    <t>SH603636</t>
  </si>
  <si>
    <t>SZ300212</t>
  </si>
  <si>
    <t>SH600845</t>
  </si>
  <si>
    <t>SZ300634</t>
  </si>
  <si>
    <t>SH600756</t>
  </si>
  <si>
    <t>SZ300170</t>
  </si>
  <si>
    <t>SZ002401</t>
  </si>
  <si>
    <t>SZ300448</t>
  </si>
  <si>
    <t>SZ300020</t>
  </si>
  <si>
    <t>SH600850</t>
  </si>
  <si>
    <t>SZ300339</t>
  </si>
  <si>
    <t>SZ002421</t>
  </si>
  <si>
    <t>SZ002065</t>
  </si>
  <si>
    <t>SZ300248</t>
  </si>
  <si>
    <t>SZ300687</t>
  </si>
  <si>
    <t>SZ000938</t>
  </si>
  <si>
    <t>紫光股份</t>
  </si>
  <si>
    <t>SZ002331</t>
  </si>
  <si>
    <t>SZ002373</t>
  </si>
  <si>
    <t>SZ300440</t>
  </si>
  <si>
    <t>SZ300231</t>
  </si>
  <si>
    <t>SZ300166</t>
  </si>
  <si>
    <t>SH603869</t>
  </si>
  <si>
    <t>SZ300682</t>
  </si>
  <si>
    <t>SH600271</t>
  </si>
  <si>
    <t>SH600728</t>
  </si>
  <si>
    <t>SZ002649</t>
  </si>
  <si>
    <t>SZ000034</t>
  </si>
  <si>
    <t>SZ002195</t>
  </si>
  <si>
    <t>SH688158</t>
  </si>
  <si>
    <t>SH600410</t>
  </si>
  <si>
    <t>SH600446</t>
  </si>
  <si>
    <t>SH600476</t>
  </si>
  <si>
    <t>SZ000555</t>
  </si>
  <si>
    <t>SZ002642</t>
  </si>
  <si>
    <t>SZ300150</t>
  </si>
  <si>
    <t>SZ300167</t>
  </si>
  <si>
    <t>SZ300250</t>
  </si>
  <si>
    <t>SZ300264</t>
  </si>
  <si>
    <t>SZ300287</t>
  </si>
  <si>
    <t>SZ300419</t>
  </si>
  <si>
    <t>SH688365</t>
  </si>
  <si>
    <t>光云科技</t>
  </si>
  <si>
    <t>SH688004</t>
  </si>
  <si>
    <t>博汇科技</t>
  </si>
  <si>
    <t>优刻得-W</t>
  </si>
  <si>
    <t>SH688051</t>
  </si>
  <si>
    <t>佳华科技</t>
  </si>
  <si>
    <t>国网信通</t>
  </si>
  <si>
    <t>SH688228</t>
  </si>
  <si>
    <t>开普云</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</si>
  <si>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</si>
  <si>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</si>
  <si>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</si>
  <si>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</si>
  <si>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</si>
  <si>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</si>
  <si>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</si>
  <si>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</si>
  <si>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</si>
  <si>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</si>
  <si>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</si>
  <si>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1.08亿</t>
  </si>
  <si>
    <t>0亿</t>
  </si>
  <si>
    <t>868.03亿</t>
  </si>
  <si>
    <t>7.01亿</t>
  </si>
  <si>
    <t>1.00亿</t>
  </si>
  <si>
    <t>3.05亿</t>
  </si>
  <si>
    <t>2.18亿</t>
  </si>
  <si>
    <t>1.59亿</t>
  </si>
  <si>
    <t>9.50亿</t>
  </si>
  <si>
    <t>94.47亿</t>
  </si>
  <si>
    <t>1.01亿</t>
  </si>
  <si>
    <t>1.22亿</t>
  </si>
  <si>
    <t>1.51亿</t>
  </si>
  <si>
    <t>1.29亿</t>
  </si>
  <si>
    <t>-1.95亿</t>
  </si>
  <si>
    <t>1.68亿</t>
  </si>
  <si>
    <t>101.46亿</t>
  </si>
  <si>
    <t>3.76亿</t>
  </si>
  <si>
    <t>1.66亿</t>
  </si>
  <si>
    <t>1.53亿</t>
  </si>
  <si>
    <t>4.70亿</t>
  </si>
  <si>
    <t>7.82亿</t>
  </si>
  <si>
    <t>11.18亿</t>
  </si>
  <si>
    <t>6.55亿</t>
  </si>
  <si>
    <t>1.60亿</t>
  </si>
  <si>
    <t>540.99亿</t>
  </si>
  <si>
    <t>18.43亿</t>
  </si>
  <si>
    <t>13.67亿</t>
  </si>
  <si>
    <t>5.65亿</t>
  </si>
  <si>
    <t>1.15亿</t>
  </si>
  <si>
    <t>2.17亿</t>
  </si>
  <si>
    <t>2.76亿</t>
  </si>
  <si>
    <t>15.65亿</t>
  </si>
  <si>
    <t>2.27亿</t>
  </si>
  <si>
    <t>5.69亿</t>
  </si>
  <si>
    <t>2.20亿</t>
  </si>
  <si>
    <t>1.62亿</t>
  </si>
  <si>
    <t>2.36亿</t>
  </si>
  <si>
    <t>1.70亿</t>
  </si>
  <si>
    <t>1.19亿</t>
  </si>
  <si>
    <t>1.27亿</t>
  </si>
  <si>
    <t>88.49亿</t>
  </si>
  <si>
    <t>5.84亿</t>
  </si>
  <si>
    <t>1.84亿</t>
  </si>
  <si>
    <t>2.74亿</t>
  </si>
  <si>
    <t>3.89亿</t>
  </si>
  <si>
    <t>2.35亿</t>
  </si>
  <si>
    <t>2.02亿</t>
  </si>
  <si>
    <t>5.86亿</t>
  </si>
  <si>
    <t>3.68亿</t>
  </si>
  <si>
    <t>1.39亿</t>
  </si>
  <si>
    <t>3.04亿</t>
  </si>
  <si>
    <t>3.20亿</t>
  </si>
  <si>
    <t>2.00亿</t>
  </si>
  <si>
    <t>5.90亿</t>
  </si>
  <si>
    <t>24.41亿</t>
  </si>
  <si>
    <t>7.59亿</t>
  </si>
  <si>
    <t>5.47亿</t>
  </si>
  <si>
    <t>3.02亿</t>
  </si>
  <si>
    <t>1.07亿</t>
  </si>
  <si>
    <t>1.73亿</t>
  </si>
  <si>
    <t>1.34亿</t>
  </si>
  <si>
    <t>3.18亿</t>
  </si>
  <si>
    <t>4.01亿</t>
  </si>
  <si>
    <t>2.55亿</t>
  </si>
  <si>
    <t>1.50亿</t>
  </si>
  <si>
    <t>4.06亿</t>
  </si>
  <si>
    <t>4.44亿</t>
  </si>
  <si>
    <t>1.95亿</t>
  </si>
  <si>
    <t>1.55亿</t>
  </si>
  <si>
    <t>1.09亿</t>
  </si>
  <si>
    <t>6.60亿</t>
  </si>
  <si>
    <t>15.21亿</t>
  </si>
  <si>
    <t>9083.12万</t>
  </si>
  <si>
    <t>4.68亿</t>
  </si>
  <si>
    <t>4.95亿</t>
  </si>
  <si>
    <t>3.43亿</t>
  </si>
  <si>
    <t>1.40亿</t>
  </si>
  <si>
    <t>3.45亿</t>
  </si>
  <si>
    <t>1.49亿</t>
  </si>
  <si>
    <t>1.75亿</t>
  </si>
  <si>
    <t>1.30亿</t>
  </si>
  <si>
    <t>1.42亿</t>
  </si>
  <si>
    <t>6.09亿</t>
  </si>
  <si>
    <t>2.09亿</t>
  </si>
  <si>
    <t>1.80亿</t>
  </si>
  <si>
    <t>2.62亿</t>
  </si>
  <si>
    <t>2.42亿</t>
  </si>
  <si>
    <t>1.10亿</t>
  </si>
  <si>
    <t>2.85亿</t>
  </si>
  <si>
    <t>7.63亿</t>
  </si>
  <si>
    <t>1.26亿</t>
  </si>
  <si>
    <t>1.48亿</t>
  </si>
  <si>
    <t>1.86亿</t>
  </si>
  <si>
    <t>3.12亿</t>
  </si>
  <si>
    <t>3.52亿</t>
  </si>
  <si>
    <t>2.64亿</t>
  </si>
  <si>
    <t>1.03亿</t>
  </si>
  <si>
    <t>2.71亿</t>
  </si>
  <si>
    <t>14.60亿</t>
  </si>
  <si>
    <t>1.69亿</t>
  </si>
  <si>
    <t>5.80亿</t>
  </si>
  <si>
    <t>4.63亿</t>
  </si>
  <si>
    <t>3.55亿</t>
  </si>
  <si>
    <t>4.65亿</t>
  </si>
  <si>
    <t>2.07亿</t>
  </si>
  <si>
    <t>15.80亿</t>
  </si>
  <si>
    <t>1.54亿</t>
  </si>
  <si>
    <t>1.14亿</t>
  </si>
  <si>
    <t>3.03亿</t>
  </si>
  <si>
    <t>7.12亿</t>
  </si>
  <si>
    <t>2.43亿</t>
  </si>
  <si>
    <t>1.12亿</t>
  </si>
  <si>
    <t>10.16亿</t>
  </si>
  <si>
    <t>2.75亿</t>
  </si>
  <si>
    <t>1.83亿</t>
  </si>
  <si>
    <t>1.64亿</t>
  </si>
  <si>
    <t>70.63亿</t>
  </si>
  <si>
    <t>3.35亿</t>
  </si>
  <si>
    <t>4.89亿</t>
  </si>
  <si>
    <t>1.79亿</t>
  </si>
  <si>
    <t>2.89亿</t>
  </si>
  <si>
    <t>24.80亿</t>
  </si>
  <si>
    <t>87.22亿</t>
  </si>
  <si>
    <t>10.13亿</t>
  </si>
  <si>
    <t>3.79亿</t>
  </si>
  <si>
    <t>1.46亿</t>
  </si>
  <si>
    <t>3.98亿</t>
  </si>
  <si>
    <t>1.82亿</t>
  </si>
  <si>
    <t>1.13亿</t>
  </si>
  <si>
    <t>1.17亿</t>
  </si>
  <si>
    <t>12.04亿</t>
  </si>
  <si>
    <t>9664.10万</t>
  </si>
  <si>
    <t>4.56亿</t>
  </si>
  <si>
    <t>3.01亿</t>
  </si>
  <si>
    <t>9.45亿</t>
  </si>
  <si>
    <t>3.39亿</t>
  </si>
  <si>
    <t>5.39亿</t>
  </si>
  <si>
    <t>12.03亿</t>
  </si>
  <si>
    <t>2.10亿</t>
  </si>
  <si>
    <t>24.87亿</t>
  </si>
  <si>
    <t>1.02亿</t>
  </si>
  <si>
    <t>5.50亿</t>
  </si>
  <si>
    <t>1.25亿</t>
  </si>
  <si>
    <t>1.44亿</t>
  </si>
  <si>
    <t>22.06亿</t>
  </si>
  <si>
    <t>-3.43亿</t>
  </si>
  <si>
    <t>1.37亿</t>
  </si>
  <si>
    <t>3.22亿</t>
  </si>
  <si>
    <t>4.66亿</t>
  </si>
  <si>
    <t>4.97亿</t>
  </si>
  <si>
    <t>6.88亿</t>
  </si>
  <si>
    <t>2.82亿</t>
  </si>
  <si>
    <t>7.09亿</t>
  </si>
  <si>
    <t>2.04亿</t>
  </si>
  <si>
    <t>2.91亿</t>
  </si>
  <si>
    <t>1.93亿</t>
  </si>
  <si>
    <t>7.27亿</t>
  </si>
  <si>
    <t>4981.60万</t>
  </si>
  <si>
    <t>2.65亿</t>
  </si>
  <si>
    <t>2.52亿</t>
  </si>
  <si>
    <t>4.15亿</t>
  </si>
  <si>
    <t>3.31亿</t>
  </si>
  <si>
    <t>2.58亿</t>
  </si>
  <si>
    <t>3.91亿</t>
  </si>
  <si>
    <t>3.93亿</t>
  </si>
  <si>
    <t>4.98亿</t>
  </si>
  <si>
    <t>11.64亿</t>
  </si>
  <si>
    <t>3.87亿</t>
  </si>
  <si>
    <t>1.06亿</t>
  </si>
  <si>
    <t>1.43亿</t>
  </si>
  <si>
    <t>荣联科技</t>
  </si>
  <si>
    <t>32.57亿</t>
  </si>
  <si>
    <t>3560.72万</t>
  </si>
  <si>
    <t>2.77亿</t>
  </si>
  <si>
    <t>4.76亿</t>
  </si>
  <si>
    <t>2.16亿</t>
  </si>
  <si>
    <t>36.88亿</t>
  </si>
  <si>
    <t>2.46亿</t>
  </si>
  <si>
    <t>15.76亿</t>
  </si>
  <si>
    <t>3.25亿</t>
  </si>
  <si>
    <t>3.86亿</t>
  </si>
  <si>
    <t>2.06亿</t>
  </si>
  <si>
    <t>16.72亿</t>
  </si>
  <si>
    <t>-2.82亿</t>
  </si>
  <si>
    <t>4.86亿</t>
  </si>
  <si>
    <t>1.96亿</t>
  </si>
  <si>
    <t>3.28亿</t>
  </si>
  <si>
    <t>9.39亿</t>
  </si>
  <si>
    <t>1.31亿</t>
  </si>
  <si>
    <t>6.90亿</t>
  </si>
  <si>
    <t>7.45亿</t>
  </si>
  <si>
    <t>3433.41万</t>
  </si>
  <si>
    <t>1.61亿</t>
  </si>
  <si>
    <t>2.51亿</t>
  </si>
  <si>
    <t>3.70亿</t>
  </si>
  <si>
    <t>5.08亿</t>
  </si>
  <si>
    <t>2.22亿</t>
  </si>
  <si>
    <t>2.08亿</t>
  </si>
  <si>
    <t>2.59亿</t>
  </si>
  <si>
    <t>8.07亿</t>
  </si>
  <si>
    <t>2.13亿</t>
  </si>
  <si>
    <t>3.19亿</t>
  </si>
  <si>
    <t>2.30亿</t>
  </si>
  <si>
    <t>1.18亿</t>
  </si>
  <si>
    <t>3.81亿</t>
  </si>
  <si>
    <t>2.33亿</t>
  </si>
  <si>
    <t>20.80亿</t>
  </si>
  <si>
    <t>8.06亿</t>
  </si>
  <si>
    <t>5.12亿</t>
  </si>
  <si>
    <t>8.98亿</t>
  </si>
  <si>
    <t>1.28亿</t>
  </si>
  <si>
    <t>2.63亿</t>
  </si>
  <si>
    <t>4.26亿</t>
  </si>
  <si>
    <t>2.19亿</t>
  </si>
  <si>
    <t>2.32亿</t>
  </si>
  <si>
    <t>3.64亿</t>
  </si>
  <si>
    <t>18.27亿</t>
  </si>
  <si>
    <t>2.96亿</t>
  </si>
  <si>
    <t>2.01亿</t>
  </si>
  <si>
    <t>1.47亿</t>
  </si>
  <si>
    <t>12.58亿</t>
  </si>
  <si>
    <t>4.19亿</t>
  </si>
  <si>
    <t>6.68亿</t>
  </si>
  <si>
    <t>5.54亿</t>
  </si>
  <si>
    <t>6987.19万</t>
  </si>
  <si>
    <t>4.10亿</t>
  </si>
  <si>
    <t>3.40亿</t>
  </si>
  <si>
    <t>1.41亿</t>
  </si>
  <si>
    <t>7.50亿</t>
  </si>
  <si>
    <t>9.49亿</t>
  </si>
  <si>
    <t>1050.57万</t>
  </si>
  <si>
    <t>3.84亿</t>
  </si>
  <si>
    <t>3.17亿</t>
  </si>
  <si>
    <t>8.94亿</t>
  </si>
  <si>
    <t>1.05亿</t>
  </si>
  <si>
    <t>1.23亿</t>
  </si>
  <si>
    <t>2.60亿</t>
  </si>
  <si>
    <t>21.50亿</t>
  </si>
  <si>
    <t>5.03亿</t>
  </si>
  <si>
    <t>5.51亿</t>
  </si>
  <si>
    <t>4.08亿</t>
  </si>
  <si>
    <t>1.20亿</t>
  </si>
  <si>
    <t>3.97亿</t>
  </si>
  <si>
    <t>5.67亿</t>
  </si>
  <si>
    <t>5.25亿</t>
  </si>
  <si>
    <t>1781.43万</t>
  </si>
  <si>
    <t>1.45亿</t>
  </si>
  <si>
    <t>1.85亿</t>
  </si>
  <si>
    <t>21.25亿</t>
  </si>
  <si>
    <t>-13.97亿</t>
  </si>
  <si>
    <t>5.70亿</t>
  </si>
  <si>
    <t>27.23亿</t>
  </si>
  <si>
    <t>8611.42万</t>
  </si>
  <si>
    <t>8.79亿</t>
  </si>
  <si>
    <t>2.90亿</t>
  </si>
  <si>
    <t>6.40亿</t>
  </si>
  <si>
    <t>1.56亿</t>
  </si>
  <si>
    <t>37.44亿</t>
  </si>
  <si>
    <t>1.57亿</t>
  </si>
  <si>
    <t>3.14亿</t>
  </si>
  <si>
    <t>2.53亿</t>
  </si>
  <si>
    <t>1.72亿</t>
  </si>
  <si>
    <t>12.66亿</t>
  </si>
  <si>
    <t>15.42亿</t>
  </si>
  <si>
    <t>1.35亿</t>
  </si>
  <si>
    <t>8.09亿</t>
  </si>
  <si>
    <t>2.49亿</t>
  </si>
  <si>
    <t>4.22亿</t>
  </si>
  <si>
    <t>3.83亿</t>
  </si>
  <si>
    <t>9.64亿</t>
  </si>
  <si>
    <t>1.58亿</t>
  </si>
  <si>
    <t>3.09亿</t>
  </si>
  <si>
    <t>1.04亿</t>
  </si>
  <si>
    <t>1.36亿</t>
  </si>
  <si>
    <t>6.01亿</t>
  </si>
  <si>
    <t>4.60亿</t>
  </si>
  <si>
    <t>1.87亿</t>
  </si>
  <si>
    <t>1.67亿</t>
  </si>
  <si>
    <t>4710.62万</t>
  </si>
  <si>
    <t>2.81亿</t>
  </si>
  <si>
    <t>1.52亿</t>
  </si>
  <si>
    <t>19.08亿</t>
  </si>
  <si>
    <t>4.50亿</t>
  </si>
  <si>
    <t>3.32亿</t>
  </si>
  <si>
    <t>2.39亿</t>
  </si>
  <si>
    <t>-1.58亿</t>
  </si>
  <si>
    <t>1.24亿</t>
  </si>
  <si>
    <t>3.94亿</t>
  </si>
  <si>
    <t>1083.51万</t>
  </si>
  <si>
    <t>14.72亿</t>
  </si>
  <si>
    <t>3209.04万</t>
  </si>
  <si>
    <t>4.04亿</t>
  </si>
  <si>
    <t>2.38亿</t>
  </si>
  <si>
    <t>4.96亿</t>
  </si>
  <si>
    <t>4.36亿</t>
  </si>
  <si>
    <t>6590.94万</t>
  </si>
  <si>
    <t>1.71亿</t>
  </si>
  <si>
    <t>1.11亿</t>
  </si>
  <si>
    <t>1.94亿</t>
  </si>
  <si>
    <t>5.42亿</t>
  </si>
  <si>
    <t>7.24亿</t>
  </si>
  <si>
    <t>4315.36万</t>
  </si>
  <si>
    <t>2.28亿</t>
  </si>
  <si>
    <t>4.52亿</t>
  </si>
  <si>
    <t>-7.93亿</t>
  </si>
  <si>
    <t>9.96亿</t>
  </si>
  <si>
    <t>-1.01亿</t>
  </si>
  <si>
    <t>3.33亿</t>
  </si>
  <si>
    <t>1.76亿</t>
  </si>
  <si>
    <t>2.41亿</t>
  </si>
  <si>
    <t>4.20亿</t>
  </si>
  <si>
    <t>2.61亿</t>
  </si>
  <si>
    <t>1.32亿</t>
  </si>
  <si>
    <t>21.21亿</t>
  </si>
  <si>
    <t>-17.94亿</t>
  </si>
  <si>
    <t>5.15亿</t>
  </si>
  <si>
    <t>11.54亿</t>
  </si>
  <si>
    <t>13.11亿</t>
  </si>
  <si>
    <t>1.38亿</t>
  </si>
  <si>
    <t>1.90亿</t>
  </si>
  <si>
    <t>5.64亿</t>
  </si>
  <si>
    <t>2.57亿</t>
  </si>
  <si>
    <t>1.21亿</t>
  </si>
  <si>
    <t>2.95亿</t>
  </si>
  <si>
    <t>2.11亿</t>
  </si>
  <si>
    <t>5.18亿</t>
  </si>
  <si>
    <t>4.00亿</t>
  </si>
  <si>
    <t>3.69亿</t>
  </si>
  <si>
    <t>3.54亿</t>
  </si>
  <si>
    <t>5.10亿</t>
  </si>
  <si>
    <t>8.04亿</t>
  </si>
  <si>
    <t>1.16亿</t>
  </si>
  <si>
    <t>2.40亿</t>
  </si>
  <si>
    <t>6.23亿</t>
  </si>
  <si>
    <t>2.86亿</t>
  </si>
  <si>
    <t>2.31亿</t>
  </si>
  <si>
    <t>6.47亿</t>
  </si>
  <si>
    <t>1.98亿</t>
  </si>
  <si>
    <t>4.75亿</t>
  </si>
  <si>
    <t>1879.04万</t>
  </si>
  <si>
    <t>6.21亿</t>
  </si>
  <si>
    <t>-2960.45万</t>
  </si>
  <si>
    <t>13.45亿</t>
  </si>
  <si>
    <t>1.33亿</t>
  </si>
  <si>
    <t>7.84亿</t>
  </si>
  <si>
    <t>3.10亿</t>
  </si>
  <si>
    <t>2.25亿</t>
  </si>
  <si>
    <t>3.47亿</t>
  </si>
  <si>
    <t>2.21亿</t>
  </si>
  <si>
    <t>7.77亿</t>
  </si>
  <si>
    <t>6.38亿</t>
  </si>
  <si>
    <t>17.58亿</t>
  </si>
  <si>
    <t>3.44亿</t>
  </si>
  <si>
    <t>5.26亿</t>
  </si>
  <si>
    <t>2.26亿</t>
  </si>
  <si>
    <t>4.18亿</t>
  </si>
  <si>
    <t>3.00亿</t>
  </si>
  <si>
    <t>2.44亿</t>
  </si>
  <si>
    <t>1.91亿</t>
  </si>
  <si>
    <t>6.73亿</t>
  </si>
  <si>
    <t>4.09亿</t>
  </si>
  <si>
    <t>2.80亿</t>
  </si>
  <si>
    <t>5.04亿</t>
  </si>
  <si>
    <t>4751.48万</t>
  </si>
  <si>
    <t>3.13亿</t>
  </si>
  <si>
    <t>17.93亿</t>
  </si>
  <si>
    <t>7086.92万</t>
  </si>
  <si>
    <t>4.13亿</t>
  </si>
  <si>
    <t>4.53亿</t>
  </si>
  <si>
    <t>5.11亿</t>
  </si>
  <si>
    <t>3.38亿</t>
  </si>
  <si>
    <t>3.61亿</t>
  </si>
  <si>
    <t>3.21亿</t>
  </si>
  <si>
    <t>2.05亿</t>
  </si>
  <si>
    <t>1.97亿</t>
  </si>
  <si>
    <t>3.80亿</t>
  </si>
  <si>
    <t>3.72亿</t>
  </si>
  <si>
    <t>2.94亿</t>
  </si>
  <si>
    <t>1.63亿</t>
  </si>
  <si>
    <t>3.42亿</t>
  </si>
  <si>
    <t>1.77亿</t>
  </si>
  <si>
    <t>6845.42万</t>
  </si>
  <si>
    <t>7.03亿</t>
  </si>
  <si>
    <t>3.75亿</t>
  </si>
  <si>
    <t>7.32亿</t>
  </si>
  <si>
    <t>2.72亿</t>
  </si>
  <si>
    <t>3.58亿</t>
  </si>
  <si>
    <t>7.26亿</t>
  </si>
  <si>
    <t>7.51亿</t>
  </si>
  <si>
    <t>5.46亿</t>
  </si>
  <si>
    <t>9.34亿</t>
  </si>
  <si>
    <t>4.92亿</t>
  </si>
  <si>
    <t>26.52亿</t>
  </si>
  <si>
    <t>4.49亿</t>
  </si>
  <si>
    <t>3528.90万</t>
  </si>
  <si>
    <t>29.68亿</t>
  </si>
  <si>
    <t>10.20亿</t>
  </si>
  <si>
    <t>10.76亿</t>
  </si>
  <si>
    <t>6634.59万</t>
  </si>
  <si>
    <t>4.17亿</t>
  </si>
  <si>
    <t>4.29亿</t>
  </si>
  <si>
    <t>4.12亿</t>
  </si>
  <si>
    <t>4.28亿</t>
  </si>
  <si>
    <t>16.24亿</t>
  </si>
  <si>
    <t>5.06亿</t>
  </si>
  <si>
    <t>2.98亿</t>
  </si>
  <si>
    <t>4.61亿</t>
  </si>
  <si>
    <t>3.15亿</t>
  </si>
  <si>
    <t>5.28亿</t>
  </si>
  <si>
    <t>7.39亿</t>
  </si>
  <si>
    <t>3.63亿</t>
  </si>
  <si>
    <t>SZ300872</t>
  </si>
  <si>
    <t>天阳科技</t>
  </si>
  <si>
    <t>10.62亿</t>
  </si>
  <si>
    <t>77.65亿</t>
  </si>
  <si>
    <t>4.87亿</t>
  </si>
  <si>
    <t>1.65亿</t>
  </si>
  <si>
    <t>7.11亿</t>
  </si>
  <si>
    <t>45.75亿</t>
  </si>
  <si>
    <t>21.41亿</t>
  </si>
  <si>
    <t>11.87亿</t>
  </si>
  <si>
    <t>48.75亿</t>
  </si>
  <si>
    <t>-6423.59万</t>
  </si>
  <si>
    <t>58.20亿</t>
  </si>
  <si>
    <t>6183.47万</t>
  </si>
  <si>
    <t>3.56亿</t>
  </si>
  <si>
    <t>12.00亿</t>
  </si>
  <si>
    <t>5970.45万</t>
  </si>
  <si>
    <t>71.71亿</t>
  </si>
  <si>
    <t>11.83亿</t>
  </si>
  <si>
    <t>6.27亿</t>
  </si>
  <si>
    <t>-1.42亿</t>
  </si>
  <si>
    <t>83.66亿</t>
  </si>
  <si>
    <t>3718.14万</t>
  </si>
  <si>
    <t>20.38亿</t>
  </si>
  <si>
    <t>6.04亿</t>
  </si>
  <si>
    <t>50.12亿</t>
  </si>
  <si>
    <t>6.80亿</t>
  </si>
  <si>
    <t>14.56亿</t>
  </si>
  <si>
    <t>2758.33万</t>
  </si>
  <si>
    <t>5.45亿</t>
  </si>
  <si>
    <t>5414.73万</t>
  </si>
  <si>
    <t>68.49亿</t>
  </si>
  <si>
    <t>77.79亿</t>
  </si>
  <si>
    <t>12.50亿</t>
  </si>
  <si>
    <t>6.83亿</t>
  </si>
  <si>
    <t>-1.49亿</t>
  </si>
  <si>
    <t>3.60亿</t>
  </si>
  <si>
    <t>5875.65万</t>
  </si>
  <si>
    <t>6.06亿</t>
  </si>
  <si>
    <t>10.94亿</t>
  </si>
  <si>
    <t>5.98亿</t>
  </si>
  <si>
    <t>3.67亿</t>
  </si>
  <si>
    <t>2.83亿</t>
  </si>
  <si>
    <t>4.72亿</t>
  </si>
  <si>
    <t>16.50亿</t>
  </si>
  <si>
    <t>6.98亿</t>
  </si>
  <si>
    <t>6.70亿</t>
  </si>
  <si>
    <t>3.66亿</t>
  </si>
  <si>
    <t>13.79亿</t>
  </si>
  <si>
    <t>4.31亿</t>
  </si>
  <si>
    <t>4.58亿</t>
  </si>
  <si>
    <t>3.57亿</t>
  </si>
  <si>
    <t>2.45亿</t>
  </si>
  <si>
    <t>32.28亿</t>
  </si>
  <si>
    <t>2.15亿</t>
  </si>
  <si>
    <t>15.51亿</t>
  </si>
  <si>
    <t>3.26亿</t>
  </si>
  <si>
    <t>2.69亿</t>
  </si>
  <si>
    <t>6.81亿</t>
  </si>
  <si>
    <t>5091.02万</t>
  </si>
  <si>
    <t>13.02亿</t>
  </si>
  <si>
    <t>8467.89万</t>
  </si>
  <si>
    <t>1.74亿</t>
  </si>
  <si>
    <t>2.66亿</t>
  </si>
  <si>
    <t>15.15亿</t>
  </si>
  <si>
    <t>2119.06万</t>
  </si>
  <si>
    <t>9.79亿</t>
  </si>
  <si>
    <t>7828.43万</t>
  </si>
  <si>
    <t>SH688229</t>
  </si>
  <si>
    <t>博睿数据</t>
  </si>
  <si>
    <t>6103.77万</t>
  </si>
  <si>
    <t>4107.49万</t>
  </si>
  <si>
    <t>3.34亿</t>
  </si>
  <si>
    <t>-1.05亿</t>
  </si>
  <si>
    <t>5.20亿</t>
  </si>
  <si>
    <t>SH688568</t>
  </si>
  <si>
    <t>中科星图</t>
  </si>
  <si>
    <t>2.12亿</t>
  </si>
  <si>
    <t>SZ003005</t>
  </si>
  <si>
    <t>竞业达</t>
  </si>
  <si>
    <t>4.67亿</t>
  </si>
  <si>
    <t>5.40亿</t>
  </si>
  <si>
    <t>6.77亿</t>
  </si>
  <si>
    <t>4.40亿</t>
  </si>
  <si>
    <t>SZ300078</t>
  </si>
  <si>
    <t>思创医惠</t>
  </si>
  <si>
    <t>4.16亿</t>
  </si>
  <si>
    <t>1.期待商业的RFID部分回升；2.医疗部分继续突破</t>
    <phoneticPr fontId="1" type="noConversion"/>
  </si>
  <si>
    <t>流动资产</t>
  </si>
  <si>
    <t>营业收入[20191231]</t>
  </si>
  <si>
    <t>营业收入[20181231]</t>
  </si>
  <si>
    <t>净利润[20191231]</t>
  </si>
  <si>
    <t>净利润[20181231]</t>
  </si>
  <si>
    <t>净利润[20171231]</t>
  </si>
  <si>
    <t>2.88亿</t>
  </si>
  <si>
    <t>920.60亿</t>
  </si>
  <si>
    <t>6.24亿</t>
  </si>
  <si>
    <t>4.21亿</t>
  </si>
  <si>
    <t>4.88亿</t>
  </si>
  <si>
    <t>818.58亿</t>
  </si>
  <si>
    <t>98.84亿</t>
  </si>
  <si>
    <t>12.99亿</t>
  </si>
  <si>
    <t>2.54亿</t>
  </si>
  <si>
    <t>3.16亿</t>
  </si>
  <si>
    <t>96.56亿</t>
  </si>
  <si>
    <t>3.50亿</t>
  </si>
  <si>
    <t>SZ000409</t>
  </si>
  <si>
    <t>21.63亿</t>
  </si>
  <si>
    <t>7384.96万</t>
  </si>
  <si>
    <t>3.65亿</t>
  </si>
  <si>
    <t>30.65亿</t>
  </si>
  <si>
    <t>-4.48亿</t>
  </si>
  <si>
    <t>3098.13万</t>
  </si>
  <si>
    <t>-2.25亿</t>
  </si>
  <si>
    <t>-1.94亿</t>
  </si>
  <si>
    <t>106.86亿</t>
  </si>
  <si>
    <t>90.77亿</t>
  </si>
  <si>
    <t>4209.62万</t>
  </si>
  <si>
    <t>7.35亿</t>
  </si>
  <si>
    <t>5.16亿</t>
  </si>
  <si>
    <t>-1.59亿</t>
  </si>
  <si>
    <t>1.89亿</t>
  </si>
  <si>
    <t>483.38亿</t>
  </si>
  <si>
    <t>17.06亿</t>
  </si>
  <si>
    <t>21.58亿</t>
  </si>
  <si>
    <t>21.38亿</t>
  </si>
  <si>
    <t>5.27亿</t>
  </si>
  <si>
    <t>5.34亿</t>
  </si>
  <si>
    <t>91.67亿</t>
  </si>
  <si>
    <t>84.71亿</t>
  </si>
  <si>
    <t>12.26亿</t>
  </si>
  <si>
    <t>-9.13亿</t>
  </si>
  <si>
    <t>37.74亿</t>
  </si>
  <si>
    <t>7.43亿</t>
  </si>
  <si>
    <t>54.45亿</t>
  </si>
  <si>
    <t>4.84亿</t>
  </si>
  <si>
    <t>15.52亿</t>
  </si>
  <si>
    <t>15.88亿</t>
  </si>
  <si>
    <t>7216.74万</t>
  </si>
  <si>
    <t>14.89亿</t>
  </si>
  <si>
    <t>3.73亿</t>
  </si>
  <si>
    <t>-1.72亿</t>
  </si>
  <si>
    <t>7.17亿</t>
  </si>
  <si>
    <t>3.07亿</t>
  </si>
  <si>
    <t>-1.16亿</t>
  </si>
  <si>
    <t>10.34亿</t>
  </si>
  <si>
    <t>10.03亿</t>
  </si>
  <si>
    <t>12.49亿</t>
  </si>
  <si>
    <t>3.27亿</t>
  </si>
  <si>
    <t>26.28亿</t>
  </si>
  <si>
    <t>7.47亿</t>
  </si>
  <si>
    <t>85.33亿</t>
  </si>
  <si>
    <t>60.16亿</t>
  </si>
  <si>
    <t>94.19亿</t>
  </si>
  <si>
    <t>10.81亿</t>
  </si>
  <si>
    <t>72.51亿</t>
  </si>
  <si>
    <t>3.36亿</t>
  </si>
  <si>
    <t>9.80亿</t>
  </si>
  <si>
    <t>8319.01万</t>
  </si>
  <si>
    <t>21.48亿</t>
  </si>
  <si>
    <t>2.03亿</t>
  </si>
  <si>
    <t>-1.38亿</t>
  </si>
  <si>
    <t>-1.19亿</t>
  </si>
  <si>
    <t>4.39亿</t>
  </si>
  <si>
    <t>32.11亿</t>
  </si>
  <si>
    <t>5.59亿</t>
  </si>
  <si>
    <t>25.27亿</t>
  </si>
  <si>
    <t>7.88亿</t>
  </si>
  <si>
    <t>7.30亿</t>
  </si>
  <si>
    <t>4959.86万</t>
  </si>
  <si>
    <t>5.91亿</t>
  </si>
  <si>
    <t>8.12亿</t>
  </si>
  <si>
    <t>7.42亿</t>
  </si>
  <si>
    <t>3328.77万</t>
  </si>
  <si>
    <t>8.17亿</t>
  </si>
  <si>
    <t>10.07亿</t>
  </si>
  <si>
    <t>13.71亿</t>
  </si>
  <si>
    <t>9.04亿</t>
  </si>
  <si>
    <t>9459.65万</t>
  </si>
  <si>
    <t>28.13亿</t>
  </si>
  <si>
    <t>-10.83亿</t>
  </si>
  <si>
    <t>4.94亿</t>
  </si>
  <si>
    <t>27.34亿</t>
  </si>
  <si>
    <t>43.10亿</t>
  </si>
  <si>
    <t>8.91亿</t>
  </si>
  <si>
    <t>28.83亿</t>
  </si>
  <si>
    <t>690.02万</t>
  </si>
  <si>
    <t>-2.83亿</t>
  </si>
  <si>
    <t>14.86亿</t>
  </si>
  <si>
    <t>820.95万</t>
  </si>
  <si>
    <t>6.62亿</t>
  </si>
  <si>
    <t>2043.50万</t>
  </si>
  <si>
    <t>8.74亿</t>
  </si>
  <si>
    <t>4208.52万</t>
  </si>
  <si>
    <t>8.64亿</t>
  </si>
  <si>
    <t>4.74亿</t>
  </si>
  <si>
    <t>10.10亿</t>
  </si>
  <si>
    <t>24.13亿</t>
  </si>
  <si>
    <t>19.35亿</t>
  </si>
  <si>
    <t>2644.41万</t>
  </si>
  <si>
    <t>17.24亿</t>
  </si>
  <si>
    <t>14.10亿</t>
  </si>
  <si>
    <t>12.12亿</t>
  </si>
  <si>
    <t>12.23亿</t>
  </si>
  <si>
    <t>15.18亿</t>
  </si>
  <si>
    <t>8.33亿</t>
  </si>
  <si>
    <t>4.45亿</t>
  </si>
  <si>
    <t>7.07亿</t>
  </si>
  <si>
    <t>12.95亿</t>
  </si>
  <si>
    <t>1.88亿</t>
  </si>
  <si>
    <t>数码视讯</t>
  </si>
  <si>
    <t>9.87亿</t>
  </si>
  <si>
    <t>7673.09万</t>
  </si>
  <si>
    <t>15.66亿</t>
  </si>
  <si>
    <t>13.50亿</t>
  </si>
  <si>
    <t>8432.49万</t>
  </si>
  <si>
    <t>6.36亿</t>
  </si>
  <si>
    <t>13.90亿</t>
  </si>
  <si>
    <t>10.04亿</t>
  </si>
  <si>
    <t>10.51亿</t>
  </si>
  <si>
    <t>1147.63万</t>
  </si>
  <si>
    <t>1466.48万</t>
  </si>
  <si>
    <t>-9073.78万</t>
  </si>
  <si>
    <t>5.23亿</t>
  </si>
  <si>
    <t>8823.94万</t>
  </si>
  <si>
    <t>20.88亿</t>
  </si>
  <si>
    <t>6.11亿</t>
  </si>
  <si>
    <t>19.96亿</t>
  </si>
  <si>
    <t>-1.79亿</t>
  </si>
  <si>
    <t>30.08亿</t>
  </si>
  <si>
    <t>-12.92亿</t>
  </si>
  <si>
    <t>22.05亿</t>
  </si>
  <si>
    <t>24.93亿</t>
  </si>
  <si>
    <t>6570.95万</t>
  </si>
  <si>
    <t>28.65亿</t>
  </si>
  <si>
    <t>17.10亿</t>
  </si>
  <si>
    <t>29.56亿</t>
  </si>
  <si>
    <t>8.45亿</t>
  </si>
  <si>
    <t>3.88亿</t>
  </si>
  <si>
    <t>14.28亿</t>
  </si>
  <si>
    <t>23.17亿</t>
  </si>
  <si>
    <t>12.20亿</t>
  </si>
  <si>
    <t>3.78亿</t>
  </si>
  <si>
    <t>3898.88万</t>
  </si>
  <si>
    <t>2934.98万</t>
  </si>
  <si>
    <t>8.38亿</t>
  </si>
  <si>
    <t>7.70亿</t>
  </si>
  <si>
    <t>9611.26万</t>
  </si>
  <si>
    <t>5.02亿</t>
  </si>
  <si>
    <t>9.73亿</t>
  </si>
  <si>
    <t>-3.69亿</t>
  </si>
  <si>
    <t>2.84亿</t>
  </si>
  <si>
    <t>-3.05亿</t>
  </si>
  <si>
    <t>4.71亿</t>
  </si>
  <si>
    <t>-4892.76万</t>
  </si>
  <si>
    <t>1059.68万</t>
  </si>
  <si>
    <t>2491.89万</t>
  </si>
  <si>
    <t>801.83万</t>
  </si>
  <si>
    <t>9.72亿</t>
  </si>
  <si>
    <t>-13.15亿</t>
  </si>
  <si>
    <t>14.26亿</t>
  </si>
  <si>
    <t>-19.59亿</t>
  </si>
  <si>
    <t>4576.13万</t>
  </si>
  <si>
    <t>8036.85万</t>
  </si>
  <si>
    <t>2042.33万</t>
  </si>
  <si>
    <t>9.13亿</t>
  </si>
  <si>
    <t>-5.89亿</t>
  </si>
  <si>
    <t>4.37亿</t>
  </si>
  <si>
    <t>2.73亿</t>
  </si>
  <si>
    <t>10.19亿</t>
  </si>
  <si>
    <t>3.77亿</t>
  </si>
  <si>
    <t>16.12亿</t>
  </si>
  <si>
    <t>13.15亿</t>
  </si>
  <si>
    <t>5.37亿</t>
  </si>
  <si>
    <t>4.69亿</t>
  </si>
  <si>
    <t>2.37亿</t>
  </si>
  <si>
    <t>10.87亿</t>
  </si>
  <si>
    <t>8.80亿</t>
  </si>
  <si>
    <t>6.69亿</t>
  </si>
  <si>
    <t>6.41亿</t>
  </si>
  <si>
    <t>11.84亿</t>
  </si>
  <si>
    <t>16.05亿</t>
  </si>
  <si>
    <t>-3.86亿</t>
  </si>
  <si>
    <t>32.24亿</t>
  </si>
  <si>
    <t>12.55亿</t>
  </si>
  <si>
    <t>10.91亿</t>
  </si>
  <si>
    <t>14.96亿</t>
  </si>
  <si>
    <t>11.40亿</t>
  </si>
  <si>
    <t>5.14亿</t>
  </si>
  <si>
    <t>天利科技</t>
  </si>
  <si>
    <t>2693.16万</t>
  </si>
  <si>
    <t>2510.39万</t>
  </si>
  <si>
    <t>2228.23万</t>
  </si>
  <si>
    <t>-6.29亿</t>
  </si>
  <si>
    <t>1304.86万</t>
  </si>
  <si>
    <t>7.65亿</t>
  </si>
  <si>
    <t>16.33亿</t>
  </si>
  <si>
    <t>12.90亿</t>
  </si>
  <si>
    <t>7.05亿</t>
  </si>
  <si>
    <t>5.21亿</t>
  </si>
  <si>
    <t>4.43亿</t>
  </si>
  <si>
    <t>14.65亿</t>
  </si>
  <si>
    <t>11.62亿</t>
  </si>
  <si>
    <t>9193.96万</t>
  </si>
  <si>
    <t>10.32亿</t>
  </si>
  <si>
    <t>9.30亿</t>
  </si>
  <si>
    <t>6049.31万</t>
  </si>
  <si>
    <t>5.61亿</t>
  </si>
  <si>
    <t>1821.98万</t>
  </si>
  <si>
    <t>44.93亿</t>
  </si>
  <si>
    <t>5.62亿</t>
  </si>
  <si>
    <t>5118.81万</t>
  </si>
  <si>
    <t>7.98亿</t>
  </si>
  <si>
    <t>-812.96万</t>
  </si>
  <si>
    <t>6554.73万</t>
  </si>
  <si>
    <t>4.62亿</t>
  </si>
  <si>
    <t>29.82亿</t>
  </si>
  <si>
    <t>4680.72万</t>
  </si>
  <si>
    <t>33.87亿</t>
  </si>
  <si>
    <t>26.72亿</t>
  </si>
  <si>
    <t>13.85亿</t>
  </si>
  <si>
    <t>9.09亿</t>
  </si>
  <si>
    <t>13.29亿</t>
  </si>
  <si>
    <t>4.47亿</t>
  </si>
  <si>
    <t>4.02亿</t>
  </si>
  <si>
    <t>8819.54万</t>
  </si>
  <si>
    <t>70.11亿</t>
  </si>
  <si>
    <t>65.59亿</t>
  </si>
  <si>
    <t>218.13亿</t>
  </si>
  <si>
    <t>339.79亿</t>
  </si>
  <si>
    <t>279.40亿</t>
  </si>
  <si>
    <t>16.18亿</t>
  </si>
  <si>
    <t>15.57亿</t>
  </si>
  <si>
    <t>39.01亿</t>
  </si>
  <si>
    <t>10.92亿</t>
  </si>
  <si>
    <t>52.24亿</t>
  </si>
  <si>
    <t>-2.26亿</t>
  </si>
  <si>
    <t>56.43亿</t>
  </si>
  <si>
    <t>48.91亿</t>
  </si>
  <si>
    <t>441.88万</t>
  </si>
  <si>
    <t>163.46万</t>
  </si>
  <si>
    <t>74.08亿</t>
  </si>
  <si>
    <t>6823.04万</t>
  </si>
  <si>
    <t>6.53亿</t>
  </si>
  <si>
    <t>46.13亿</t>
  </si>
  <si>
    <t>13.22亿</t>
  </si>
  <si>
    <t>2748.65万</t>
  </si>
  <si>
    <t>63.44亿</t>
  </si>
  <si>
    <t>76.22亿</t>
  </si>
  <si>
    <t>9.06亿</t>
  </si>
  <si>
    <t>42.86亿</t>
  </si>
  <si>
    <t>9182.44万</t>
  </si>
  <si>
    <t>46.80亿</t>
  </si>
  <si>
    <t>-8620.85万</t>
  </si>
  <si>
    <t>12.13亿</t>
  </si>
  <si>
    <t>38.04亿</t>
  </si>
  <si>
    <t>6089.35万</t>
  </si>
  <si>
    <t>37.48亿</t>
  </si>
  <si>
    <t>35.58亿</t>
  </si>
  <si>
    <t>13.01亿</t>
  </si>
  <si>
    <t>58.19亿</t>
  </si>
  <si>
    <t>81.30亿</t>
  </si>
  <si>
    <t>73.03亿</t>
  </si>
  <si>
    <t>8.14亿</t>
  </si>
  <si>
    <t>15.39亿</t>
  </si>
  <si>
    <t>3465.34万</t>
  </si>
  <si>
    <t>5415.26万</t>
  </si>
  <si>
    <t>9.18亿</t>
  </si>
  <si>
    <t>5.09亿</t>
  </si>
  <si>
    <t>9.52亿</t>
  </si>
  <si>
    <t>30.32亿</t>
  </si>
  <si>
    <t>5.66亿</t>
  </si>
  <si>
    <t>35.83亿</t>
  </si>
  <si>
    <t>SH605398</t>
  </si>
  <si>
    <t>新炬网络</t>
  </si>
  <si>
    <t>9079.73万</t>
  </si>
  <si>
    <t>4642.55万</t>
  </si>
  <si>
    <t>5498.55万</t>
  </si>
  <si>
    <t>6389.81万</t>
  </si>
  <si>
    <t>6401.89万</t>
  </si>
  <si>
    <t>16.53亿</t>
  </si>
  <si>
    <t>24.55亿</t>
  </si>
  <si>
    <t>7721.23万</t>
  </si>
  <si>
    <t>6884.48万</t>
  </si>
  <si>
    <t>6277.39万</t>
  </si>
  <si>
    <t>3113.91万</t>
  </si>
  <si>
    <t>5234.02万</t>
  </si>
  <si>
    <t>5805.33万</t>
  </si>
  <si>
    <t>5157.78万</t>
  </si>
  <si>
    <t>SH688316</t>
  </si>
  <si>
    <t>青云科技-U</t>
  </si>
  <si>
    <t>-1.63亿</t>
  </si>
  <si>
    <t>-1.90亿</t>
  </si>
  <si>
    <t>9368.37万</t>
  </si>
  <si>
    <t>9636.90万</t>
  </si>
  <si>
    <t>8904.85万</t>
  </si>
  <si>
    <t>云鼎科技</t>
  </si>
  <si>
    <t>6.57亿</t>
  </si>
  <si>
    <t>-14.58亿</t>
  </si>
  <si>
    <t>9.40亿</t>
  </si>
  <si>
    <t>5790.67万</t>
  </si>
  <si>
    <t>4.24亿</t>
  </si>
  <si>
    <t>电科数字</t>
  </si>
  <si>
    <t>SH603171</t>
  </si>
  <si>
    <t>税友股份</t>
  </si>
  <si>
    <t>18.12亿</t>
  </si>
  <si>
    <t>15.41亿</t>
  </si>
  <si>
    <t>13.98亿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</si>
  <si>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</si>
  <si>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</si>
  <si>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</si>
  <si>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</si>
  <si>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</si>
  <si>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</si>
  <si>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</si>
  <si>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</si>
  <si>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</si>
  <si>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</si>
  <si>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</si>
  <si>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</si>
  <si>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</si>
  <si>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</si>
  <si>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</si>
  <si>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</si>
  <si>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</si>
  <si>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-2.72亿</t>
  </si>
  <si>
    <t>10.99亿</t>
  </si>
  <si>
    <t>-1.09亿</t>
  </si>
  <si>
    <t>8.87亿</t>
  </si>
  <si>
    <t>7.55亿</t>
  </si>
  <si>
    <t>20.20亿</t>
  </si>
  <si>
    <t>18.45亿</t>
  </si>
  <si>
    <t>6.67亿</t>
  </si>
  <si>
    <t>9.37亿</t>
  </si>
  <si>
    <t>5.24亿</t>
  </si>
  <si>
    <t>7.34亿</t>
  </si>
  <si>
    <t>11.22亿</t>
  </si>
  <si>
    <t>-5.00亿</t>
  </si>
  <si>
    <t>-4.30亿</t>
  </si>
  <si>
    <t>15.67亿</t>
  </si>
  <si>
    <t>17.76亿</t>
  </si>
  <si>
    <t>SZ002380</t>
  </si>
  <si>
    <t>科远智慧</t>
  </si>
  <si>
    <t>SZ300017</t>
  </si>
  <si>
    <t>网宿科技</t>
  </si>
  <si>
    <t>56.87亿</t>
  </si>
  <si>
    <t>60.07亿</t>
  </si>
  <si>
    <t>63.37亿</t>
  </si>
  <si>
    <t>3448.36万</t>
  </si>
  <si>
    <t>5.73亿</t>
  </si>
  <si>
    <t>4.64亿</t>
  </si>
  <si>
    <t>10.61亿</t>
  </si>
  <si>
    <t>-1.29亿</t>
  </si>
  <si>
    <t>5.38亿</t>
  </si>
  <si>
    <t>40.77亿</t>
  </si>
  <si>
    <t>17.07亿</t>
  </si>
  <si>
    <t>13.55亿</t>
  </si>
  <si>
    <t>SZ301085</t>
  </si>
  <si>
    <t>亚康股份</t>
  </si>
  <si>
    <t>9910.21万</t>
  </si>
  <si>
    <t>13.48亿</t>
  </si>
  <si>
    <t>7569.98万</t>
  </si>
  <si>
    <t>5594.65万</t>
  </si>
  <si>
    <t>SH600225</t>
  </si>
  <si>
    <t>10.82亿</t>
  </si>
  <si>
    <t>31.93亿</t>
  </si>
  <si>
    <t>37.26亿</t>
  </si>
  <si>
    <t>7.41亿</t>
  </si>
  <si>
    <t>SH688500</t>
  </si>
  <si>
    <t>SH688509</t>
  </si>
  <si>
    <t>正元地信</t>
  </si>
  <si>
    <t>19.36亿</t>
  </si>
  <si>
    <t>8249.79万</t>
  </si>
  <si>
    <t>9703.22万</t>
  </si>
  <si>
    <t>SH688787</t>
  </si>
  <si>
    <t>海天瑞声</t>
  </si>
  <si>
    <t>8208.10万</t>
  </si>
  <si>
    <t>8158.68万</t>
  </si>
  <si>
    <t>6713.07万</t>
  </si>
  <si>
    <r>
      <t>1.公司目前主要的收入来自于国家电网公司，对主要客户存在较大依赖；2.2018年那一次增速特别大，但是</t>
    </r>
    <r>
      <rPr>
        <sz val="9"/>
        <color rgb="FFFF0000"/>
        <rFont val="宋体"/>
        <family val="3"/>
        <charset val="134"/>
        <scheme val="minor"/>
      </rPr>
      <t>营收在70亿范围时需要关注一下进一步的市场拓展</t>
    </r>
    <phoneticPr fontId="1" type="noConversion"/>
  </si>
  <si>
    <t>1.国家电网发布“碳达峰、碳中和”行动方案，从国家电网公司提出的行动方案中可以看出，“大云物移智链”等先进信息通信技术在构建智能电
网向能源互联网升级、清洁能源消纳、终端消费电气化等领域发挥的作用更加凸显，信息通信产业在能源互联网建设及节能减排的背景下将迎来广阔的发展空间；</t>
    <phoneticPr fontId="1" type="noConversion"/>
  </si>
  <si>
    <t/>
  </si>
  <si>
    <t>代码</t>
  </si>
  <si>
    <t>流通股本</t>
  </si>
  <si>
    <t>投入资本回报率roic%[20201231]</t>
  </si>
  <si>
    <t>净资产收益率%[20201231]</t>
  </si>
  <si>
    <t>营业收入[20171231]</t>
  </si>
  <si>
    <t>净利润[20201231]</t>
  </si>
  <si>
    <t>1223.85亿</t>
  </si>
  <si>
    <t>108.82亿</t>
  </si>
  <si>
    <t>1759.75万</t>
  </si>
  <si>
    <t>7.87亿</t>
  </si>
  <si>
    <t>-1.76亿</t>
  </si>
  <si>
    <t>113.56亿</t>
  </si>
  <si>
    <t>25.87亿</t>
  </si>
  <si>
    <t>676.38亿</t>
  </si>
  <si>
    <t>600.84亿</t>
  </si>
  <si>
    <t>15.05亿</t>
  </si>
  <si>
    <t>108.84亿</t>
  </si>
  <si>
    <t>7.66亿</t>
  </si>
  <si>
    <t>9.32亿</t>
  </si>
  <si>
    <t>8.93亿</t>
  </si>
  <si>
    <t>4040.47万</t>
  </si>
  <si>
    <t>11.85亿</t>
  </si>
  <si>
    <t>10.28亿</t>
  </si>
  <si>
    <t>-1.25亿</t>
  </si>
  <si>
    <t>-9037.97万</t>
  </si>
  <si>
    <t>105.05亿</t>
  </si>
  <si>
    <t>102.81亿</t>
  </si>
  <si>
    <t>3722.32万</t>
  </si>
  <si>
    <t>-3.49亿</t>
  </si>
  <si>
    <t>31.64亿</t>
  </si>
  <si>
    <t>2993.82万</t>
  </si>
  <si>
    <t>5630.61万</t>
  </si>
  <si>
    <t>18.30亿</t>
  </si>
  <si>
    <t>55.32亿</t>
  </si>
  <si>
    <t>16.06亿</t>
  </si>
  <si>
    <t>-9269.37万</t>
  </si>
  <si>
    <t>1331.78万</t>
  </si>
  <si>
    <t>13.06亿</t>
  </si>
  <si>
    <t>9.62亿</t>
  </si>
  <si>
    <t>10.17亿</t>
  </si>
  <si>
    <t>20.00亿</t>
  </si>
  <si>
    <t>9897.34万</t>
  </si>
  <si>
    <t>8.28亿</t>
  </si>
  <si>
    <t>8.71亿</t>
  </si>
  <si>
    <t>2858.85万</t>
  </si>
  <si>
    <t>24.70亿</t>
  </si>
  <si>
    <t>35.13亿</t>
  </si>
  <si>
    <t>6924.16万</t>
  </si>
  <si>
    <t>28.11亿</t>
  </si>
  <si>
    <t>-4.05亿</t>
  </si>
  <si>
    <t>-1.67亿</t>
  </si>
  <si>
    <t>23.49亿</t>
  </si>
  <si>
    <t>4006.91万</t>
  </si>
  <si>
    <t>7885.38万</t>
  </si>
  <si>
    <t>1428.15万</t>
  </si>
  <si>
    <t>-2.52亿</t>
  </si>
  <si>
    <t>6366.93万</t>
  </si>
  <si>
    <t>-3.63亿</t>
  </si>
  <si>
    <t>27.59亿</t>
  </si>
  <si>
    <t>8.47亿</t>
  </si>
  <si>
    <t>5.41亿</t>
  </si>
  <si>
    <t>-6.40亿</t>
  </si>
  <si>
    <t>17.88亿</t>
  </si>
  <si>
    <t>676.12万</t>
  </si>
  <si>
    <t>9542.89万</t>
  </si>
  <si>
    <t>1464.64万</t>
  </si>
  <si>
    <t>7.78亿</t>
  </si>
  <si>
    <t>41.27亿</t>
  </si>
  <si>
    <t>15.98亿</t>
  </si>
  <si>
    <t>9166.13万</t>
  </si>
  <si>
    <t>5.01亿</t>
  </si>
  <si>
    <t>39.14亿</t>
  </si>
  <si>
    <t>3554.22万</t>
  </si>
  <si>
    <t>4312.00万</t>
  </si>
  <si>
    <t>5278.56万</t>
  </si>
  <si>
    <t>46.39亿</t>
  </si>
  <si>
    <t>-1.81亿</t>
  </si>
  <si>
    <t>9899.21万</t>
  </si>
  <si>
    <t>5.58亿</t>
  </si>
  <si>
    <t>11.76亿</t>
  </si>
  <si>
    <t>7062.87万</t>
  </si>
  <si>
    <t>SZ301178</t>
  </si>
  <si>
    <t>天亿马</t>
  </si>
  <si>
    <t>5565.71万</t>
  </si>
  <si>
    <t>5446.23万</t>
  </si>
  <si>
    <t>4811.46万</t>
  </si>
  <si>
    <t>3209.40万</t>
  </si>
  <si>
    <t>SZ301218</t>
  </si>
  <si>
    <t>华是科技</t>
  </si>
  <si>
    <t>5999.76万</t>
  </si>
  <si>
    <t>5235.37万</t>
  </si>
  <si>
    <t>4491.43万</t>
  </si>
  <si>
    <t>2614.43万</t>
  </si>
  <si>
    <t>SZ301236</t>
  </si>
  <si>
    <t>软通动力</t>
  </si>
  <si>
    <t>166.23亿</t>
  </si>
  <si>
    <t>10.40亿</t>
  </si>
  <si>
    <t>129.99亿</t>
  </si>
  <si>
    <t>106.05亿</t>
  </si>
  <si>
    <t>81.39亿</t>
  </si>
  <si>
    <t>12.59亿</t>
  </si>
  <si>
    <t>SZ301248</t>
  </si>
  <si>
    <t>杰创智能</t>
  </si>
  <si>
    <t>6096.12万</t>
  </si>
  <si>
    <t>4546.32万</t>
  </si>
  <si>
    <t>IT服务</t>
  </si>
  <si>
    <t>235.16亿</t>
  </si>
  <si>
    <t>10.25亿</t>
  </si>
  <si>
    <t>37.99亿</t>
  </si>
  <si>
    <t>2310.45万</t>
  </si>
  <si>
    <t>66.46亿</t>
  </si>
  <si>
    <t>395.37万</t>
  </si>
  <si>
    <t>103.52亿</t>
  </si>
  <si>
    <t>7558.18万</t>
  </si>
  <si>
    <t>14.64亿</t>
  </si>
  <si>
    <t>15.37亿</t>
  </si>
  <si>
    <t>87.35亿</t>
  </si>
  <si>
    <t>11.73亿</t>
  </si>
  <si>
    <t>62.24亿</t>
  </si>
  <si>
    <t>4213.04万</t>
  </si>
  <si>
    <t>42.46亿</t>
  </si>
  <si>
    <t>-6.32亿</t>
  </si>
  <si>
    <t>117.59亿</t>
  </si>
  <si>
    <t>18.19亿</t>
  </si>
  <si>
    <t>102.25亿</t>
  </si>
  <si>
    <t>13.38亿</t>
  </si>
  <si>
    <t>9.24亿</t>
  </si>
  <si>
    <t>1127.33万</t>
  </si>
  <si>
    <t>17.16亿</t>
  </si>
  <si>
    <t>2220.66万</t>
  </si>
  <si>
    <t>11.77亿</t>
  </si>
  <si>
    <t>1723.96万</t>
  </si>
  <si>
    <t>6925.47万</t>
  </si>
  <si>
    <t>6134.75万</t>
  </si>
  <si>
    <t>5.32亿</t>
  </si>
  <si>
    <t>29.01亿</t>
  </si>
  <si>
    <t>-6.33亿</t>
  </si>
  <si>
    <t>SH688207</t>
  </si>
  <si>
    <t>-6841.77万</t>
  </si>
  <si>
    <t>7121.07万</t>
  </si>
  <si>
    <t>5196.35万</t>
  </si>
  <si>
    <t>-7786.92万</t>
  </si>
  <si>
    <t>-4.14亿</t>
  </si>
  <si>
    <t>-6990.22万</t>
  </si>
  <si>
    <t>16.67亿</t>
  </si>
  <si>
    <t>SH688227</t>
  </si>
  <si>
    <t>品高股份</t>
  </si>
  <si>
    <t>5561.89万</t>
  </si>
  <si>
    <t>4804.03万</t>
  </si>
  <si>
    <t>3577.47万</t>
  </si>
  <si>
    <t>2309.98万</t>
  </si>
  <si>
    <t>6085.55万</t>
  </si>
  <si>
    <t>-7295.75万</t>
  </si>
  <si>
    <t>4214.85万</t>
  </si>
  <si>
    <t>SH688327</t>
  </si>
  <si>
    <t>-8.13亿</t>
  </si>
  <si>
    <t>-5953.84万</t>
  </si>
  <si>
    <t>3160.54万</t>
  </si>
  <si>
    <t xml:space="preserve">    名称</t>
  </si>
  <si>
    <t>净利润?</t>
  </si>
  <si>
    <t>投入资本回报率roic%[20211231]</t>
  </si>
  <si>
    <t>净资产收益率%[20211231]</t>
  </si>
  <si>
    <t>亏损</t>
  </si>
  <si>
    <t>扭亏</t>
  </si>
  <si>
    <t>-1-0</t>
  </si>
  <si>
    <t>-1.02亿</t>
  </si>
  <si>
    <t>-1-1</t>
  </si>
  <si>
    <t>1-0</t>
  </si>
  <si>
    <t>1-1</t>
  </si>
  <si>
    <t>11.41亿</t>
  </si>
  <si>
    <t>-1.08亿</t>
  </si>
  <si>
    <t>-1.04亿</t>
  </si>
  <si>
    <t>4.42亿</t>
  </si>
  <si>
    <t>2.97亿</t>
  </si>
  <si>
    <t>8.01亿</t>
  </si>
  <si>
    <t>7.46亿</t>
  </si>
  <si>
    <t>7.69亿</t>
  </si>
  <si>
    <t>5000.00万</t>
  </si>
  <si>
    <t>15.02亿</t>
  </si>
  <si>
    <t>-1.22亿</t>
  </si>
  <si>
    <t>12.48亿</t>
  </si>
  <si>
    <t>细分行业</t>
  </si>
  <si>
    <t>2-1</t>
  </si>
  <si>
    <t>7.52亿</t>
  </si>
  <si>
    <t>1.99亿</t>
  </si>
  <si>
    <t>20.00万</t>
  </si>
  <si>
    <t>-1.50亿</t>
  </si>
  <si>
    <t>5.56亿</t>
  </si>
  <si>
    <t>3.95亿</t>
  </si>
  <si>
    <t>3-1</t>
  </si>
  <si>
    <t>6.94亿</t>
  </si>
  <si>
    <t>赛为智能</t>
  </si>
  <si>
    <t>-4.88亿</t>
  </si>
  <si>
    <t>4.99亿</t>
  </si>
  <si>
    <t>-1.89亿</t>
  </si>
  <si>
    <t>10.59亿</t>
  </si>
  <si>
    <t>11.24亿</t>
  </si>
  <si>
    <t>5.63亿</t>
  </si>
  <si>
    <t>4.59亿</t>
  </si>
  <si>
    <t>5.55亿</t>
  </si>
  <si>
    <t>1000.00万</t>
  </si>
  <si>
    <t>-1.39亿</t>
  </si>
  <si>
    <t>4.33亿</t>
  </si>
  <si>
    <t>7.80亿</t>
  </si>
  <si>
    <t>-3.90亿</t>
  </si>
  <si>
    <t>SZ301208</t>
  </si>
  <si>
    <t>中亦科技</t>
  </si>
  <si>
    <t>8.20亿</t>
  </si>
  <si>
    <t>8615.21万</t>
  </si>
  <si>
    <t>7735.42万</t>
  </si>
  <si>
    <t>6301.82万</t>
  </si>
  <si>
    <t>-3.61亿</t>
  </si>
  <si>
    <t>23.33亿</t>
  </si>
  <si>
    <t>SH603611</t>
  </si>
  <si>
    <t>诺力股份</t>
  </si>
  <si>
    <t>58.87亿</t>
  </si>
  <si>
    <t>30.87亿</t>
  </si>
  <si>
    <t>25.53亿</t>
  </si>
  <si>
    <t>SH603859</t>
  </si>
  <si>
    <t>能科科技</t>
  </si>
  <si>
    <t>9010.53万</t>
  </si>
  <si>
    <t>5071.11万</t>
  </si>
  <si>
    <t>4.38亿</t>
  </si>
  <si>
    <t>7.93亿</t>
  </si>
  <si>
    <t>云从科技-UW</t>
  </si>
  <si>
    <t>1.2020 年，中鼎集成持续围绕“软件定义物流”的核心思路，加大软件板块的研发投入；2.中鼎集成斩获宁德时代数条线定点，已提前超额完成2021年度业绩目标</t>
    <phoneticPr fontId="1" type="noConversion"/>
  </si>
  <si>
    <t>公司主营业务包括智能制造、智能电气两个板块；其中智能制造包括，软件系统与服务（增速29.77%）、数字孪生产线建设与服务（增速165.04%）、数字孪生测试台建设与服务（增速69.59%）三类；智能电气包括，电气传动、机械传动、自动化控制、数据采集等方面的技术优势，聚焦于工业电气领域的电能控制和电源系统，自主研发工业电气产品与系统、电源产品与系统两类
按产品分：
智能制造 7.77亿 81.58%（毛利39.62%，增速37.23%）
智能电气 1.75亿 18.42%（毛利41.09%）
其他业务 4.10万 0.0043%（毛利-9.63%）
按行业分：
国防军工 3.86亿 40.54%（毛利48.94%，增速85.52%）
高科技电子与5G 1.60亿 16.77%（毛利34.99%）
汽车及轨道交通 1.42亿 14.95%（毛利27.23%）
能源动力 1.12亿 11.74%（毛利44.42%）
装备制造 1.12亿 11.73%（毛利30.69%）
其他 3266.62万 3.43%（毛利25.23%）
基础设施 783.22万 0.82%（毛利51.17%）
其他业务 4.10万 0.0043%（毛利-9.63%）</t>
    <phoneticPr fontId="1" type="noConversion"/>
  </si>
  <si>
    <t>SZ301316</t>
  </si>
  <si>
    <t>慧博云通</t>
  </si>
  <si>
    <t>7650.41万</t>
  </si>
  <si>
    <t>6568.83万</t>
  </si>
  <si>
    <t>3735.84万</t>
  </si>
  <si>
    <t>1765.19万</t>
  </si>
  <si>
    <t>卓朗科技</t>
  </si>
  <si>
    <t>12.33亿</t>
  </si>
  <si>
    <t>8.23亿</t>
  </si>
  <si>
    <t>7.31亿</t>
  </si>
  <si>
    <t>-1.13亿</t>
  </si>
  <si>
    <t>70.03亿</t>
  </si>
  <si>
    <t>-1.18亿</t>
  </si>
  <si>
    <t>-1.93亿</t>
  </si>
  <si>
    <t>9.51亿</t>
  </si>
  <si>
    <t>-1.46亿</t>
  </si>
  <si>
    <t>28.05亿</t>
  </si>
  <si>
    <t>30.07亿</t>
  </si>
  <si>
    <t>11.11亿</t>
  </si>
  <si>
    <t>-1.60亿</t>
  </si>
  <si>
    <t>6.13亿</t>
  </si>
  <si>
    <t>-1.66亿</t>
  </si>
  <si>
    <t>10.96亿</t>
  </si>
  <si>
    <t>9.05亿</t>
  </si>
  <si>
    <t>19.18亿</t>
  </si>
  <si>
    <t>11.80亿</t>
  </si>
  <si>
    <t>-4.34亿</t>
  </si>
  <si>
    <t>-1.69亿</t>
  </si>
  <si>
    <t>-2.90亿</t>
  </si>
  <si>
    <t>9.63亿</t>
  </si>
  <si>
    <t>9.83亿</t>
  </si>
  <si>
    <t>7.79亿</t>
  </si>
  <si>
    <t>SZ301396</t>
  </si>
  <si>
    <t>宏景科技</t>
  </si>
  <si>
    <t>8814.40万</t>
  </si>
  <si>
    <t>6524.78万</t>
  </si>
  <si>
    <t>3474.66万</t>
  </si>
  <si>
    <t>2355.68万</t>
  </si>
  <si>
    <t>53.36亿</t>
  </si>
  <si>
    <t>-2.88亿</t>
  </si>
  <si>
    <t>-1.10亿</t>
  </si>
  <si>
    <t>7.21亿</t>
  </si>
  <si>
    <t>6.37亿</t>
  </si>
  <si>
    <t>12.35亿</t>
  </si>
  <si>
    <t>13.73亿</t>
  </si>
  <si>
    <t>-1.43亿</t>
  </si>
  <si>
    <t>-4.13亿</t>
  </si>
  <si>
    <t>13.16亿</t>
  </si>
  <si>
    <t>1. 连续两个季度的业绩下滑，市场应该已经反映</t>
    <phoneticPr fontId="1" type="noConversion"/>
  </si>
  <si>
    <t>-8.77亿</t>
  </si>
  <si>
    <t>-4.47亿</t>
  </si>
  <si>
    <t>7.97亿</t>
  </si>
  <si>
    <t>过往营收增速均值</t>
    <phoneticPr fontId="1" type="noConversion"/>
  </si>
  <si>
    <t>价格右侧初期策略</t>
    <phoneticPr fontId="1" type="noConversion"/>
  </si>
  <si>
    <t>N-4</t>
    <phoneticPr fontId="1" type="noConversion"/>
  </si>
  <si>
    <t>不分配不转增</t>
  </si>
  <si>
    <t>10派1元(含税)</t>
  </si>
  <si>
    <t>10派0.5元(含税)</t>
  </si>
  <si>
    <t>10派0.2元(含税)</t>
  </si>
  <si>
    <t>10派2元(含税)</t>
  </si>
  <si>
    <t>10派1.2元(含税)</t>
  </si>
  <si>
    <t>10派3元(含税)</t>
  </si>
  <si>
    <t>10派0.1元(含税)</t>
  </si>
  <si>
    <t>10派0.35元(含税)</t>
  </si>
  <si>
    <t>10派0.6元(含税)</t>
  </si>
  <si>
    <t>10派0.45元(含税)</t>
  </si>
  <si>
    <t>10派0.4元(含税)</t>
  </si>
  <si>
    <t>10派0.8元(含税)</t>
  </si>
  <si>
    <t>10派2.5元(含税)</t>
  </si>
  <si>
    <t>10派1.5元(含税)</t>
  </si>
  <si>
    <t>10派1.3元(含税)</t>
  </si>
  <si>
    <t>10派1.4元(含税)</t>
  </si>
  <si>
    <t xml:space="preserve">
</t>
    <phoneticPr fontId="1" type="noConversion"/>
  </si>
  <si>
    <t>6.22亿</t>
  </si>
  <si>
    <t>1158.80亿</t>
  </si>
  <si>
    <t>-2-0</t>
  </si>
  <si>
    <t>96.63亿</t>
  </si>
  <si>
    <t>-2.08亿</t>
  </si>
  <si>
    <t>15.77亿</t>
  </si>
  <si>
    <t>119.99亿</t>
  </si>
  <si>
    <t>-3-1</t>
  </si>
  <si>
    <t>740.58亿</t>
  </si>
  <si>
    <t>17.52亿</t>
  </si>
  <si>
    <t>16.48亿</t>
  </si>
  <si>
    <t>-2.99亿</t>
  </si>
  <si>
    <t>118.33亿</t>
  </si>
  <si>
    <t>21.19亿</t>
  </si>
  <si>
    <t>22.89亿</t>
  </si>
  <si>
    <t>2-0</t>
  </si>
  <si>
    <t>-3.38亿</t>
  </si>
  <si>
    <t>-1.62亿</t>
  </si>
  <si>
    <t>-1.03亿</t>
  </si>
  <si>
    <t>14.01亿</t>
  </si>
  <si>
    <t>-1.36亿</t>
  </si>
  <si>
    <t>106.01亿</t>
  </si>
  <si>
    <t>12.83亿</t>
  </si>
  <si>
    <t>-4.83亿</t>
  </si>
  <si>
    <t>6.66亿</t>
  </si>
  <si>
    <t>10.93亿</t>
  </si>
  <si>
    <t>3-0</t>
  </si>
  <si>
    <t>35.94亿</t>
  </si>
  <si>
    <t>37.39亿</t>
  </si>
  <si>
    <t>1219.99万</t>
  </si>
  <si>
    <t>64.79亿</t>
  </si>
  <si>
    <t>7.36亿</t>
  </si>
  <si>
    <t>SZ002908</t>
  </si>
  <si>
    <t>德生科技</t>
  </si>
  <si>
    <t>9154.54万</t>
  </si>
  <si>
    <t>7216.44万</t>
  </si>
  <si>
    <t>8767.16万</t>
  </si>
  <si>
    <t>7217.74万</t>
  </si>
  <si>
    <t>-2-1</t>
  </si>
  <si>
    <t>50.84亿</t>
  </si>
  <si>
    <t>5.95亿</t>
  </si>
  <si>
    <t>-3-0</t>
  </si>
  <si>
    <t>11.16亿</t>
  </si>
  <si>
    <t>-3.20亿</t>
  </si>
  <si>
    <t>4.03亿</t>
  </si>
  <si>
    <t>-3.95亿</t>
  </si>
  <si>
    <t>1.13万</t>
  </si>
  <si>
    <t>18.95亿</t>
  </si>
  <si>
    <t>2.61万</t>
  </si>
  <si>
    <t>10.79亿</t>
  </si>
  <si>
    <t>-3.24亿</t>
  </si>
  <si>
    <t>16.04亿</t>
  </si>
  <si>
    <t>24.23亿</t>
  </si>
  <si>
    <t>-308.30万</t>
  </si>
  <si>
    <t>10.70亿</t>
  </si>
  <si>
    <t>-7708.69万</t>
  </si>
  <si>
    <t>3.94万</t>
  </si>
  <si>
    <t>11.43亿</t>
  </si>
  <si>
    <t>-4.69亿</t>
  </si>
  <si>
    <t>29.75亿</t>
  </si>
  <si>
    <t>10.69亿</t>
  </si>
  <si>
    <t>21.92亿</t>
  </si>
  <si>
    <t>-2.23亿</t>
  </si>
  <si>
    <t>16.98亿</t>
  </si>
  <si>
    <t>3988.82万</t>
  </si>
  <si>
    <t>13.57亿</t>
  </si>
  <si>
    <t>9.11亿</t>
  </si>
  <si>
    <t>2066.37万</t>
  </si>
  <si>
    <t>24.00亿</t>
  </si>
  <si>
    <t>23.99亿</t>
  </si>
  <si>
    <t>688.62万</t>
  </si>
  <si>
    <t>-3767.13万</t>
  </si>
  <si>
    <t>11.95亿</t>
  </si>
  <si>
    <t>4.83亿</t>
  </si>
  <si>
    <t>42.85亿</t>
  </si>
  <si>
    <t>45.52亿</t>
  </si>
  <si>
    <t>22.71亿</t>
  </si>
  <si>
    <t>10派1.25元(含税)</t>
  </si>
  <si>
    <t>6.48亿</t>
  </si>
  <si>
    <t>6.28亿</t>
  </si>
  <si>
    <t>19.75亿</t>
  </si>
  <si>
    <t>8.43亿</t>
  </si>
  <si>
    <t>14.59亿</t>
  </si>
  <si>
    <t>8053.15万</t>
  </si>
  <si>
    <t>3956.27万</t>
  </si>
  <si>
    <t>13.25亿</t>
  </si>
  <si>
    <t>3736.36万</t>
  </si>
  <si>
    <t>191.04亿</t>
  </si>
  <si>
    <t>6308.42万</t>
  </si>
  <si>
    <t>-1.12亿</t>
  </si>
  <si>
    <t>76.15亿</t>
  </si>
  <si>
    <t>12.79亿</t>
  </si>
  <si>
    <t>11.20亿</t>
  </si>
  <si>
    <t>193.14亿</t>
  </si>
  <si>
    <t>40.70亿</t>
  </si>
  <si>
    <t>64.78亿</t>
  </si>
  <si>
    <t>3.41亿</t>
  </si>
  <si>
    <t>96.40亿</t>
  </si>
  <si>
    <t>-2.62亿</t>
  </si>
  <si>
    <t>15.38亿</t>
  </si>
  <si>
    <t>-3.93亿</t>
  </si>
  <si>
    <t>SH600589</t>
  </si>
  <si>
    <t>-7.45亿</t>
  </si>
  <si>
    <t>17.00亿</t>
  </si>
  <si>
    <t>-7.19亿</t>
  </si>
  <si>
    <t>-12.26亿</t>
  </si>
  <si>
    <t>-6.24亿</t>
  </si>
  <si>
    <t>20.74亿</t>
  </si>
  <si>
    <t>6378.26万</t>
  </si>
  <si>
    <t>41.29亿</t>
  </si>
  <si>
    <t>131.50亿</t>
  </si>
  <si>
    <t>21.86亿</t>
  </si>
  <si>
    <t>98.72亿</t>
  </si>
  <si>
    <t>94.69亿</t>
  </si>
  <si>
    <t>-2.53亿</t>
  </si>
  <si>
    <t>15.10亿</t>
  </si>
  <si>
    <t>-6377.52万</t>
  </si>
  <si>
    <t>17.26亿</t>
  </si>
  <si>
    <t>67.02亿</t>
  </si>
  <si>
    <t>17.40亿</t>
  </si>
  <si>
    <t>-3.04亿</t>
  </si>
  <si>
    <t>1787.11万</t>
  </si>
  <si>
    <t>6.46亿</t>
  </si>
  <si>
    <t>19.72亿</t>
  </si>
  <si>
    <t>格灵深瞳</t>
  </si>
  <si>
    <t>3261.49万</t>
  </si>
  <si>
    <t>4710.61万</t>
  </si>
  <si>
    <t>9802.99万</t>
  </si>
  <si>
    <t>4-1</t>
  </si>
  <si>
    <t>5100.50万</t>
  </si>
  <si>
    <t>-2.44亿</t>
  </si>
  <si>
    <t>-8.69亿</t>
  </si>
  <si>
    <t>SH688343</t>
  </si>
  <si>
    <t>云天励飞-U</t>
  </si>
  <si>
    <t>SH688562</t>
  </si>
  <si>
    <t>航天软件</t>
  </si>
  <si>
    <t>4498.04万</t>
  </si>
  <si>
    <t>-2429.00万</t>
  </si>
  <si>
    <t>-6173.84万</t>
  </si>
  <si>
    <t>7.92亿</t>
  </si>
  <si>
    <t>2945.41万</t>
  </si>
  <si>
    <t>13.76亿</t>
  </si>
  <si>
    <t>1814.26万</t>
  </si>
  <si>
    <t>6-1</t>
  </si>
  <si>
    <t>SZ301172</t>
  </si>
  <si>
    <t>君逸数码</t>
  </si>
  <si>
    <t>94.66亿</t>
  </si>
  <si>
    <t>18.65亿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</si>
  <si>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</si>
  <si>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</si>
  <si>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</si>
  <si>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</si>
  <si>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</si>
  <si>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</si>
  <si>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</si>
  <si>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</si>
  <si>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</si>
  <si>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</si>
  <si>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</si>
  <si>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</si>
  <si>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</si>
  <si>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</si>
  <si>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</si>
  <si>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</si>
  <si>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</si>
  <si>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</si>
  <si>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</si>
  <si>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</si>
  <si>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</si>
  <si>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</si>
  <si>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</si>
  <si>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</si>
  <si>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</si>
  <si>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</si>
  <si>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</si>
  <si>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</si>
  <si>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</si>
  <si>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</si>
  <si>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</si>
  <si>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</si>
  <si>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</si>
  <si>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</si>
  <si>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</si>
  <si>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</si>
  <si>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</si>
  <si>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</si>
  <si>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</si>
  <si>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</si>
  <si>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</si>
  <si>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</si>
  <si>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</si>
  <si>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</si>
  <si>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</si>
  <si>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</si>
  <si>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</si>
  <si>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</si>
  <si>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5年营收增速PEG</t>
    <phoneticPr fontId="1" type="noConversion"/>
  </si>
  <si>
    <t>过往利润增速均值</t>
    <phoneticPr fontId="1" type="noConversion"/>
  </si>
  <si>
    <t>折现率</t>
    <phoneticPr fontId="1" type="noConversion"/>
  </si>
  <si>
    <t>1增速</t>
    <phoneticPr fontId="1" type="noConversion"/>
  </si>
  <si>
    <t>3年自由现金流折现</t>
    <phoneticPr fontId="1" type="noConversion"/>
  </si>
  <si>
    <t>10增速</t>
    <phoneticPr fontId="1" type="noConversion"/>
  </si>
  <si>
    <t>20年自由现金流折现</t>
    <phoneticPr fontId="1" type="noConversion"/>
  </si>
  <si>
    <t>原始顺序</t>
    <phoneticPr fontId="1" type="noConversion"/>
  </si>
  <si>
    <t>营收和利润加权</t>
    <phoneticPr fontId="1" type="noConversion"/>
  </si>
  <si>
    <t>成交量综合策略</t>
    <phoneticPr fontId="1" type="noConversion"/>
  </si>
  <si>
    <t>基本面排序</t>
    <phoneticPr fontId="1" type="noConversion"/>
  </si>
  <si>
    <t>5日成交换手率</t>
    <phoneticPr fontId="1" type="noConversion"/>
  </si>
  <si>
    <t>昨日价格累计指数</t>
    <phoneticPr fontId="1" type="noConversion"/>
  </si>
  <si>
    <t>6年PE</t>
    <phoneticPr fontId="1" type="noConversion"/>
  </si>
  <si>
    <t>股利率</t>
    <phoneticPr fontId="1" type="noConversion"/>
  </si>
  <si>
    <t>1年自由现金流折现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</si>
  <si>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</si>
  <si>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</si>
  <si>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</si>
  <si>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</si>
  <si>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承担负债现期溢价</t>
    <phoneticPr fontId="1" type="noConversion"/>
  </si>
  <si>
    <t>清算价格</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</si>
  <si>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</si>
  <si>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</si>
  <si>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</si>
  <si>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</si>
  <si>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</si>
  <si>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量价齐升策略</t>
    <phoneticPr fontId="1" type="noConversion"/>
  </si>
  <si>
    <t>综合策略</t>
    <phoneticPr fontId="1" type="noConversion"/>
  </si>
  <si>
    <t>机会区域号</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</si>
  <si>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</si>
  <si>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</si>
  <si>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</si>
  <si>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</si>
  <si>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N日期</t>
    <phoneticPr fontId="1" type="noConversion"/>
  </si>
  <si>
    <t>N-3</t>
    <phoneticPr fontId="1" type="noConversion"/>
  </si>
  <si>
    <t>N-2</t>
    <phoneticPr fontId="1" type="noConversion"/>
  </si>
  <si>
    <t>N-1</t>
    <phoneticPr fontId="1" type="noConversion"/>
  </si>
  <si>
    <t>N</t>
    <phoneticPr fontId="1" type="noConversion"/>
  </si>
  <si>
    <t>6.76亿</t>
  </si>
  <si>
    <t>3.29亿</t>
  </si>
  <si>
    <t>10.22亿</t>
  </si>
  <si>
    <t>16.40亿</t>
  </si>
  <si>
    <t>12.41亿</t>
  </si>
  <si>
    <t>45.04亿</t>
  </si>
  <si>
    <t>19.01亿</t>
  </si>
  <si>
    <t>9.10亿</t>
  </si>
  <si>
    <t>岩山科技</t>
  </si>
  <si>
    <t>-2.34亿</t>
  </si>
  <si>
    <t>-2.68亿</t>
  </si>
  <si>
    <t>14.15亿</t>
  </si>
  <si>
    <t>11.01万</t>
  </si>
  <si>
    <t>5.29亿</t>
  </si>
  <si>
    <t>10.89亿</t>
  </si>
  <si>
    <t>5.30亿</t>
  </si>
  <si>
    <t>8.15亿</t>
  </si>
  <si>
    <t>31.16亿</t>
  </si>
  <si>
    <t>6.29亿</t>
  </si>
  <si>
    <t>9.00亿</t>
  </si>
  <si>
    <t>15.93亿</t>
  </si>
  <si>
    <t>10.54亿</t>
  </si>
  <si>
    <t>35.07亿</t>
  </si>
  <si>
    <t>13.68亿</t>
  </si>
  <si>
    <t>27.55亿</t>
  </si>
  <si>
    <t>4.61万</t>
  </si>
  <si>
    <t>23.83亿</t>
  </si>
  <si>
    <t>-3.89亿</t>
  </si>
  <si>
    <t>11.39亿</t>
  </si>
  <si>
    <t>14.94亿</t>
  </si>
  <si>
    <t>400.00万</t>
  </si>
  <si>
    <t>25.60亿</t>
  </si>
  <si>
    <t>8.92亿</t>
  </si>
  <si>
    <t>5.81亿</t>
  </si>
  <si>
    <t>-4-0</t>
  </si>
  <si>
    <t>16.17万</t>
  </si>
  <si>
    <t>11.51亿</t>
  </si>
  <si>
    <t>10.09亿</t>
  </si>
  <si>
    <t>500.00万</t>
  </si>
  <si>
    <t>12.67亿</t>
  </si>
  <si>
    <t>-2.41亿</t>
  </si>
  <si>
    <t>129.90万</t>
  </si>
  <si>
    <t>13.60亿</t>
  </si>
  <si>
    <t>-2.21亿</t>
  </si>
  <si>
    <t>-6-0</t>
  </si>
  <si>
    <t>15.83亿</t>
  </si>
  <si>
    <t>-2.07亿</t>
  </si>
  <si>
    <t>16.23亿</t>
  </si>
  <si>
    <t>4.48亿</t>
  </si>
  <si>
    <t>-1.45亿</t>
  </si>
  <si>
    <t>-1.07亿</t>
  </si>
  <si>
    <t>16.81亿</t>
  </si>
  <si>
    <t>7.20亿</t>
  </si>
  <si>
    <t>16.77亿</t>
  </si>
  <si>
    <t>3.82亿</t>
  </si>
  <si>
    <t>6.05亿</t>
  </si>
  <si>
    <t>8.51亿</t>
  </si>
  <si>
    <t>15.32亿</t>
  </si>
  <si>
    <t>13.43亿</t>
  </si>
  <si>
    <t>8.13亿</t>
  </si>
  <si>
    <t>11.01亿</t>
  </si>
  <si>
    <t>6.87亿</t>
  </si>
  <si>
    <t>-2.20亿</t>
  </si>
  <si>
    <t>8.83亿</t>
  </si>
  <si>
    <t>7.33亿</t>
  </si>
  <si>
    <t>-3.14亿</t>
  </si>
  <si>
    <t>30.55亿</t>
  </si>
  <si>
    <t>-1.53亿</t>
  </si>
  <si>
    <t>14.36亿</t>
  </si>
  <si>
    <t>6.51亿</t>
  </si>
  <si>
    <t>-2.31亿</t>
  </si>
  <si>
    <t>200.00万</t>
  </si>
  <si>
    <t>3.99亿</t>
  </si>
  <si>
    <t>10.78亿</t>
  </si>
  <si>
    <t>13.59亿</t>
  </si>
  <si>
    <t>25.28亿</t>
  </si>
  <si>
    <t>7225.29万</t>
  </si>
  <si>
    <t>6745.84万</t>
  </si>
  <si>
    <t>6229.68万</t>
  </si>
  <si>
    <t>5436.76万</t>
  </si>
  <si>
    <t>5049.14万</t>
  </si>
  <si>
    <t>9.55亿</t>
  </si>
  <si>
    <t>25.59亿</t>
  </si>
  <si>
    <t>36.11亿</t>
  </si>
  <si>
    <t>55.64亿</t>
  </si>
  <si>
    <t>-1.92亿</t>
  </si>
  <si>
    <t>7.76亿</t>
  </si>
  <si>
    <t>151.43万</t>
  </si>
  <si>
    <t>7.54亿</t>
  </si>
  <si>
    <t>SH603918</t>
  </si>
  <si>
    <t>金桥信息</t>
  </si>
  <si>
    <t>1793.80万</t>
  </si>
  <si>
    <t>8864.82万</t>
  </si>
  <si>
    <t>8854.20万</t>
  </si>
  <si>
    <t>6374.28万</t>
  </si>
  <si>
    <t>5122.84万</t>
  </si>
  <si>
    <t>29.80亿</t>
  </si>
  <si>
    <t>243.48万</t>
  </si>
  <si>
    <t>11.52亿</t>
  </si>
  <si>
    <t>27.00亿</t>
  </si>
  <si>
    <t>14.37亿</t>
  </si>
  <si>
    <t>-2.33亿</t>
  </si>
  <si>
    <t>-3.50亿</t>
  </si>
  <si>
    <t>2529.65万</t>
  </si>
  <si>
    <t>12.77亿</t>
  </si>
  <si>
    <t>11.93亿</t>
  </si>
  <si>
    <t>10.06亿</t>
  </si>
  <si>
    <t>3444.75万</t>
  </si>
  <si>
    <t>4872.91万</t>
  </si>
  <si>
    <t>6430.78万</t>
  </si>
  <si>
    <t>13.75亿</t>
  </si>
  <si>
    <t>12.02亿</t>
  </si>
  <si>
    <t>-5-1</t>
  </si>
  <si>
    <t>-4-1</t>
  </si>
  <si>
    <t>ST易联众</t>
  </si>
  <si>
    <t>朗新集团</t>
  </si>
  <si>
    <t>账面净赚</t>
  </si>
  <si>
    <t>5.96亿</t>
  </si>
  <si>
    <t>6.59亿</t>
  </si>
  <si>
    <t>16.36亿</t>
  </si>
  <si>
    <t>11.78亿</t>
  </si>
  <si>
    <t>8.48亿</t>
  </si>
  <si>
    <t>7.73亿</t>
  </si>
  <si>
    <t>SH600734</t>
  </si>
  <si>
    <t>-9758.11万</t>
  </si>
  <si>
    <t>9.22亿</t>
  </si>
  <si>
    <t>67.60亿</t>
  </si>
  <si>
    <t>-5.91亿</t>
  </si>
  <si>
    <t>-31.35亿</t>
  </si>
  <si>
    <t>-2.67亿</t>
  </si>
  <si>
    <t>356.24亿</t>
  </si>
  <si>
    <t>95.90亿</t>
  </si>
  <si>
    <t>292.72亿</t>
  </si>
  <si>
    <t>288.20亿</t>
  </si>
  <si>
    <t>279.33亿</t>
  </si>
  <si>
    <t>8226.82万</t>
  </si>
  <si>
    <t>-29030738亿</t>
  </si>
  <si>
    <t>92.24万</t>
  </si>
  <si>
    <t>202780610亿</t>
  </si>
  <si>
    <t>12538583800亿</t>
  </si>
  <si>
    <t>35907756000亿</t>
  </si>
  <si>
    <t>7097.36万</t>
  </si>
  <si>
    <t>120.37亿</t>
  </si>
  <si>
    <t>55.46亿</t>
  </si>
  <si>
    <t>71.01亿</t>
  </si>
  <si>
    <t>298.20亿</t>
  </si>
  <si>
    <t>40.93亿</t>
  </si>
  <si>
    <t>1196.24亿</t>
  </si>
  <si>
    <t>11.72亿</t>
  </si>
  <si>
    <t>10派4.46元(含税)</t>
  </si>
  <si>
    <t>114.41亿</t>
  </si>
  <si>
    <t>56.80亿</t>
  </si>
  <si>
    <t>6497.16万</t>
  </si>
  <si>
    <t>7834.53万</t>
  </si>
  <si>
    <t>-2672123亿</t>
  </si>
  <si>
    <t>440.40万</t>
  </si>
  <si>
    <t>-172810450亿</t>
  </si>
  <si>
    <t>2607147800亿</t>
  </si>
  <si>
    <t>110.72万</t>
  </si>
  <si>
    <t>9905113500亿</t>
  </si>
  <si>
    <t>37.33亿</t>
  </si>
  <si>
    <t>20.12亿</t>
  </si>
  <si>
    <t>86.11亿</t>
  </si>
  <si>
    <t>-15.33亿</t>
  </si>
  <si>
    <t>-2818.60万</t>
  </si>
  <si>
    <t>-3.19亿</t>
  </si>
  <si>
    <t>90.07亿</t>
  </si>
  <si>
    <t>-9621.52万</t>
  </si>
  <si>
    <t>8.84亿</t>
  </si>
  <si>
    <t>765.69万</t>
  </si>
  <si>
    <t>4335.56万</t>
  </si>
  <si>
    <t>44155839亿</t>
  </si>
  <si>
    <t>493412210亿</t>
  </si>
  <si>
    <t>7701.23万</t>
  </si>
  <si>
    <t>1870576600亿</t>
  </si>
  <si>
    <t>6697.48万</t>
  </si>
  <si>
    <t>76.80万</t>
  </si>
  <si>
    <t>-4264.85万</t>
  </si>
  <si>
    <t>4746.74万</t>
  </si>
  <si>
    <t>2509.87万</t>
  </si>
  <si>
    <t>6178.46万</t>
  </si>
  <si>
    <t>62.44亿</t>
  </si>
  <si>
    <t>17.68亿</t>
  </si>
  <si>
    <t>17.65亿</t>
  </si>
  <si>
    <t>6037.49万</t>
  </si>
  <si>
    <t>5916.48万</t>
  </si>
  <si>
    <t>2984909亿</t>
  </si>
  <si>
    <t>22.03万</t>
  </si>
  <si>
    <t>-57398310亿</t>
  </si>
  <si>
    <t>2815698000亿</t>
  </si>
  <si>
    <t>4480.48万</t>
  </si>
  <si>
    <t>9009343300亿</t>
  </si>
  <si>
    <t>7.19亿</t>
  </si>
  <si>
    <t>53.04亿</t>
  </si>
  <si>
    <t>5568.29万</t>
  </si>
  <si>
    <t>-14.25亿</t>
  </si>
  <si>
    <t>5530.20万</t>
  </si>
  <si>
    <t>120.56亿</t>
  </si>
  <si>
    <t>10派0.320519元(含税)</t>
  </si>
  <si>
    <t>472.22亿</t>
  </si>
  <si>
    <t>407.42亿</t>
  </si>
  <si>
    <t>170.06亿</t>
  </si>
  <si>
    <t>162.87亿</t>
  </si>
  <si>
    <t>136.11亿</t>
  </si>
  <si>
    <t>19980023亿</t>
  </si>
  <si>
    <t>399.99万</t>
  </si>
  <si>
    <t>342976150亿</t>
  </si>
  <si>
    <t>131.84亿</t>
  </si>
  <si>
    <t>12355645600亿</t>
  </si>
  <si>
    <t>61072703000亿</t>
  </si>
  <si>
    <t>66.90亿</t>
  </si>
  <si>
    <t>106.19亿</t>
  </si>
  <si>
    <t>435.02万</t>
  </si>
  <si>
    <t>364.79亿</t>
  </si>
  <si>
    <t>44.95亿</t>
  </si>
  <si>
    <t>-19.38亿</t>
  </si>
  <si>
    <t>773.08亿</t>
  </si>
  <si>
    <t>21.03亿</t>
  </si>
  <si>
    <t>116.28亿</t>
  </si>
  <si>
    <t>120.01亿</t>
  </si>
  <si>
    <t>32.10亿</t>
  </si>
  <si>
    <t>7664.74万</t>
  </si>
  <si>
    <t>30.00万</t>
  </si>
  <si>
    <t>140598050亿</t>
  </si>
  <si>
    <t>6761980300亿</t>
  </si>
  <si>
    <t>7932.06万</t>
  </si>
  <si>
    <t>19702182000亿</t>
  </si>
  <si>
    <t>46.04亿</t>
  </si>
  <si>
    <t>1800.74万</t>
  </si>
  <si>
    <t>108.58亿</t>
  </si>
  <si>
    <t>-13.78亿</t>
  </si>
  <si>
    <t>-6746.54万</t>
  </si>
  <si>
    <t>115.24亿</t>
  </si>
  <si>
    <t>98.35亿</t>
  </si>
  <si>
    <t>6819.29万</t>
  </si>
  <si>
    <t>361.30万</t>
  </si>
  <si>
    <t>4677.68万</t>
  </si>
  <si>
    <t>38646445亿</t>
  </si>
  <si>
    <t>76771660亿</t>
  </si>
  <si>
    <t>28.97亿</t>
  </si>
  <si>
    <t>181866390亿</t>
  </si>
  <si>
    <t>8200237000亿</t>
  </si>
  <si>
    <t>5275.91万</t>
  </si>
  <si>
    <t>-579.68万</t>
  </si>
  <si>
    <t>9.36亿</t>
  </si>
  <si>
    <t>-4774.58万</t>
  </si>
  <si>
    <t>SZ002197</t>
  </si>
  <si>
    <t>ST证通</t>
  </si>
  <si>
    <t>39.69亿</t>
  </si>
  <si>
    <t>25.54亿</t>
  </si>
  <si>
    <t>1649.25万</t>
  </si>
  <si>
    <t>2939.22万</t>
  </si>
  <si>
    <t>-660123亿</t>
  </si>
  <si>
    <t>50.39万</t>
  </si>
  <si>
    <t>-669181亿</t>
  </si>
  <si>
    <t>883684630亿</t>
  </si>
  <si>
    <t>550.63万</t>
  </si>
  <si>
    <t>2035812300亿</t>
  </si>
  <si>
    <t>5384.25万</t>
  </si>
  <si>
    <t>20.16亿</t>
  </si>
  <si>
    <t>1501.38万</t>
  </si>
  <si>
    <t>-7720.65万</t>
  </si>
  <si>
    <t>12.25亿</t>
  </si>
  <si>
    <t>13.33亿</t>
  </si>
  <si>
    <t>13.32亿</t>
  </si>
  <si>
    <t>-5.38亿</t>
  </si>
  <si>
    <t>3104.86万</t>
  </si>
  <si>
    <t>1816.67万</t>
  </si>
  <si>
    <t>1951.52万</t>
  </si>
  <si>
    <t>-7203.96万</t>
  </si>
  <si>
    <t>-7-1</t>
  </si>
  <si>
    <t>414.24万</t>
  </si>
  <si>
    <t>2799.83万</t>
  </si>
  <si>
    <t>196.36万</t>
  </si>
  <si>
    <t>-20860968亿</t>
  </si>
  <si>
    <t>538265830亿</t>
  </si>
  <si>
    <t>1646573900亿</t>
  </si>
  <si>
    <t>9.93万</t>
  </si>
  <si>
    <t>-6768.28万</t>
  </si>
  <si>
    <t>-685.40万</t>
  </si>
  <si>
    <t>-20.26万</t>
  </si>
  <si>
    <t>7316.47万</t>
  </si>
  <si>
    <t>12.43亿</t>
  </si>
  <si>
    <t>2931.56万</t>
  </si>
  <si>
    <t>17.90亿</t>
  </si>
  <si>
    <t>1782.74万</t>
  </si>
  <si>
    <t>1767.71万</t>
  </si>
  <si>
    <t>110969亿</t>
  </si>
  <si>
    <t>-10871089亿</t>
  </si>
  <si>
    <t>786755370亿</t>
  </si>
  <si>
    <t>1144.07万</t>
  </si>
  <si>
    <t>2213849900亿</t>
  </si>
  <si>
    <t>5179.67万</t>
  </si>
  <si>
    <t>9.92万</t>
  </si>
  <si>
    <t>2378.48万</t>
  </si>
  <si>
    <t>5154.51万</t>
  </si>
  <si>
    <t>-7841.00万</t>
  </si>
  <si>
    <t>107.12亿</t>
  </si>
  <si>
    <t>55.04亿</t>
  </si>
  <si>
    <t>16.62亿</t>
  </si>
  <si>
    <t>12.44亿</t>
  </si>
  <si>
    <t>5616.05万</t>
  </si>
  <si>
    <t>-657073亿</t>
  </si>
  <si>
    <t>16.60万</t>
  </si>
  <si>
    <t>14602980亿</t>
  </si>
  <si>
    <t>4680237900亿</t>
  </si>
  <si>
    <t>6770.15万</t>
  </si>
  <si>
    <t>12159870000亿</t>
  </si>
  <si>
    <t>51.95亿</t>
  </si>
  <si>
    <t>101.25亿</t>
  </si>
  <si>
    <t>-15.45亿</t>
  </si>
  <si>
    <t>-5309.81万</t>
  </si>
  <si>
    <t>91.95亿</t>
  </si>
  <si>
    <t>10派1.81元(含税)</t>
  </si>
  <si>
    <t>66.73亿</t>
  </si>
  <si>
    <t>129.70亿</t>
  </si>
  <si>
    <t>7642.16万</t>
  </si>
  <si>
    <t>-314065亿</t>
  </si>
  <si>
    <t>42.44万</t>
  </si>
  <si>
    <t>15259752亿</t>
  </si>
  <si>
    <t>37.93亿</t>
  </si>
  <si>
    <t>3622341800亿</t>
  </si>
  <si>
    <t>3561.98万</t>
  </si>
  <si>
    <t>10706551700亿</t>
  </si>
  <si>
    <t>1646.92万</t>
  </si>
  <si>
    <t>25.91亿</t>
  </si>
  <si>
    <t>55.12亿</t>
  </si>
  <si>
    <t>-5.41亿</t>
  </si>
  <si>
    <t>-4694.96万</t>
  </si>
  <si>
    <t>77.94亿</t>
  </si>
  <si>
    <t>19.55亿</t>
  </si>
  <si>
    <t>5027.24万</t>
  </si>
  <si>
    <t>2126.55万</t>
  </si>
  <si>
    <t>1099576亿</t>
  </si>
  <si>
    <t>20.16万</t>
  </si>
  <si>
    <t>38238700亿</t>
  </si>
  <si>
    <t>617319660亿</t>
  </si>
  <si>
    <t>2604368900亿</t>
  </si>
  <si>
    <t>173.61万</t>
  </si>
  <si>
    <t>3376.19万</t>
  </si>
  <si>
    <t>278.96万</t>
  </si>
  <si>
    <t>285.08万</t>
  </si>
  <si>
    <t>-7362.41万</t>
  </si>
  <si>
    <t>2848.45万</t>
  </si>
  <si>
    <t>14.07亿</t>
  </si>
  <si>
    <t>16.64亿</t>
  </si>
  <si>
    <t>319.40万</t>
  </si>
  <si>
    <t>1754.63万</t>
  </si>
  <si>
    <t>2084979亿</t>
  </si>
  <si>
    <t>54676471亿</t>
  </si>
  <si>
    <t>66481508亿</t>
  </si>
  <si>
    <t>387.88万</t>
  </si>
  <si>
    <t>2294416800亿</t>
  </si>
  <si>
    <t>356.80万</t>
  </si>
  <si>
    <t>1901.07万</t>
  </si>
  <si>
    <t>63.66万</t>
  </si>
  <si>
    <t>10.60亿</t>
  </si>
  <si>
    <t>309.61万</t>
  </si>
  <si>
    <t>-633.86万</t>
  </si>
  <si>
    <t>10派1.8元(含税)</t>
  </si>
  <si>
    <t>60.80亿</t>
  </si>
  <si>
    <t>35.88亿</t>
  </si>
  <si>
    <t>7195.08万</t>
  </si>
  <si>
    <t>4998.77万</t>
  </si>
  <si>
    <t>-57795亿</t>
  </si>
  <si>
    <t>64.22万</t>
  </si>
  <si>
    <t>-5148507亿</t>
  </si>
  <si>
    <t>13.39亿</t>
  </si>
  <si>
    <t>1374618200亿</t>
  </si>
  <si>
    <t>1388.14万</t>
  </si>
  <si>
    <t>5469524000亿</t>
  </si>
  <si>
    <t>17.87亿</t>
  </si>
  <si>
    <t>177.62万</t>
  </si>
  <si>
    <t>32.37亿</t>
  </si>
  <si>
    <t>27.86亿</t>
  </si>
  <si>
    <t>-2.03亿</t>
  </si>
  <si>
    <t>38.33亿</t>
  </si>
  <si>
    <t>8923.38万</t>
  </si>
  <si>
    <t>6083.56万</t>
  </si>
  <si>
    <t>624.65万</t>
  </si>
  <si>
    <t>1827.37万</t>
  </si>
  <si>
    <t>2507974亿</t>
  </si>
  <si>
    <t>-23744715亿</t>
  </si>
  <si>
    <t>125839780亿</t>
  </si>
  <si>
    <t>8081.75万</t>
  </si>
  <si>
    <t>1367754400亿</t>
  </si>
  <si>
    <t>5.53亿</t>
  </si>
  <si>
    <t>2613.16万</t>
  </si>
  <si>
    <t>194.18万</t>
  </si>
  <si>
    <t>392.16万</t>
  </si>
  <si>
    <t>5441.46万</t>
  </si>
  <si>
    <t>-7557.70万</t>
  </si>
  <si>
    <t>1331.77万</t>
  </si>
  <si>
    <t>14.12亿</t>
  </si>
  <si>
    <t>6566.02万</t>
  </si>
  <si>
    <t>2676.14万</t>
  </si>
  <si>
    <t>119.40万</t>
  </si>
  <si>
    <t>-18322345亿</t>
  </si>
  <si>
    <t>483162570亿</t>
  </si>
  <si>
    <t>888.97万</t>
  </si>
  <si>
    <t>1722492900亿</t>
  </si>
  <si>
    <t>1764.21万</t>
  </si>
  <si>
    <t>8.67亿</t>
  </si>
  <si>
    <t>-4857.35万</t>
  </si>
  <si>
    <t>-1768.39万</t>
  </si>
  <si>
    <t>16.45亿</t>
  </si>
  <si>
    <t>14.79亿</t>
  </si>
  <si>
    <t>11.28亿</t>
  </si>
  <si>
    <t>1647.09万</t>
  </si>
  <si>
    <t>1525.80万</t>
  </si>
  <si>
    <t>404775亿</t>
  </si>
  <si>
    <t>5047198亿</t>
  </si>
  <si>
    <t>664974110亿</t>
  </si>
  <si>
    <t>4830.84万</t>
  </si>
  <si>
    <t>1943988500亿</t>
  </si>
  <si>
    <t>2800.00万</t>
  </si>
  <si>
    <t>120.69万</t>
  </si>
  <si>
    <t>-8979.82万</t>
  </si>
  <si>
    <t>-41.33万</t>
  </si>
  <si>
    <t>-3350.75万</t>
  </si>
  <si>
    <t>23.76亿</t>
  </si>
  <si>
    <t>40.52亿</t>
  </si>
  <si>
    <t>16.15亿</t>
  </si>
  <si>
    <t>4986.36万</t>
  </si>
  <si>
    <t>-1172847亿</t>
  </si>
  <si>
    <t>77.30万</t>
  </si>
  <si>
    <t>17898916亿</t>
  </si>
  <si>
    <t>1933704000亿</t>
  </si>
  <si>
    <t>478.47万</t>
  </si>
  <si>
    <t>3768666800亿</t>
  </si>
  <si>
    <t>465.54万</t>
  </si>
  <si>
    <t>7214.18万</t>
  </si>
  <si>
    <t>189.35万</t>
  </si>
  <si>
    <t>11.61亿</t>
  </si>
  <si>
    <t>-301.38万</t>
  </si>
  <si>
    <t>-7584.62万</t>
  </si>
  <si>
    <t>66.01亿</t>
  </si>
  <si>
    <t>10派0.26元(含税)</t>
  </si>
  <si>
    <t>9556.37万</t>
  </si>
  <si>
    <t>836.02万</t>
  </si>
  <si>
    <t>1927.31万</t>
  </si>
  <si>
    <t>7998925亿</t>
  </si>
  <si>
    <t>-30989621亿</t>
  </si>
  <si>
    <t>85432840亿</t>
  </si>
  <si>
    <t>1168833220亿</t>
  </si>
  <si>
    <t>3583.59万</t>
  </si>
  <si>
    <t>354.36万</t>
  </si>
  <si>
    <t>10.02亿</t>
  </si>
  <si>
    <t>6.89亿</t>
  </si>
  <si>
    <t>8136.51万</t>
  </si>
  <si>
    <t>9756.83万</t>
  </si>
  <si>
    <t>6913.15万</t>
  </si>
  <si>
    <t>587.58万</t>
  </si>
  <si>
    <t>1475.73万</t>
  </si>
  <si>
    <t>-360367亿</t>
  </si>
  <si>
    <t>63.00万</t>
  </si>
  <si>
    <t>6392522亿</t>
  </si>
  <si>
    <t>274728490亿</t>
  </si>
  <si>
    <t>403.25万</t>
  </si>
  <si>
    <t>752214400亿</t>
  </si>
  <si>
    <t>8687.10万</t>
  </si>
  <si>
    <t>1186.32万</t>
  </si>
  <si>
    <t>-1.00亿</t>
  </si>
  <si>
    <t>-332.54万</t>
  </si>
  <si>
    <t>2049.97万</t>
  </si>
  <si>
    <t>976.36万</t>
  </si>
  <si>
    <t>-4886.84万</t>
  </si>
  <si>
    <t>18.05亿</t>
  </si>
  <si>
    <t>3668.91万</t>
  </si>
  <si>
    <t>2577.03万</t>
  </si>
  <si>
    <t>1564594亿</t>
  </si>
  <si>
    <t>10175884亿</t>
  </si>
  <si>
    <t>595366790亿</t>
  </si>
  <si>
    <t>1975543100亿</t>
  </si>
  <si>
    <t>173.84万</t>
  </si>
  <si>
    <t>16.89万</t>
  </si>
  <si>
    <t>-2475.21万</t>
  </si>
  <si>
    <t>-239.98万</t>
  </si>
  <si>
    <t>13.47亿</t>
  </si>
  <si>
    <t>9233.81万</t>
  </si>
  <si>
    <t>2080.27万</t>
  </si>
  <si>
    <t>1179.42万</t>
  </si>
  <si>
    <t>1466919亿</t>
  </si>
  <si>
    <t>8.39万</t>
  </si>
  <si>
    <t>5112346亿</t>
  </si>
  <si>
    <t>579083850亿</t>
  </si>
  <si>
    <t>290.21万</t>
  </si>
  <si>
    <t>1059092300亿</t>
  </si>
  <si>
    <t>4742.50万</t>
  </si>
  <si>
    <t>50.04万</t>
  </si>
  <si>
    <t>2026.55万</t>
  </si>
  <si>
    <t>-1230.43万</t>
  </si>
  <si>
    <t>-4200.61万</t>
  </si>
  <si>
    <t>7311.72万</t>
  </si>
  <si>
    <t>2866.46万</t>
  </si>
  <si>
    <t>5726.13万</t>
  </si>
  <si>
    <t>1718.82万</t>
  </si>
  <si>
    <t>1484.68万</t>
  </si>
  <si>
    <t>1378.46万</t>
  </si>
  <si>
    <t>264304亿</t>
  </si>
  <si>
    <t>-25692937亿</t>
  </si>
  <si>
    <t>238367440亿</t>
  </si>
  <si>
    <t>2830.64万</t>
  </si>
  <si>
    <t>1262135140亿</t>
  </si>
  <si>
    <t>104.92万</t>
  </si>
  <si>
    <t>6928.88万</t>
  </si>
  <si>
    <t>4.54万</t>
  </si>
  <si>
    <t>-4839.87万</t>
  </si>
  <si>
    <t>-1549.68万</t>
  </si>
  <si>
    <t>-1227.66万</t>
  </si>
  <si>
    <t>5024.36万</t>
  </si>
  <si>
    <t>1012.01万</t>
  </si>
  <si>
    <t>99.82亿</t>
  </si>
  <si>
    <t>9398.30万</t>
  </si>
  <si>
    <t>7034.78万</t>
  </si>
  <si>
    <t>3322474亿</t>
  </si>
  <si>
    <t>330.99万</t>
  </si>
  <si>
    <t>98348373亿</t>
  </si>
  <si>
    <t>20.99亿</t>
  </si>
  <si>
    <t>1124560890亿</t>
  </si>
  <si>
    <t>447.97万</t>
  </si>
  <si>
    <t>6517673100亿</t>
  </si>
  <si>
    <t>2639.45万</t>
  </si>
  <si>
    <t>8006.60万</t>
  </si>
  <si>
    <t>1102.40万</t>
  </si>
  <si>
    <t>934.06万</t>
  </si>
  <si>
    <t>-580.12万</t>
  </si>
  <si>
    <t>47.05亿</t>
  </si>
  <si>
    <t>*ST银江</t>
  </si>
  <si>
    <t>27.31亿</t>
  </si>
  <si>
    <t>1413.14万</t>
  </si>
  <si>
    <t>3156.34万</t>
  </si>
  <si>
    <t>2253840亿</t>
  </si>
  <si>
    <t>4.37万</t>
  </si>
  <si>
    <t>10259941亿</t>
  </si>
  <si>
    <t>1559208200亿</t>
  </si>
  <si>
    <t>4925158900亿</t>
  </si>
  <si>
    <t>856.89万</t>
  </si>
  <si>
    <t>26.57亿</t>
  </si>
  <si>
    <t>12.66万</t>
  </si>
  <si>
    <t>-7.57万</t>
  </si>
  <si>
    <t>3528.05万</t>
  </si>
  <si>
    <t>6940.16万</t>
  </si>
  <si>
    <t>11.69亿</t>
  </si>
  <si>
    <t>9.88亿</t>
  </si>
  <si>
    <t>6.32亿</t>
  </si>
  <si>
    <t>7920.17万</t>
  </si>
  <si>
    <t>8994.98万</t>
  </si>
  <si>
    <t>5792.94万</t>
  </si>
  <si>
    <t>323.93万</t>
  </si>
  <si>
    <t>1273.79万</t>
  </si>
  <si>
    <t>-623700亿</t>
  </si>
  <si>
    <t>5.51万</t>
  </si>
  <si>
    <t>-2454871亿</t>
  </si>
  <si>
    <t>7385.20万</t>
  </si>
  <si>
    <t>347773760亿</t>
  </si>
  <si>
    <t>898260180亿</t>
  </si>
  <si>
    <t>1158.00万</t>
  </si>
  <si>
    <t>53.00万</t>
  </si>
  <si>
    <t>1321.25万</t>
  </si>
  <si>
    <t>-66.35万</t>
  </si>
  <si>
    <t>-1266.75万</t>
  </si>
  <si>
    <t>-1.61亿</t>
  </si>
  <si>
    <t>20.85亿</t>
  </si>
  <si>
    <t>2067.78万</t>
  </si>
  <si>
    <t>2706.26万</t>
  </si>
  <si>
    <t>-2298947亿</t>
  </si>
  <si>
    <t>35.19万</t>
  </si>
  <si>
    <t>-68405000亿</t>
  </si>
  <si>
    <t>548013060亿</t>
  </si>
  <si>
    <t>1419047300亿</t>
  </si>
  <si>
    <t>12.29亿</t>
  </si>
  <si>
    <t>2551.87万</t>
  </si>
  <si>
    <t>-6679.51万</t>
  </si>
  <si>
    <t>-8.78亿</t>
  </si>
  <si>
    <t>-6.85亿</t>
  </si>
  <si>
    <t>1511.10万</t>
  </si>
  <si>
    <t>-8.74亿</t>
  </si>
  <si>
    <t>-6-1</t>
  </si>
  <si>
    <t>42.24亿</t>
  </si>
  <si>
    <t>3331.17万</t>
  </si>
  <si>
    <t>1493.38万</t>
  </si>
  <si>
    <t>4547.86万</t>
  </si>
  <si>
    <t>10295317亿</t>
  </si>
  <si>
    <t>-15.14万</t>
  </si>
  <si>
    <t>8631336亿</t>
  </si>
  <si>
    <t>165338640亿</t>
  </si>
  <si>
    <t>684.34万</t>
  </si>
  <si>
    <t>2691022100亿</t>
  </si>
  <si>
    <t>1206.28万</t>
  </si>
  <si>
    <t>5108.71万</t>
  </si>
  <si>
    <t>1268.28万</t>
  </si>
  <si>
    <t>-1932.60万</t>
  </si>
  <si>
    <t>-7353.76万</t>
  </si>
  <si>
    <t>1860.47万</t>
  </si>
  <si>
    <t>10派0.100104元(含税)</t>
  </si>
  <si>
    <t>4886.35万</t>
  </si>
  <si>
    <t>2601.64万</t>
  </si>
  <si>
    <t>2104.36万</t>
  </si>
  <si>
    <t>4460.31万</t>
  </si>
  <si>
    <t>-4074726亿</t>
  </si>
  <si>
    <t>-37186721亿</t>
  </si>
  <si>
    <t>185330550亿</t>
  </si>
  <si>
    <t>220.51万</t>
  </si>
  <si>
    <t>770181210亿</t>
  </si>
  <si>
    <t>265.00万</t>
  </si>
  <si>
    <t>-272.09万</t>
  </si>
  <si>
    <t>-74.12万</t>
  </si>
  <si>
    <t>3704.95万</t>
  </si>
  <si>
    <t>14.92亿</t>
  </si>
  <si>
    <t>8609.15万</t>
  </si>
  <si>
    <t>4846.58万</t>
  </si>
  <si>
    <t>2112.31万</t>
  </si>
  <si>
    <t>1223.50万</t>
  </si>
  <si>
    <t>-2018372亿</t>
  </si>
  <si>
    <t>6.18万</t>
  </si>
  <si>
    <t>-13349415亿</t>
  </si>
  <si>
    <t>783562200亿</t>
  </si>
  <si>
    <t>6344.79万</t>
  </si>
  <si>
    <t>1661710500亿</t>
  </si>
  <si>
    <t>5800.00万</t>
  </si>
  <si>
    <t>4195.19万</t>
  </si>
  <si>
    <t>4.82亿</t>
  </si>
  <si>
    <t>1765.54万</t>
  </si>
  <si>
    <t>-3.01万</t>
  </si>
  <si>
    <t>-74.01万</t>
  </si>
  <si>
    <t>-1749.82万</t>
  </si>
  <si>
    <t>60.31亿</t>
  </si>
  <si>
    <t>2514.81万</t>
  </si>
  <si>
    <t>4103.81万</t>
  </si>
  <si>
    <t>-2227004亿</t>
  </si>
  <si>
    <t>1.49万</t>
  </si>
  <si>
    <t>-23343428亿</t>
  </si>
  <si>
    <t>1519707300亿</t>
  </si>
  <si>
    <t>6168.43万</t>
  </si>
  <si>
    <t>3726593100亿</t>
  </si>
  <si>
    <t>1901.99万</t>
  </si>
  <si>
    <t>-2.84亿</t>
  </si>
  <si>
    <t>-6238.34万</t>
  </si>
  <si>
    <t>-9164.51万</t>
  </si>
  <si>
    <t>*ST迪威</t>
  </si>
  <si>
    <t>4016.68万</t>
  </si>
  <si>
    <t>9332.56万</t>
  </si>
  <si>
    <t>1725.79万</t>
  </si>
  <si>
    <t>1798亿</t>
  </si>
  <si>
    <t>7.91万</t>
  </si>
  <si>
    <t>-8949649亿</t>
  </si>
  <si>
    <t>6732.82万</t>
  </si>
  <si>
    <t>316080320亿</t>
  </si>
  <si>
    <t>571338180亿</t>
  </si>
  <si>
    <t>5717.02万</t>
  </si>
  <si>
    <t>1029.50万</t>
  </si>
  <si>
    <t>-6.28万</t>
  </si>
  <si>
    <t>-533.26万</t>
  </si>
  <si>
    <t>46.75亿</t>
  </si>
  <si>
    <t>20.75亿</t>
  </si>
  <si>
    <t>2805.30万</t>
  </si>
  <si>
    <t>8224.69万</t>
  </si>
  <si>
    <t>-5182134亿</t>
  </si>
  <si>
    <t>3.43万</t>
  </si>
  <si>
    <t>-212406050亿</t>
  </si>
  <si>
    <t>418005470亿</t>
  </si>
  <si>
    <t>3539656100亿</t>
  </si>
  <si>
    <t>19.30亿</t>
  </si>
  <si>
    <t>38.03亿</t>
  </si>
  <si>
    <t>-3719.84万</t>
  </si>
  <si>
    <t>6367.20万</t>
  </si>
  <si>
    <t>24.59亿</t>
  </si>
  <si>
    <t>-8.99亿</t>
  </si>
  <si>
    <t>11.10亿</t>
  </si>
  <si>
    <t>49.18亿</t>
  </si>
  <si>
    <t>5083.19万</t>
  </si>
  <si>
    <t>6771.45万</t>
  </si>
  <si>
    <t>13453738亿</t>
  </si>
  <si>
    <t>227.64万</t>
  </si>
  <si>
    <t>27079731亿</t>
  </si>
  <si>
    <t>13.56亿</t>
  </si>
  <si>
    <t>1227661900亿</t>
  </si>
  <si>
    <t>2904.65万</t>
  </si>
  <si>
    <t>3447861900亿</t>
  </si>
  <si>
    <t>3960.40万</t>
  </si>
  <si>
    <t>9331.83万</t>
  </si>
  <si>
    <t>-2538.03万</t>
  </si>
  <si>
    <t>92.03亿</t>
  </si>
  <si>
    <t>39.25亿</t>
  </si>
  <si>
    <t>3601.59万</t>
  </si>
  <si>
    <t>3297.78万</t>
  </si>
  <si>
    <t>-61472357亿</t>
  </si>
  <si>
    <t>20.55万</t>
  </si>
  <si>
    <t>-180211760亿</t>
  </si>
  <si>
    <t>1414635800亿</t>
  </si>
  <si>
    <t>5364.15万</t>
  </si>
  <si>
    <t>7551267400亿</t>
  </si>
  <si>
    <t>33.79亿</t>
  </si>
  <si>
    <t>5651.63万</t>
  </si>
  <si>
    <t>69.98亿</t>
  </si>
  <si>
    <t>-6821.51万</t>
  </si>
  <si>
    <t>1154.00万</t>
  </si>
  <si>
    <t>-18.90亿</t>
  </si>
  <si>
    <t>16.20亿</t>
  </si>
  <si>
    <t>3168.50万</t>
  </si>
  <si>
    <t>1075.83万</t>
  </si>
  <si>
    <t>4.02万</t>
  </si>
  <si>
    <t>16967754亿</t>
  </si>
  <si>
    <t>916205010亿</t>
  </si>
  <si>
    <t>59.79万</t>
  </si>
  <si>
    <t>1595767000亿</t>
  </si>
  <si>
    <t>8264.92万</t>
  </si>
  <si>
    <t>9772.28万</t>
  </si>
  <si>
    <t>164.00万</t>
  </si>
  <si>
    <t>34.81万</t>
  </si>
  <si>
    <t>-9776.27万</t>
  </si>
  <si>
    <t>19.76亿</t>
  </si>
  <si>
    <t>6065.24万</t>
  </si>
  <si>
    <t>7729.82万</t>
  </si>
  <si>
    <t>3927.34万</t>
  </si>
  <si>
    <t>908.45万</t>
  </si>
  <si>
    <t>1992.84万</t>
  </si>
  <si>
    <t>-843206亿</t>
  </si>
  <si>
    <t>-13674623亿</t>
  </si>
  <si>
    <t>142697650亿</t>
  </si>
  <si>
    <t>44.73万</t>
  </si>
  <si>
    <t>1046470850亿</t>
  </si>
  <si>
    <t>34.09万</t>
  </si>
  <si>
    <t>-7311.87万</t>
  </si>
  <si>
    <t>-3.53亿</t>
  </si>
  <si>
    <t>-3319.47万</t>
  </si>
  <si>
    <t>-7105.05万</t>
  </si>
  <si>
    <t>22.34亿</t>
  </si>
  <si>
    <t>7213.77万</t>
  </si>
  <si>
    <t>7164.46万</t>
  </si>
  <si>
    <t>2136.97万</t>
  </si>
  <si>
    <t>-573333亿</t>
  </si>
  <si>
    <t>1.18万</t>
  </si>
  <si>
    <t>-24585340亿</t>
  </si>
  <si>
    <t>690483570亿</t>
  </si>
  <si>
    <t>768.34万</t>
  </si>
  <si>
    <t>1283167670亿</t>
  </si>
  <si>
    <t>9530.93万</t>
  </si>
  <si>
    <t>6393.08万</t>
  </si>
  <si>
    <t>2983.48万</t>
  </si>
  <si>
    <t>4666.93万</t>
  </si>
  <si>
    <t>-8784.44万</t>
  </si>
  <si>
    <t>-1492.26万</t>
  </si>
  <si>
    <t>8267.37万</t>
  </si>
  <si>
    <t>8425.24万</t>
  </si>
  <si>
    <t>3802.20万</t>
  </si>
  <si>
    <t>1326.44万</t>
  </si>
  <si>
    <t>879.80万</t>
  </si>
  <si>
    <t>0.220亿</t>
  </si>
  <si>
    <t>2.89万</t>
  </si>
  <si>
    <t>1023150亿</t>
  </si>
  <si>
    <t>153796670亿</t>
  </si>
  <si>
    <t>500871810亿</t>
  </si>
  <si>
    <t>2539.20万</t>
  </si>
  <si>
    <t>418.98万</t>
  </si>
  <si>
    <t>5898.59万</t>
  </si>
  <si>
    <t>347.68万</t>
  </si>
  <si>
    <t>-499.52万</t>
  </si>
  <si>
    <t>-3016.59万</t>
  </si>
  <si>
    <t>-262.99万</t>
  </si>
  <si>
    <t>2550.28万</t>
  </si>
  <si>
    <t>7145.74万</t>
  </si>
  <si>
    <t>1825.43万</t>
  </si>
  <si>
    <t>3227.29万</t>
  </si>
  <si>
    <t>1435.17万</t>
  </si>
  <si>
    <t>609.03万</t>
  </si>
  <si>
    <t>526.54万</t>
  </si>
  <si>
    <t>61829亿</t>
  </si>
  <si>
    <t>-13630556亿</t>
  </si>
  <si>
    <t>4156.85万</t>
  </si>
  <si>
    <t>101572412亿</t>
  </si>
  <si>
    <t>296.82万</t>
  </si>
  <si>
    <t>323130780亿</t>
  </si>
  <si>
    <t>7856.17万</t>
  </si>
  <si>
    <t>1581.61万</t>
  </si>
  <si>
    <t>7054.05万</t>
  </si>
  <si>
    <t>-2897.61万</t>
  </si>
  <si>
    <t>-1741.73万</t>
  </si>
  <si>
    <t>-15.89万</t>
  </si>
  <si>
    <t>-6661.95万</t>
  </si>
  <si>
    <t>2928.68万</t>
  </si>
  <si>
    <t>3328.35万</t>
  </si>
  <si>
    <t>2352.13万</t>
  </si>
  <si>
    <t>264.89万</t>
  </si>
  <si>
    <t>513.58万</t>
  </si>
  <si>
    <t>1332748亿</t>
  </si>
  <si>
    <t>-2526281亿</t>
  </si>
  <si>
    <t>9888.64万</t>
  </si>
  <si>
    <t>17833663亿</t>
  </si>
  <si>
    <t>647480790亿</t>
  </si>
  <si>
    <t>2613.45万</t>
  </si>
  <si>
    <t>797.26万</t>
  </si>
  <si>
    <t>2102.60万</t>
  </si>
  <si>
    <t>-564.74万</t>
  </si>
  <si>
    <t>1031.07万</t>
  </si>
  <si>
    <t>1080.93万</t>
  </si>
  <si>
    <t>13.03亿</t>
  </si>
  <si>
    <t>1210.49万</t>
  </si>
  <si>
    <t>2019.23万</t>
  </si>
  <si>
    <t>-1735745亿</t>
  </si>
  <si>
    <t>37.14万</t>
  </si>
  <si>
    <t>-28600082亿</t>
  </si>
  <si>
    <t>4885.09万</t>
  </si>
  <si>
    <t>773336840亿</t>
  </si>
  <si>
    <t>245.96万</t>
  </si>
  <si>
    <t>1418783600亿</t>
  </si>
  <si>
    <t>1603.02万</t>
  </si>
  <si>
    <t>425.13万</t>
  </si>
  <si>
    <t>-6305.12万</t>
  </si>
  <si>
    <t>-258.73万</t>
  </si>
  <si>
    <t>-430.60万</t>
  </si>
  <si>
    <t>16.42亿</t>
  </si>
  <si>
    <t>7945.96万</t>
  </si>
  <si>
    <t>7716.00万</t>
  </si>
  <si>
    <t>5213.28万</t>
  </si>
  <si>
    <t>119.32万</t>
  </si>
  <si>
    <t>1296.20万</t>
  </si>
  <si>
    <t>5202683亿</t>
  </si>
  <si>
    <t>54.59万</t>
  </si>
  <si>
    <t>6155363亿</t>
  </si>
  <si>
    <t>41644013亿</t>
  </si>
  <si>
    <t>383841860亿</t>
  </si>
  <si>
    <t>18.61万</t>
  </si>
  <si>
    <t>1990.00万</t>
  </si>
  <si>
    <t>117.70万</t>
  </si>
  <si>
    <t>-128.51万</t>
  </si>
  <si>
    <t>-1435.06万</t>
  </si>
  <si>
    <t>7029.63万</t>
  </si>
  <si>
    <t>7745.71万</t>
  </si>
  <si>
    <t>7472.87万</t>
  </si>
  <si>
    <t>2384.61万</t>
  </si>
  <si>
    <t>2383.41万</t>
  </si>
  <si>
    <t>727666亿</t>
  </si>
  <si>
    <t>13.01万</t>
  </si>
  <si>
    <t>-18255180亿</t>
  </si>
  <si>
    <t>396099720亿</t>
  </si>
  <si>
    <t>690.04万</t>
  </si>
  <si>
    <t>965418830亿</t>
  </si>
  <si>
    <t>2511.54万</t>
  </si>
  <si>
    <t>272.13万</t>
  </si>
  <si>
    <t>96.00万</t>
  </si>
  <si>
    <t>-2305.14万</t>
  </si>
  <si>
    <t>1158.40万</t>
  </si>
  <si>
    <t>2653.93万</t>
  </si>
  <si>
    <t>ST峡创</t>
  </si>
  <si>
    <t>2287.45万</t>
  </si>
  <si>
    <t>4736.41万</t>
  </si>
  <si>
    <t>2589.99万</t>
  </si>
  <si>
    <t>73.67万</t>
  </si>
  <si>
    <t>627.30万</t>
  </si>
  <si>
    <t>4687013亿</t>
  </si>
  <si>
    <t>14.32万</t>
  </si>
  <si>
    <t>-29977550亿</t>
  </si>
  <si>
    <t>1786.38万</t>
  </si>
  <si>
    <t>64355211亿</t>
  </si>
  <si>
    <t>363036340亿</t>
  </si>
  <si>
    <t>124.75万</t>
  </si>
  <si>
    <t>31.21万</t>
  </si>
  <si>
    <t>5798.79万</t>
  </si>
  <si>
    <t>-2109.65万</t>
  </si>
  <si>
    <t>-153.83万</t>
  </si>
  <si>
    <t>985.69万</t>
  </si>
  <si>
    <t>16.79亿</t>
  </si>
  <si>
    <t>34.20亿</t>
  </si>
  <si>
    <t>2437.04万</t>
  </si>
  <si>
    <t>6989.06万</t>
  </si>
  <si>
    <t>-107434亿</t>
  </si>
  <si>
    <t>44.22万</t>
  </si>
  <si>
    <t>20562266亿</t>
  </si>
  <si>
    <t>1761757200亿</t>
  </si>
  <si>
    <t>333.66万</t>
  </si>
  <si>
    <t>2701307300亿</t>
  </si>
  <si>
    <t>735.79万</t>
  </si>
  <si>
    <t>-2308.54万</t>
  </si>
  <si>
    <t>31.06亿</t>
  </si>
  <si>
    <t>5721.17万</t>
  </si>
  <si>
    <t>6107.30万</t>
  </si>
  <si>
    <t>3450.82万</t>
  </si>
  <si>
    <t>478.55万</t>
  </si>
  <si>
    <t>1400.91万</t>
  </si>
  <si>
    <t>818543亿</t>
  </si>
  <si>
    <t>2.78万</t>
  </si>
  <si>
    <t>-3902788亿</t>
  </si>
  <si>
    <t>177026530亿</t>
  </si>
  <si>
    <t>59.85万</t>
  </si>
  <si>
    <t>549522820亿</t>
  </si>
  <si>
    <t>7436.83万</t>
  </si>
  <si>
    <t>9113.37万</t>
  </si>
  <si>
    <t>54.69万</t>
  </si>
  <si>
    <t>1800.00万</t>
  </si>
  <si>
    <t>-5549.51万</t>
  </si>
  <si>
    <t>-2068.90万</t>
  </si>
  <si>
    <t>17.18万</t>
  </si>
  <si>
    <t>5.92亿</t>
  </si>
  <si>
    <t>-3482.66万</t>
  </si>
  <si>
    <t>4693.17万</t>
  </si>
  <si>
    <t>8492.11万</t>
  </si>
  <si>
    <t>2312.20万</t>
  </si>
  <si>
    <t>1269.83万</t>
  </si>
  <si>
    <t>2647.08万</t>
  </si>
  <si>
    <t>3851亿</t>
  </si>
  <si>
    <t>-20270517亿</t>
  </si>
  <si>
    <t>1017062200亿</t>
  </si>
  <si>
    <t>4874.05万</t>
  </si>
  <si>
    <t>1863978400亿</t>
  </si>
  <si>
    <t>2700.00万</t>
  </si>
  <si>
    <t>9876.15万</t>
  </si>
  <si>
    <t>-6721.99万</t>
  </si>
  <si>
    <t>3089.89万</t>
  </si>
  <si>
    <t>-9559.99万</t>
  </si>
  <si>
    <t>4087.41万</t>
  </si>
  <si>
    <t>9687.18万</t>
  </si>
  <si>
    <t>8209.47万</t>
  </si>
  <si>
    <t>7720.11万</t>
  </si>
  <si>
    <t>4624.42万</t>
  </si>
  <si>
    <t>1057.44万</t>
  </si>
  <si>
    <t>1447.84万</t>
  </si>
  <si>
    <t>1576660亿</t>
  </si>
  <si>
    <t>4.28万</t>
  </si>
  <si>
    <t>2682129亿</t>
  </si>
  <si>
    <t>221988600亿</t>
  </si>
  <si>
    <t>3.88万</t>
  </si>
  <si>
    <t>926857350亿</t>
  </si>
  <si>
    <t>2596.55万</t>
  </si>
  <si>
    <t>9.26万</t>
  </si>
  <si>
    <t>8646.24万</t>
  </si>
  <si>
    <t>-521.11万</t>
  </si>
  <si>
    <t>-8940.63万</t>
  </si>
  <si>
    <t>-3016.11万</t>
  </si>
  <si>
    <t>-5869.29万</t>
  </si>
  <si>
    <t>10派0.18元(含税)</t>
  </si>
  <si>
    <t>17.04亿</t>
  </si>
  <si>
    <t>98.59亿</t>
  </si>
  <si>
    <t>5066.21万</t>
  </si>
  <si>
    <t>9306671亿</t>
  </si>
  <si>
    <t>19.13万</t>
  </si>
  <si>
    <t>85408655亿</t>
  </si>
  <si>
    <t>1972503100亿</t>
  </si>
  <si>
    <t>4972.06万</t>
  </si>
  <si>
    <t>7594358400亿</t>
  </si>
  <si>
    <t>428.28万</t>
  </si>
  <si>
    <t>435.00万</t>
  </si>
  <si>
    <t>15.82亿</t>
  </si>
  <si>
    <t>1774.72万</t>
  </si>
  <si>
    <t>52.42亿</t>
  </si>
  <si>
    <t>10派2.49元(含税)</t>
  </si>
  <si>
    <t>24.60亿</t>
  </si>
  <si>
    <t>17.48亿</t>
  </si>
  <si>
    <t>6996.08万</t>
  </si>
  <si>
    <t>4816.37万</t>
  </si>
  <si>
    <t>5074.33万</t>
  </si>
  <si>
    <t>-1680204亿</t>
  </si>
  <si>
    <t>11.56万</t>
  </si>
  <si>
    <t>-59192971亿</t>
  </si>
  <si>
    <t>1996765500亿</t>
  </si>
  <si>
    <t>1853.57万</t>
  </si>
  <si>
    <t>3443043000亿</t>
  </si>
  <si>
    <t>-2131.89万</t>
  </si>
  <si>
    <t>8687.89万</t>
  </si>
  <si>
    <t>22.57亿</t>
  </si>
  <si>
    <t>7964.17万</t>
  </si>
  <si>
    <t>34.84亿</t>
  </si>
  <si>
    <t>17.44亿</t>
  </si>
  <si>
    <t>6.54亿</t>
  </si>
  <si>
    <t>2767.48万</t>
  </si>
  <si>
    <t>3554.11万</t>
  </si>
  <si>
    <t>1145447亿</t>
  </si>
  <si>
    <t>94133203亿</t>
  </si>
  <si>
    <t>673784180亿</t>
  </si>
  <si>
    <t>189.77万</t>
  </si>
  <si>
    <t>4464191700亿</t>
  </si>
  <si>
    <t>-3.66亿</t>
  </si>
  <si>
    <t>5966.18万</t>
  </si>
  <si>
    <t>9.57亿</t>
  </si>
  <si>
    <t>2991.16万</t>
  </si>
  <si>
    <t>2463.70万</t>
  </si>
  <si>
    <t>-3346753亿</t>
  </si>
  <si>
    <t>38.56万</t>
  </si>
  <si>
    <t>-3323499亿</t>
  </si>
  <si>
    <t>872705340亿</t>
  </si>
  <si>
    <t>42.88万</t>
  </si>
  <si>
    <t>2074320700亿</t>
  </si>
  <si>
    <t>5517.02万</t>
  </si>
  <si>
    <t>-1.52亿</t>
  </si>
  <si>
    <t>-2159.05万</t>
  </si>
  <si>
    <t>27.38亿</t>
  </si>
  <si>
    <t>10转3股派1.2元(含税)</t>
  </si>
  <si>
    <t>5025.76万</t>
  </si>
  <si>
    <t>8427.15万</t>
  </si>
  <si>
    <t>2658.83万</t>
  </si>
  <si>
    <t>1174.31万</t>
  </si>
  <si>
    <t>3015.71万</t>
  </si>
  <si>
    <t>106380亿</t>
  </si>
  <si>
    <t>-21267771亿</t>
  </si>
  <si>
    <t>181293900亿</t>
  </si>
  <si>
    <t>92.96万</t>
  </si>
  <si>
    <t>583041200亿</t>
  </si>
  <si>
    <t>3976.62万</t>
  </si>
  <si>
    <t>3601.77万</t>
  </si>
  <si>
    <t>7551.04万</t>
  </si>
  <si>
    <t>-4707.93万</t>
  </si>
  <si>
    <t>1965.71万</t>
  </si>
  <si>
    <t>-106.78万</t>
  </si>
  <si>
    <t>-3402.76万</t>
  </si>
  <si>
    <t>26.99亿</t>
  </si>
  <si>
    <t>660.40万</t>
  </si>
  <si>
    <t>1369.75万</t>
  </si>
  <si>
    <t>13207554亿</t>
  </si>
  <si>
    <t>70488186亿</t>
  </si>
  <si>
    <t>364565400亿</t>
  </si>
  <si>
    <t>5957.56万</t>
  </si>
  <si>
    <t>2412418900亿</t>
  </si>
  <si>
    <t>1935.00万</t>
  </si>
  <si>
    <t>264.29万</t>
  </si>
  <si>
    <t>1582.57万</t>
  </si>
  <si>
    <t>-4171.82万</t>
  </si>
  <si>
    <t>4120.28万</t>
  </si>
  <si>
    <t>-5439.53万</t>
  </si>
  <si>
    <t>10派1.68元(含税)</t>
  </si>
  <si>
    <t>14.29亿</t>
  </si>
  <si>
    <t>40.53亿</t>
  </si>
  <si>
    <t>5.85亿</t>
  </si>
  <si>
    <t>2012.54万</t>
  </si>
  <si>
    <t>7116.29万</t>
  </si>
  <si>
    <t>12870360亿</t>
  </si>
  <si>
    <t>6.01万</t>
  </si>
  <si>
    <t>31250502亿</t>
  </si>
  <si>
    <t>1179670960亿</t>
  </si>
  <si>
    <t>4327233000亿</t>
  </si>
  <si>
    <t>9780.94万</t>
  </si>
  <si>
    <t>13.74亿</t>
  </si>
  <si>
    <t>-4007.63万</t>
  </si>
  <si>
    <t>52.04亿</t>
  </si>
  <si>
    <t>8718.78万</t>
  </si>
  <si>
    <t>8391.49万</t>
  </si>
  <si>
    <t>5835.91万</t>
  </si>
  <si>
    <t>1003.83万</t>
  </si>
  <si>
    <t>796.10万</t>
  </si>
  <si>
    <t>503603亿</t>
  </si>
  <si>
    <t>27.40万</t>
  </si>
  <si>
    <t>5288914亿</t>
  </si>
  <si>
    <t>260300460亿</t>
  </si>
  <si>
    <t>2110.18万</t>
  </si>
  <si>
    <t>920864900亿</t>
  </si>
  <si>
    <t>60.00万</t>
  </si>
  <si>
    <t>-9548.23万</t>
  </si>
  <si>
    <t>-5006.07万</t>
  </si>
  <si>
    <t>-17.70万</t>
  </si>
  <si>
    <t>5018.13万</t>
  </si>
  <si>
    <t>3846.54万</t>
  </si>
  <si>
    <t>23.41亿</t>
  </si>
  <si>
    <t>75.65亿</t>
  </si>
  <si>
    <t>7569.12万</t>
  </si>
  <si>
    <t>7286538亿</t>
  </si>
  <si>
    <t>11.32万</t>
  </si>
  <si>
    <t>-46113344亿</t>
  </si>
  <si>
    <t>2321969400亿</t>
  </si>
  <si>
    <t>5880499000亿</t>
  </si>
  <si>
    <t>224.81万</t>
  </si>
  <si>
    <t>16.60亿</t>
  </si>
  <si>
    <t>-6983.15万</t>
  </si>
  <si>
    <t>47.27亿</t>
  </si>
  <si>
    <t>10派2.8元(含税)</t>
  </si>
  <si>
    <t>28.57亿</t>
  </si>
  <si>
    <t>3255.44万</t>
  </si>
  <si>
    <t>3871.38万</t>
  </si>
  <si>
    <t>-2213394亿</t>
  </si>
  <si>
    <t>6.17万</t>
  </si>
  <si>
    <t>18150095亿</t>
  </si>
  <si>
    <t>999631100亿</t>
  </si>
  <si>
    <t>1270.56万</t>
  </si>
  <si>
    <t>1960543200亿</t>
  </si>
  <si>
    <t>6369.40万</t>
  </si>
  <si>
    <t>6714.86万</t>
  </si>
  <si>
    <t>-8539.43万</t>
  </si>
  <si>
    <t>8635.86万</t>
  </si>
  <si>
    <t>22.54亿</t>
  </si>
  <si>
    <t>10派1.1元(含税)</t>
  </si>
  <si>
    <t>14.44亿</t>
  </si>
  <si>
    <t>26.56亿</t>
  </si>
  <si>
    <t>3471.35万</t>
  </si>
  <si>
    <t>-212905亿</t>
  </si>
  <si>
    <t>43936799亿</t>
  </si>
  <si>
    <t>1543490100亿</t>
  </si>
  <si>
    <t>3186064300亿</t>
  </si>
  <si>
    <t>3164.60万</t>
  </si>
  <si>
    <t>2236.28万</t>
  </si>
  <si>
    <t>6900.00万</t>
  </si>
  <si>
    <t>-4.63亿</t>
  </si>
  <si>
    <t>4817.54万</t>
  </si>
  <si>
    <t>6081.67万</t>
  </si>
  <si>
    <t>608.06万</t>
  </si>
  <si>
    <t>1117.97万</t>
  </si>
  <si>
    <t>22694879亿</t>
  </si>
  <si>
    <t>710451320亿</t>
  </si>
  <si>
    <t>2135.09万</t>
  </si>
  <si>
    <t>1972029700亿</t>
  </si>
  <si>
    <t>-556.51万</t>
  </si>
  <si>
    <t>-3633.14万</t>
  </si>
  <si>
    <t>7786.14万</t>
  </si>
  <si>
    <t>10派2.807480元(含税)</t>
  </si>
  <si>
    <t>14.57亿</t>
  </si>
  <si>
    <t>5507.93万</t>
  </si>
  <si>
    <t>4928.10万</t>
  </si>
  <si>
    <t>4371.80万</t>
  </si>
  <si>
    <t>341.53万</t>
  </si>
  <si>
    <t>314.89万</t>
  </si>
  <si>
    <t>-28025亿</t>
  </si>
  <si>
    <t>9097816亿</t>
  </si>
  <si>
    <t>363657080亿</t>
  </si>
  <si>
    <t>312.73万</t>
  </si>
  <si>
    <t>1707351800亿</t>
  </si>
  <si>
    <t>918.24万</t>
  </si>
  <si>
    <t>9941.35万</t>
  </si>
  <si>
    <t>-2108.73万</t>
  </si>
  <si>
    <t>-213.73万</t>
  </si>
  <si>
    <t>-60.57万</t>
  </si>
  <si>
    <t>6340.15万</t>
  </si>
  <si>
    <t>8.10亿</t>
  </si>
  <si>
    <t>3970.85万</t>
  </si>
  <si>
    <t>5134.16万</t>
  </si>
  <si>
    <t>3293.72万</t>
  </si>
  <si>
    <t>621.22万</t>
  </si>
  <si>
    <t>886.80万</t>
  </si>
  <si>
    <t>1.45万</t>
  </si>
  <si>
    <t>-7319775亿</t>
  </si>
  <si>
    <t>319155010亿</t>
  </si>
  <si>
    <t>867296050亿</t>
  </si>
  <si>
    <t>131.48万</t>
  </si>
  <si>
    <t>2318.16万</t>
  </si>
  <si>
    <t>508.74万</t>
  </si>
  <si>
    <t>6075.47万</t>
  </si>
  <si>
    <t>-6564.00万</t>
  </si>
  <si>
    <t>-2140.04万</t>
  </si>
  <si>
    <t>-59.46万</t>
  </si>
  <si>
    <t>638.90万</t>
  </si>
  <si>
    <t>14.99亿</t>
  </si>
  <si>
    <t>1844.55万</t>
  </si>
  <si>
    <t>1540.68万</t>
  </si>
  <si>
    <t>-202151亿</t>
  </si>
  <si>
    <t>19241047亿</t>
  </si>
  <si>
    <t>157224220亿</t>
  </si>
  <si>
    <t>11.42万</t>
  </si>
  <si>
    <t>1626882800亿</t>
  </si>
  <si>
    <t>-87.55万</t>
  </si>
  <si>
    <t>-19.04万</t>
  </si>
  <si>
    <t>10转2股派3.9元(含税)</t>
  </si>
  <si>
    <t>3993.85万</t>
  </si>
  <si>
    <t>5557.49万</t>
  </si>
  <si>
    <t>3487.70万</t>
  </si>
  <si>
    <t>262.19万</t>
  </si>
  <si>
    <t>1312.34万</t>
  </si>
  <si>
    <t>368932亿</t>
  </si>
  <si>
    <t>10.11万</t>
  </si>
  <si>
    <t>-2067669亿</t>
  </si>
  <si>
    <t>250449100亿</t>
  </si>
  <si>
    <t>1034.75万</t>
  </si>
  <si>
    <t>1203012870亿</t>
  </si>
  <si>
    <t>2242.46万</t>
  </si>
  <si>
    <t>85.80万</t>
  </si>
  <si>
    <t>4769.27万</t>
  </si>
  <si>
    <t>43.10万</t>
  </si>
  <si>
    <t>-4164.67万</t>
  </si>
  <si>
    <t>3110.49万</t>
  </si>
  <si>
    <t>3286.90万</t>
  </si>
  <si>
    <t>10派0.46元(含税)</t>
  </si>
  <si>
    <t>50.18亿</t>
  </si>
  <si>
    <t>103.85亿</t>
  </si>
  <si>
    <t>54.49亿</t>
  </si>
  <si>
    <t>57.55亿</t>
  </si>
  <si>
    <t>48.66亿</t>
  </si>
  <si>
    <t>6615084亿</t>
  </si>
  <si>
    <t>61.38万</t>
  </si>
  <si>
    <t>-284313380亿</t>
  </si>
  <si>
    <t>45.59亿</t>
  </si>
  <si>
    <t>6595191700亿</t>
  </si>
  <si>
    <t>1126.91万</t>
  </si>
  <si>
    <t>17670498000亿</t>
  </si>
  <si>
    <t>8964.89万</t>
  </si>
  <si>
    <t>44.50亿</t>
  </si>
  <si>
    <t>18.72亿</t>
  </si>
  <si>
    <t>90.46亿</t>
  </si>
  <si>
    <t>-13.83亿</t>
  </si>
  <si>
    <t>-20.52亿</t>
  </si>
  <si>
    <t>14.87亿</t>
  </si>
  <si>
    <t>175.81亿</t>
  </si>
  <si>
    <t>15.94亿</t>
  </si>
  <si>
    <t>1181.88万</t>
  </si>
  <si>
    <t>1740.80万</t>
  </si>
  <si>
    <t>1135200亿</t>
  </si>
  <si>
    <t>-194361亿</t>
  </si>
  <si>
    <t>503779790亿</t>
  </si>
  <si>
    <t>297.08万</t>
  </si>
  <si>
    <t>1649131100亿</t>
  </si>
  <si>
    <t>5944.31万</t>
  </si>
  <si>
    <t>60.21万</t>
  </si>
  <si>
    <t>7026.56万</t>
  </si>
  <si>
    <t>1487.15万</t>
  </si>
  <si>
    <t>-6565.28万</t>
  </si>
  <si>
    <t>1355.92万</t>
  </si>
  <si>
    <t>672.92万</t>
  </si>
  <si>
    <t>5631.89万</t>
  </si>
  <si>
    <t>8.53亿</t>
  </si>
  <si>
    <t>662.03万</t>
  </si>
  <si>
    <t>908.75万</t>
  </si>
  <si>
    <t>3613.24万</t>
  </si>
  <si>
    <t>-1309938亿</t>
  </si>
  <si>
    <t>8.47万</t>
  </si>
  <si>
    <t>13644723亿</t>
  </si>
  <si>
    <t>572240300亿</t>
  </si>
  <si>
    <t>133.49万</t>
  </si>
  <si>
    <t>1002732720亿</t>
  </si>
  <si>
    <t>3314.19万</t>
  </si>
  <si>
    <t>5153.37万</t>
  </si>
  <si>
    <t>321.57万</t>
  </si>
  <si>
    <t>7032.98万</t>
  </si>
  <si>
    <t>-4859.48万</t>
  </si>
  <si>
    <t>-7950.48万</t>
  </si>
  <si>
    <t>-1846.80万</t>
  </si>
  <si>
    <t>8944.26万</t>
  </si>
  <si>
    <t>8245.34万</t>
  </si>
  <si>
    <t>4617.35万</t>
  </si>
  <si>
    <t>5937.27万</t>
  </si>
  <si>
    <t>3409.40万</t>
  </si>
  <si>
    <t>575.31万</t>
  </si>
  <si>
    <t>734.08万</t>
  </si>
  <si>
    <t>2194288亿</t>
  </si>
  <si>
    <t>299.68万</t>
  </si>
  <si>
    <t>-13249557亿</t>
  </si>
  <si>
    <t>640809180亿</t>
  </si>
  <si>
    <t>409.28万</t>
  </si>
  <si>
    <t>1735206700亿</t>
  </si>
  <si>
    <t>3127.38万</t>
  </si>
  <si>
    <t>9804.40万</t>
  </si>
  <si>
    <t>7203.21万</t>
  </si>
  <si>
    <t>-2.10亿</t>
  </si>
  <si>
    <t>-5106.07万</t>
  </si>
  <si>
    <t>-106.67万</t>
  </si>
  <si>
    <t>7.71亿</t>
  </si>
  <si>
    <t>4221.76万</t>
  </si>
  <si>
    <t>72.42亿</t>
  </si>
  <si>
    <t>27016209亿</t>
  </si>
  <si>
    <t>30.56万</t>
  </si>
  <si>
    <t>11982358亿</t>
  </si>
  <si>
    <t>5835690000亿</t>
  </si>
  <si>
    <t>10388577400亿</t>
  </si>
  <si>
    <t>52.63亿</t>
  </si>
  <si>
    <t>-9792.14万</t>
  </si>
  <si>
    <t>-45.48万</t>
  </si>
  <si>
    <t>-5783.88万</t>
  </si>
  <si>
    <t>76.73亿</t>
  </si>
  <si>
    <t>10派2.07元(含税)</t>
  </si>
  <si>
    <t>52.94亿</t>
  </si>
  <si>
    <t>-510650亿</t>
  </si>
  <si>
    <t>1.79万</t>
  </si>
  <si>
    <t>-37818526亿</t>
  </si>
  <si>
    <t>501814520亿</t>
  </si>
  <si>
    <t>3293121700亿</t>
  </si>
  <si>
    <t>46.75万</t>
  </si>
  <si>
    <t>-3.92亿</t>
  </si>
  <si>
    <t>-2940.15万</t>
  </si>
  <si>
    <t>52.46亿</t>
  </si>
  <si>
    <t>169.93亿</t>
  </si>
  <si>
    <t>20.09亿</t>
  </si>
  <si>
    <t>-10243003亿</t>
  </si>
  <si>
    <t>109.31万</t>
  </si>
  <si>
    <t>-334991500亿</t>
  </si>
  <si>
    <t>62.60亿</t>
  </si>
  <si>
    <t>2671819700亿</t>
  </si>
  <si>
    <t>3146.54万</t>
  </si>
  <si>
    <t>13982404000亿</t>
  </si>
  <si>
    <t>17.97亿</t>
  </si>
  <si>
    <t>201.14万</t>
  </si>
  <si>
    <t>45.72亿</t>
  </si>
  <si>
    <t>4365.02万</t>
  </si>
  <si>
    <t>-12.41亿</t>
  </si>
  <si>
    <t>9204.10万</t>
  </si>
  <si>
    <t>125.75亿</t>
  </si>
  <si>
    <t>10派0.33元(含税)</t>
  </si>
  <si>
    <t>38.26亿</t>
  </si>
  <si>
    <t>47.82亿</t>
  </si>
  <si>
    <t>8.89亿</t>
  </si>
  <si>
    <t>5553.84万</t>
  </si>
  <si>
    <t>6335.13万</t>
  </si>
  <si>
    <t>2872520亿</t>
  </si>
  <si>
    <t>48.40万</t>
  </si>
  <si>
    <t>-62975556亿</t>
  </si>
  <si>
    <t>665411800亿</t>
  </si>
  <si>
    <t>893.08万</t>
  </si>
  <si>
    <t>4227236400亿</t>
  </si>
  <si>
    <t>109.43万</t>
  </si>
  <si>
    <t>9.70亿</t>
  </si>
  <si>
    <t>2440.36万</t>
  </si>
  <si>
    <t>169.72万</t>
  </si>
  <si>
    <t>-2.47亿</t>
  </si>
  <si>
    <t>41.63亿</t>
  </si>
  <si>
    <t>27.04亿</t>
  </si>
  <si>
    <t>39.30亿</t>
  </si>
  <si>
    <t>11.86亿</t>
  </si>
  <si>
    <t>4141.51万</t>
  </si>
  <si>
    <t>8940.32万</t>
  </si>
  <si>
    <t>15278875亿</t>
  </si>
  <si>
    <t>-93148582亿</t>
  </si>
  <si>
    <t>842299180亿</t>
  </si>
  <si>
    <t>1679.29万</t>
  </si>
  <si>
    <t>5125166000亿</t>
  </si>
  <si>
    <t>3300.00万</t>
  </si>
  <si>
    <t>5483.96万</t>
  </si>
  <si>
    <t>62.21亿</t>
  </si>
  <si>
    <t>9.21亿</t>
  </si>
  <si>
    <t>8028.96万</t>
  </si>
  <si>
    <t>8211.99万</t>
  </si>
  <si>
    <t>6248.16万</t>
  </si>
  <si>
    <t>780.29万</t>
  </si>
  <si>
    <t>790.63万</t>
  </si>
  <si>
    <t>-1991504亿</t>
  </si>
  <si>
    <t>6376.69万</t>
  </si>
  <si>
    <t>289967670亿</t>
  </si>
  <si>
    <t>373.15万</t>
  </si>
  <si>
    <t>551184790亿</t>
  </si>
  <si>
    <t>748.39万</t>
  </si>
  <si>
    <t>-8.45万</t>
  </si>
  <si>
    <t>7452.55万</t>
  </si>
  <si>
    <t>-3933.18万</t>
  </si>
  <si>
    <t>528.81万</t>
  </si>
  <si>
    <t>58.27亿</t>
  </si>
  <si>
    <t>19253361亿</t>
  </si>
  <si>
    <t>38.43万</t>
  </si>
  <si>
    <t>-123041688亿</t>
  </si>
  <si>
    <t>1978436600亿</t>
  </si>
  <si>
    <t>6119281500亿</t>
  </si>
  <si>
    <t>21.99亿</t>
  </si>
  <si>
    <t>47.78亿</t>
  </si>
  <si>
    <t>4594.87万</t>
  </si>
  <si>
    <t>67.23亿</t>
  </si>
  <si>
    <t>1173.29万</t>
  </si>
  <si>
    <t>3725.24万</t>
  </si>
  <si>
    <t>7530506亿</t>
  </si>
  <si>
    <t>-50202760亿</t>
  </si>
  <si>
    <t>9050.19万</t>
  </si>
  <si>
    <t>298152010亿</t>
  </si>
  <si>
    <t>1175862370亿</t>
  </si>
  <si>
    <t>151.46万</t>
  </si>
  <si>
    <t>62.32万</t>
  </si>
  <si>
    <t>5645.54万</t>
  </si>
  <si>
    <t>-2.57亿</t>
  </si>
  <si>
    <t>21.29亿</t>
  </si>
  <si>
    <t>10派2.6元(含税)</t>
  </si>
  <si>
    <t>6.92亿</t>
  </si>
  <si>
    <t>广东榕泰</t>
  </si>
  <si>
    <t>13.31亿</t>
  </si>
  <si>
    <t>9837.23万</t>
  </si>
  <si>
    <t>8945.18万</t>
  </si>
  <si>
    <t>168.18万</t>
  </si>
  <si>
    <t>1381.01万</t>
  </si>
  <si>
    <t>20801837亿</t>
  </si>
  <si>
    <t>3.12万</t>
  </si>
  <si>
    <t>-15370986亿</t>
  </si>
  <si>
    <t>74760179亿</t>
  </si>
  <si>
    <t>618674820亿</t>
  </si>
  <si>
    <t>5207.75万</t>
  </si>
  <si>
    <t>6939.70万</t>
  </si>
  <si>
    <t>-732.03万</t>
  </si>
  <si>
    <t>-1000.00万</t>
  </si>
  <si>
    <t>8257.34万</t>
  </si>
  <si>
    <t>94.59亿</t>
  </si>
  <si>
    <t>93.76亿</t>
  </si>
  <si>
    <t>-33418866亿</t>
  </si>
  <si>
    <t>44.23万</t>
  </si>
  <si>
    <t>-8666374亿</t>
  </si>
  <si>
    <t>1282842950亿</t>
  </si>
  <si>
    <t>10664038700亿</t>
  </si>
  <si>
    <t>2703.10万</t>
  </si>
  <si>
    <t>79.29亿</t>
  </si>
  <si>
    <t>-5.16亿</t>
  </si>
  <si>
    <t>105.44亿</t>
  </si>
  <si>
    <t>7391.25万</t>
  </si>
  <si>
    <t>64.25亿</t>
  </si>
  <si>
    <t>75.56亿</t>
  </si>
  <si>
    <t>3681.87万</t>
  </si>
  <si>
    <t>4761.65万</t>
  </si>
  <si>
    <t>15518415亿</t>
  </si>
  <si>
    <t>-33203996亿</t>
  </si>
  <si>
    <t>2982359500亿</t>
  </si>
  <si>
    <t>5878.43万</t>
  </si>
  <si>
    <t>8321258000亿</t>
  </si>
  <si>
    <t>18.33亿</t>
  </si>
  <si>
    <t>23.22亿</t>
  </si>
  <si>
    <t>781.67万</t>
  </si>
  <si>
    <t>-5.71亿</t>
  </si>
  <si>
    <t>-9028.68万</t>
  </si>
  <si>
    <t>62.28亿</t>
  </si>
  <si>
    <t>10派0.1856元(含税)</t>
  </si>
  <si>
    <t>实达集团</t>
  </si>
  <si>
    <t>427.35万</t>
  </si>
  <si>
    <t>2023.37万</t>
  </si>
  <si>
    <t>330.58万</t>
  </si>
  <si>
    <t>133.80万</t>
  </si>
  <si>
    <t>1249.47万</t>
  </si>
  <si>
    <t>569215亿</t>
  </si>
  <si>
    <t>-13654447亿</t>
  </si>
  <si>
    <t>69052347亿</t>
  </si>
  <si>
    <t>371436670亿</t>
  </si>
  <si>
    <t>9584.79万</t>
  </si>
  <si>
    <t>-4541.44万</t>
  </si>
  <si>
    <t>-44.63万</t>
  </si>
  <si>
    <t>-1241.01万</t>
  </si>
  <si>
    <t>3719.58万</t>
  </si>
  <si>
    <t>21.23亿</t>
  </si>
  <si>
    <t>23.01亿</t>
  </si>
  <si>
    <t>1552.52万</t>
  </si>
  <si>
    <t>7498.00万</t>
  </si>
  <si>
    <t>2038165亿</t>
  </si>
  <si>
    <t>-29572416亿</t>
  </si>
  <si>
    <t>6.85亿</t>
  </si>
  <si>
    <t>814077620亿</t>
  </si>
  <si>
    <t>51.93万</t>
  </si>
  <si>
    <t>2262756400亿</t>
  </si>
  <si>
    <t>332.50万</t>
  </si>
  <si>
    <t>10.49亿</t>
  </si>
  <si>
    <t>19.12亿</t>
  </si>
  <si>
    <t>-866.63万</t>
  </si>
  <si>
    <t>9098.87万</t>
  </si>
  <si>
    <t>24.44亿</t>
  </si>
  <si>
    <t>3582.41万</t>
  </si>
  <si>
    <t>9420.75万</t>
  </si>
  <si>
    <t>-2512372亿</t>
  </si>
  <si>
    <t>16.45万</t>
  </si>
  <si>
    <t>-34142136亿</t>
  </si>
  <si>
    <t>1004874160亿</t>
  </si>
  <si>
    <t>2049.19万</t>
  </si>
  <si>
    <t>2337031500亿</t>
  </si>
  <si>
    <t>4502.47万</t>
  </si>
  <si>
    <t>3948.63万</t>
  </si>
  <si>
    <t>103.37万</t>
  </si>
  <si>
    <t>-6530.42万</t>
  </si>
  <si>
    <t>10.98万</t>
  </si>
  <si>
    <t>36.00亿</t>
  </si>
  <si>
    <t>97.94亿</t>
  </si>
  <si>
    <t>129.41亿</t>
  </si>
  <si>
    <t>33.91亿</t>
  </si>
  <si>
    <t>22.83亿</t>
  </si>
  <si>
    <t>6307.33万</t>
  </si>
  <si>
    <t>9749.18万</t>
  </si>
  <si>
    <t>-1873278亿</t>
  </si>
  <si>
    <t>28.12万</t>
  </si>
  <si>
    <t>586090920亿</t>
  </si>
  <si>
    <t>62.58亿</t>
  </si>
  <si>
    <t>3661461300亿</t>
  </si>
  <si>
    <t>17711986000亿</t>
  </si>
  <si>
    <t>6905.85万</t>
  </si>
  <si>
    <t>36.40亿</t>
  </si>
  <si>
    <t>86.62亿</t>
  </si>
  <si>
    <t>-8744.92万</t>
  </si>
  <si>
    <t>-8674.10万</t>
  </si>
  <si>
    <t>129.16亿</t>
  </si>
  <si>
    <t>10转2股派10元(含税)</t>
  </si>
  <si>
    <t>66.84亿</t>
  </si>
  <si>
    <t>46.88亿</t>
  </si>
  <si>
    <t>19.94亿</t>
  </si>
  <si>
    <t>19.28亿</t>
  </si>
  <si>
    <t>5305.77万</t>
  </si>
  <si>
    <t>371544亿</t>
  </si>
  <si>
    <t>62.08万</t>
  </si>
  <si>
    <t>46883155亿</t>
  </si>
  <si>
    <t>17.56亿</t>
  </si>
  <si>
    <t>1840647900亿</t>
  </si>
  <si>
    <t>10060632900亿</t>
  </si>
  <si>
    <t>59.55亿</t>
  </si>
  <si>
    <t>-9.26亿</t>
  </si>
  <si>
    <t>-1608.79万</t>
  </si>
  <si>
    <t>-2521.27万</t>
  </si>
  <si>
    <t>100.01亿</t>
  </si>
  <si>
    <t>10派4.5元(含税)</t>
  </si>
  <si>
    <t>14.17亿</t>
  </si>
  <si>
    <t>24.68亿</t>
  </si>
  <si>
    <t>5564.42万</t>
  </si>
  <si>
    <t>4739.76万</t>
  </si>
  <si>
    <t>4060580亿</t>
  </si>
  <si>
    <t>22.56万</t>
  </si>
  <si>
    <t>27027607亿</t>
  </si>
  <si>
    <t>223098640亿</t>
  </si>
  <si>
    <t>2394357400亿</t>
  </si>
  <si>
    <t>1868.57万</t>
  </si>
  <si>
    <t>7231.46万</t>
  </si>
  <si>
    <t>-3.60亿</t>
  </si>
  <si>
    <t>4119.87万</t>
  </si>
  <si>
    <t>18.29亿</t>
  </si>
  <si>
    <t>8338.55万</t>
  </si>
  <si>
    <t>64.09亿</t>
  </si>
  <si>
    <t>27.93亿</t>
  </si>
  <si>
    <t>17.51亿</t>
  </si>
  <si>
    <t>8892.83万</t>
  </si>
  <si>
    <t>9600.66万</t>
  </si>
  <si>
    <t>5176153亿</t>
  </si>
  <si>
    <t>35.51万</t>
  </si>
  <si>
    <t>90092859亿</t>
  </si>
  <si>
    <t>11.33亿</t>
  </si>
  <si>
    <t>1656442400亿</t>
  </si>
  <si>
    <t>2199.30万</t>
  </si>
  <si>
    <t>7024609400亿</t>
  </si>
  <si>
    <t>8111.85万</t>
  </si>
  <si>
    <t>18.11亿</t>
  </si>
  <si>
    <t>59.22亿</t>
  </si>
  <si>
    <t>8370.84万</t>
  </si>
  <si>
    <t>-6851.56万</t>
  </si>
  <si>
    <t>69.63亿</t>
  </si>
  <si>
    <t>10派6.22元(含税)</t>
  </si>
  <si>
    <t>33.33亿</t>
  </si>
  <si>
    <t>27.12亿</t>
  </si>
  <si>
    <t>7613.25万</t>
  </si>
  <si>
    <t>2469.44万</t>
  </si>
  <si>
    <t>4419.80万</t>
  </si>
  <si>
    <t>-6122948亿</t>
  </si>
  <si>
    <t>1.31万</t>
  </si>
  <si>
    <t>-69346107亿</t>
  </si>
  <si>
    <t>2356129200亿</t>
  </si>
  <si>
    <t>3854015600亿</t>
  </si>
  <si>
    <t>677.03万</t>
  </si>
  <si>
    <t>13.97亿</t>
  </si>
  <si>
    <t>32.58亿</t>
  </si>
  <si>
    <t>5628.68万</t>
  </si>
  <si>
    <t>10派0.49元(含税)</t>
  </si>
  <si>
    <t>2058.08万</t>
  </si>
  <si>
    <t>1154930亿</t>
  </si>
  <si>
    <t>1.68万</t>
  </si>
  <si>
    <t>53894081亿</t>
  </si>
  <si>
    <t>1337022920亿</t>
  </si>
  <si>
    <t>1225.00万</t>
  </si>
  <si>
    <t>2200396600亿</t>
  </si>
  <si>
    <t>6882.58万</t>
  </si>
  <si>
    <t>1958.34万</t>
  </si>
  <si>
    <t>-9713.19万</t>
  </si>
  <si>
    <t>1759.02万</t>
  </si>
  <si>
    <t>10转4.8股派1元(含税)</t>
  </si>
  <si>
    <t>ST智知</t>
  </si>
  <si>
    <t>38.36亿</t>
  </si>
  <si>
    <t>8996.72万</t>
  </si>
  <si>
    <t>1772.52万</t>
  </si>
  <si>
    <t>3443.78万</t>
  </si>
  <si>
    <t>1294721亿</t>
  </si>
  <si>
    <t>4.69万</t>
  </si>
  <si>
    <t>5603483亿</t>
  </si>
  <si>
    <t>373.36万</t>
  </si>
  <si>
    <t>3265946800亿</t>
  </si>
  <si>
    <t>234.60万</t>
  </si>
  <si>
    <t>8460.06万</t>
  </si>
  <si>
    <t>-9.51万</t>
  </si>
  <si>
    <t>4164.45万</t>
  </si>
  <si>
    <t>6721.00万</t>
  </si>
  <si>
    <t>9.46亿</t>
  </si>
  <si>
    <t>-7087.34万</t>
  </si>
  <si>
    <t>6167.47万</t>
  </si>
  <si>
    <t>9907.05万</t>
  </si>
  <si>
    <t>4308.19万</t>
  </si>
  <si>
    <t>3693.22万</t>
  </si>
  <si>
    <t>1162.06万</t>
  </si>
  <si>
    <t>-460062亿</t>
  </si>
  <si>
    <t>-30080476亿</t>
  </si>
  <si>
    <t>305820870亿</t>
  </si>
  <si>
    <t>42.73万</t>
  </si>
  <si>
    <t>1277995580亿</t>
  </si>
  <si>
    <t>35.94万</t>
  </si>
  <si>
    <t>150.13万</t>
  </si>
  <si>
    <t>3050.98万</t>
  </si>
  <si>
    <t>-7788.44万</t>
  </si>
  <si>
    <t>-6041.80万</t>
  </si>
  <si>
    <t>149.82万</t>
  </si>
  <si>
    <t>2562.00万</t>
  </si>
  <si>
    <t>10.75亿</t>
  </si>
  <si>
    <t>8165.53万</t>
  </si>
  <si>
    <t>624.74万</t>
  </si>
  <si>
    <t>1407.62万</t>
  </si>
  <si>
    <t>8578777亿</t>
  </si>
  <si>
    <t>77939640亿</t>
  </si>
  <si>
    <t>1198903070亿</t>
  </si>
  <si>
    <t>1501.12万</t>
  </si>
  <si>
    <t>1173.16万</t>
  </si>
  <si>
    <t>6293.85万</t>
  </si>
  <si>
    <t>-6005.94万</t>
  </si>
  <si>
    <t>-188.54万</t>
  </si>
  <si>
    <t>5695.00万</t>
  </si>
  <si>
    <t>5956.30万</t>
  </si>
  <si>
    <t>10转4.0股派1.2元(含税)</t>
  </si>
  <si>
    <t>6.63亿</t>
  </si>
  <si>
    <t>2954.25万</t>
  </si>
  <si>
    <t>4170.84万</t>
  </si>
  <si>
    <t>1629.80万</t>
  </si>
  <si>
    <t>1183.39万</t>
  </si>
  <si>
    <t>371.83万</t>
  </si>
  <si>
    <t>1359331亿</t>
  </si>
  <si>
    <t>-7942385亿</t>
  </si>
  <si>
    <t>8003.45万</t>
  </si>
  <si>
    <t>73262937亿</t>
  </si>
  <si>
    <t>13.86万</t>
  </si>
  <si>
    <t>322353490亿</t>
  </si>
  <si>
    <t>41.09万</t>
  </si>
  <si>
    <t>3607.93万</t>
  </si>
  <si>
    <t>7808.02万</t>
  </si>
  <si>
    <t>-2370.34万</t>
  </si>
  <si>
    <t>3256.21万</t>
  </si>
  <si>
    <t>-17.10万</t>
  </si>
  <si>
    <t>-3112.20万</t>
  </si>
  <si>
    <t>4875.24万</t>
  </si>
  <si>
    <t>-4316.82万</t>
  </si>
  <si>
    <t>10转4.1股</t>
  </si>
  <si>
    <t>12.36亿</t>
  </si>
  <si>
    <t>6221.56万</t>
  </si>
  <si>
    <t>9488.65万</t>
  </si>
  <si>
    <t>4105.05万</t>
  </si>
  <si>
    <t>837.31万</t>
  </si>
  <si>
    <t>1049.16万</t>
  </si>
  <si>
    <t>945147亿</t>
  </si>
  <si>
    <t>-25548549亿</t>
  </si>
  <si>
    <t>318677780亿</t>
  </si>
  <si>
    <t>713003370亿</t>
  </si>
  <si>
    <t>969.66万</t>
  </si>
  <si>
    <t>1430.86万</t>
  </si>
  <si>
    <t>-3306.54万</t>
  </si>
  <si>
    <t>-2925.89万</t>
  </si>
  <si>
    <t>-1744.50万</t>
  </si>
  <si>
    <t>-9859.84万</t>
  </si>
  <si>
    <t>7618.12万</t>
  </si>
  <si>
    <t>540.81万</t>
  </si>
  <si>
    <t>1804.91万</t>
  </si>
  <si>
    <t>483613亿</t>
  </si>
  <si>
    <t>11.73万</t>
  </si>
  <si>
    <t>-14312200亿</t>
  </si>
  <si>
    <t>417303070亿</t>
  </si>
  <si>
    <t>223.05万</t>
  </si>
  <si>
    <t>699121900亿</t>
  </si>
  <si>
    <t>273.21万</t>
  </si>
  <si>
    <t>-1514.53万</t>
  </si>
  <si>
    <t>6199.69万</t>
  </si>
  <si>
    <t>420.80万</t>
  </si>
  <si>
    <t>1501.22万</t>
  </si>
  <si>
    <t>3292.08万</t>
  </si>
  <si>
    <t>2776.49万</t>
  </si>
  <si>
    <t>-2888573亿</t>
  </si>
  <si>
    <t>13.41万</t>
  </si>
  <si>
    <t>30284627亿</t>
  </si>
  <si>
    <t>18.77亿</t>
  </si>
  <si>
    <t>110147839亿</t>
  </si>
  <si>
    <t>397.87万</t>
  </si>
  <si>
    <t>2378324300亿</t>
  </si>
  <si>
    <t>152.64万</t>
  </si>
  <si>
    <t>2.40万</t>
  </si>
  <si>
    <t>-1655.42万</t>
  </si>
  <si>
    <t>-2901.75万</t>
  </si>
  <si>
    <t>-993.34万</t>
  </si>
  <si>
    <t>5782.28万</t>
  </si>
  <si>
    <t>8848.77万</t>
  </si>
  <si>
    <t>10派2.2元(含税)</t>
  </si>
  <si>
    <t>25.76亿</t>
  </si>
  <si>
    <t>3427.58万</t>
  </si>
  <si>
    <t>2900.60万</t>
  </si>
  <si>
    <t>-1804479亿</t>
  </si>
  <si>
    <t>-62381554亿</t>
  </si>
  <si>
    <t>486410750亿</t>
  </si>
  <si>
    <t>1772944700亿</t>
  </si>
  <si>
    <t>8074.84万</t>
  </si>
  <si>
    <t>8564.20万</t>
  </si>
  <si>
    <t>2317.46万</t>
  </si>
  <si>
    <t>-492.35万</t>
  </si>
  <si>
    <t>22.60亿</t>
  </si>
  <si>
    <t>3072.66万</t>
  </si>
  <si>
    <t>6245.91万</t>
  </si>
  <si>
    <t>785.62万</t>
  </si>
  <si>
    <t>930.77万</t>
  </si>
  <si>
    <t>959.15万</t>
  </si>
  <si>
    <t>2796212亿</t>
  </si>
  <si>
    <t>2.51万</t>
  </si>
  <si>
    <t>-29442358亿</t>
  </si>
  <si>
    <t>16.21亿</t>
  </si>
  <si>
    <t>120588262亿</t>
  </si>
  <si>
    <t>1896634900亿</t>
  </si>
  <si>
    <t>887.23万</t>
  </si>
  <si>
    <t>2942.52万</t>
  </si>
  <si>
    <t>9470.91万</t>
  </si>
  <si>
    <t>-3112.69万</t>
  </si>
  <si>
    <t>-565.82万</t>
  </si>
  <si>
    <t>-9033.32万</t>
  </si>
  <si>
    <t>13.62亿</t>
  </si>
  <si>
    <t>5821.25万</t>
  </si>
  <si>
    <t>8883.57万</t>
  </si>
  <si>
    <t>3610.40万</t>
  </si>
  <si>
    <t>1119.84万</t>
  </si>
  <si>
    <t>2535.23万</t>
  </si>
  <si>
    <t>914988亿</t>
  </si>
  <si>
    <t>46.43万</t>
  </si>
  <si>
    <t>-22344763亿</t>
  </si>
  <si>
    <t>515273390亿</t>
  </si>
  <si>
    <t>1017.26万</t>
  </si>
  <si>
    <t>1331735140亿</t>
  </si>
  <si>
    <t>9709.80万</t>
  </si>
  <si>
    <t>186.97万</t>
  </si>
  <si>
    <t>743.67万</t>
  </si>
  <si>
    <t>-7008.63万</t>
  </si>
  <si>
    <t>4808.18万</t>
  </si>
  <si>
    <t>-1068.04万</t>
  </si>
  <si>
    <t>14.04亿</t>
  </si>
  <si>
    <t>8779.13万</t>
  </si>
  <si>
    <t>4847.03万</t>
  </si>
  <si>
    <t>1122.88万</t>
  </si>
  <si>
    <t>2293.38万</t>
  </si>
  <si>
    <t>1742106亿</t>
  </si>
  <si>
    <t>-232981亿</t>
  </si>
  <si>
    <t>443496220亿</t>
  </si>
  <si>
    <t>1325883510亿</t>
  </si>
  <si>
    <t>4504.20万</t>
  </si>
  <si>
    <t>2780.08万</t>
  </si>
  <si>
    <t>-3478.84万</t>
  </si>
  <si>
    <t>4115.38万</t>
  </si>
  <si>
    <t>10派1.887元(含税)</t>
  </si>
  <si>
    <t>5452.18万</t>
  </si>
  <si>
    <t>3764.52万</t>
  </si>
  <si>
    <t>5226.20万</t>
  </si>
  <si>
    <t>774.07万</t>
  </si>
  <si>
    <t>1882.58万</t>
  </si>
  <si>
    <t>866.07万</t>
  </si>
  <si>
    <t>511692亿</t>
  </si>
  <si>
    <t>-14940626亿</t>
  </si>
  <si>
    <t>71319783亿</t>
  </si>
  <si>
    <t>456205430亿</t>
  </si>
  <si>
    <t>985.87万</t>
  </si>
  <si>
    <t>4771.71万</t>
  </si>
  <si>
    <t>-3361.99万</t>
  </si>
  <si>
    <t>44.92万</t>
  </si>
  <si>
    <t>-1827.57万</t>
  </si>
  <si>
    <t>-8121.57万</t>
  </si>
  <si>
    <t>7043.87万</t>
  </si>
  <si>
    <t>7215.90万</t>
  </si>
  <si>
    <t>3973.56万</t>
  </si>
  <si>
    <t>231.81万</t>
  </si>
  <si>
    <t>1238.30万</t>
  </si>
  <si>
    <t>4416435亿</t>
  </si>
  <si>
    <t>2486557亿</t>
  </si>
  <si>
    <t>214703920亿</t>
  </si>
  <si>
    <t>163.85万</t>
  </si>
  <si>
    <t>765639570亿</t>
  </si>
  <si>
    <t>1298.15万</t>
  </si>
  <si>
    <t>83.77万</t>
  </si>
  <si>
    <t>8508.96万</t>
  </si>
  <si>
    <t>1546.01万</t>
  </si>
  <si>
    <t>-3333.92万</t>
  </si>
  <si>
    <t>1605.59万</t>
  </si>
  <si>
    <t>10转4股派1.98690元(含税)</t>
  </si>
  <si>
    <t>-8-1</t>
  </si>
  <si>
    <t>7464.96万</t>
  </si>
  <si>
    <t>8835.94万</t>
  </si>
  <si>
    <t>4471.40万</t>
  </si>
  <si>
    <t>1443.43万</t>
  </si>
  <si>
    <t>835.97万</t>
  </si>
  <si>
    <t>411125亿</t>
  </si>
  <si>
    <t>-9210176亿</t>
  </si>
  <si>
    <t>73994299亿</t>
  </si>
  <si>
    <t>403214750亿</t>
  </si>
  <si>
    <t>5406.16万</t>
  </si>
  <si>
    <t>535.55万</t>
  </si>
  <si>
    <t>53.91万</t>
  </si>
  <si>
    <t>872.01万</t>
  </si>
  <si>
    <t>-1.70亿</t>
  </si>
  <si>
    <t>5440.35万</t>
  </si>
  <si>
    <t>2282.09万</t>
  </si>
  <si>
    <t>3624.72万</t>
  </si>
  <si>
    <t>7432.98万</t>
  </si>
  <si>
    <t>-206444亿</t>
  </si>
  <si>
    <t>51.78万</t>
  </si>
  <si>
    <t>-170145920亿</t>
  </si>
  <si>
    <t>306449890亿</t>
  </si>
  <si>
    <t>182.62万</t>
  </si>
  <si>
    <t>2147474100亿</t>
  </si>
  <si>
    <t>437.90万</t>
  </si>
  <si>
    <t>-6244.14万</t>
  </si>
  <si>
    <t>-6532.64万</t>
  </si>
  <si>
    <t>-6.43亿</t>
  </si>
  <si>
    <t>42.89亿</t>
  </si>
  <si>
    <t>9844.85万</t>
  </si>
  <si>
    <t>8202.76万</t>
  </si>
  <si>
    <t>3806.38万</t>
  </si>
  <si>
    <t>4730.87万</t>
  </si>
  <si>
    <t>12673233亿</t>
  </si>
  <si>
    <t>-156741750亿</t>
  </si>
  <si>
    <t>504321570亿</t>
  </si>
  <si>
    <t>3964781900亿</t>
  </si>
  <si>
    <t>32.34万</t>
  </si>
  <si>
    <t>4569.48万</t>
  </si>
  <si>
    <t>-3.83亿</t>
  </si>
  <si>
    <t>4071.72万</t>
  </si>
  <si>
    <t>3906.41万</t>
  </si>
  <si>
    <t>1976.56万</t>
  </si>
  <si>
    <t>380727亿</t>
  </si>
  <si>
    <t>15.89万</t>
  </si>
  <si>
    <t>-15178172亿</t>
  </si>
  <si>
    <t>61348445亿</t>
  </si>
  <si>
    <t>445616390亿</t>
  </si>
  <si>
    <t>1065.81万</t>
  </si>
  <si>
    <t>5788.08万</t>
  </si>
  <si>
    <t>156.04万</t>
  </si>
  <si>
    <t>428.60万</t>
  </si>
  <si>
    <t>-5387.30万</t>
  </si>
  <si>
    <t>1528.32万</t>
  </si>
  <si>
    <t>-1844.69万</t>
  </si>
  <si>
    <t>慧辰股份</t>
  </si>
  <si>
    <t>7102.62万</t>
  </si>
  <si>
    <t>4884.60万</t>
  </si>
  <si>
    <t>2816.00万</t>
  </si>
  <si>
    <t>1384.05万</t>
  </si>
  <si>
    <t>-211622亿</t>
  </si>
  <si>
    <t>-20928539亿</t>
  </si>
  <si>
    <t>179444100亿</t>
  </si>
  <si>
    <t>186.83万</t>
  </si>
  <si>
    <t>1003127510亿</t>
  </si>
  <si>
    <t>872.47万</t>
  </si>
  <si>
    <t>913.76万</t>
  </si>
  <si>
    <t>-4407.74万</t>
  </si>
  <si>
    <t>1863.00万</t>
  </si>
  <si>
    <t>-325.49万</t>
  </si>
  <si>
    <t>-8666.97万</t>
  </si>
  <si>
    <t>-2929.86万</t>
  </si>
  <si>
    <t>1648.90万</t>
  </si>
  <si>
    <t>4259.07万</t>
  </si>
  <si>
    <t>5569.72万</t>
  </si>
  <si>
    <t>19.81亿</t>
  </si>
  <si>
    <t>8443.65万</t>
  </si>
  <si>
    <t>1710.82万</t>
  </si>
  <si>
    <t>2724.95万</t>
  </si>
  <si>
    <t>-375788亿</t>
  </si>
  <si>
    <t>148.76万</t>
  </si>
  <si>
    <t>-33898433亿</t>
  </si>
  <si>
    <t>480394390亿</t>
  </si>
  <si>
    <t>362.92万</t>
  </si>
  <si>
    <t>2715091800亿</t>
  </si>
  <si>
    <t>2124.32万</t>
  </si>
  <si>
    <t>-221.35万</t>
  </si>
  <si>
    <t>7413.38万</t>
  </si>
  <si>
    <t>2860.73万</t>
  </si>
  <si>
    <t>-3341.53万</t>
  </si>
  <si>
    <t>17.71亿</t>
  </si>
  <si>
    <t>18.26亿</t>
  </si>
  <si>
    <t>7898.27万</t>
  </si>
  <si>
    <t>6023.92万</t>
  </si>
  <si>
    <t>1333.10万</t>
  </si>
  <si>
    <t>2135.35万</t>
  </si>
  <si>
    <t>727288亿</t>
  </si>
  <si>
    <t>311.80万</t>
  </si>
  <si>
    <t>-28729767亿</t>
  </si>
  <si>
    <t>407175690亿</t>
  </si>
  <si>
    <t>927.07万</t>
  </si>
  <si>
    <t>2992239800亿</t>
  </si>
  <si>
    <t>2152.56万</t>
  </si>
  <si>
    <t>6800.76万</t>
  </si>
  <si>
    <t>-948.51万</t>
  </si>
  <si>
    <t>6006.59万</t>
  </si>
  <si>
    <t>5857.28万</t>
  </si>
  <si>
    <t>38.78亿</t>
  </si>
  <si>
    <t>4539.48万</t>
  </si>
  <si>
    <t>5918.67万</t>
  </si>
  <si>
    <t>-3730160亿</t>
  </si>
  <si>
    <t>762.02万</t>
  </si>
  <si>
    <t>-12768317亿</t>
  </si>
  <si>
    <t>1933148100亿</t>
  </si>
  <si>
    <t>3253.28万</t>
  </si>
  <si>
    <t>4440665600亿</t>
  </si>
  <si>
    <t>1675.59万</t>
  </si>
  <si>
    <t>7411.75万</t>
  </si>
  <si>
    <t>10.98亿</t>
  </si>
  <si>
    <t>-7134.37万</t>
  </si>
  <si>
    <t>25.16亿</t>
  </si>
  <si>
    <t>10转4.9股派1.92元(含税)</t>
  </si>
  <si>
    <t>4221.31万</t>
  </si>
  <si>
    <t>4064.53万</t>
  </si>
  <si>
    <t>4365.71万</t>
  </si>
  <si>
    <t>1141.39万</t>
  </si>
  <si>
    <t>499.76万</t>
  </si>
  <si>
    <t>1303.13万</t>
  </si>
  <si>
    <t>2194142亿</t>
  </si>
  <si>
    <t>4.25万</t>
  </si>
  <si>
    <t>-2646314亿</t>
  </si>
  <si>
    <t>81683326亿</t>
  </si>
  <si>
    <t>516202190亿</t>
  </si>
  <si>
    <t>1099.18万</t>
  </si>
  <si>
    <t>3116.58万</t>
  </si>
  <si>
    <t>498.59万</t>
  </si>
  <si>
    <t>-89.77万</t>
  </si>
  <si>
    <t>-3038.52万</t>
  </si>
  <si>
    <t>3416.29万</t>
  </si>
  <si>
    <t>271.17亿</t>
  </si>
  <si>
    <t>2146.04万</t>
  </si>
  <si>
    <t>12.96亿</t>
  </si>
  <si>
    <t>-8174.83万</t>
  </si>
  <si>
    <t>8.75亿</t>
  </si>
  <si>
    <t>769.71万</t>
  </si>
  <si>
    <t>2346.53万</t>
  </si>
  <si>
    <t>3498.96万</t>
  </si>
  <si>
    <t>978.83万</t>
  </si>
  <si>
    <t>19.62亿</t>
  </si>
  <si>
    <t>1142.14万</t>
  </si>
  <si>
    <t>8443.07万</t>
  </si>
  <si>
    <t>165.29亿</t>
  </si>
  <si>
    <t>16.87亿</t>
  </si>
  <si>
    <t>1246.27万</t>
  </si>
  <si>
    <t>27.94亿</t>
  </si>
  <si>
    <t>7586.10万</t>
  </si>
  <si>
    <t>5.76亿</t>
  </si>
  <si>
    <t>19.39亿</t>
  </si>
  <si>
    <t>0332000000</t>
  </si>
  <si>
    <t>0996000000</t>
  </si>
  <si>
    <t>01992000000</t>
  </si>
  <si>
    <t>03320000000</t>
  </si>
  <si>
    <t>06640000000</t>
  </si>
  <si>
    <t>2138.29万</t>
  </si>
  <si>
    <t>1531.55万</t>
  </si>
  <si>
    <t>7886.16万</t>
  </si>
  <si>
    <t>1962.05万</t>
  </si>
  <si>
    <t>1141.89万</t>
  </si>
  <si>
    <t>029315600</t>
  </si>
  <si>
    <t>087946800</t>
  </si>
  <si>
    <t>0175893600</t>
  </si>
  <si>
    <t>0293156000</t>
  </si>
  <si>
    <t>0586312000</t>
  </si>
  <si>
    <t>796.29万</t>
  </si>
  <si>
    <t>8930.61万</t>
  </si>
  <si>
    <t>-3198.06万</t>
  </si>
  <si>
    <t>4762.25万</t>
  </si>
  <si>
    <t>5.72亿</t>
  </si>
  <si>
    <t>2294.72万</t>
  </si>
  <si>
    <t>2743.52万</t>
  </si>
  <si>
    <t>8813.65万</t>
  </si>
  <si>
    <t>3657.20万</t>
  </si>
  <si>
    <t>15.68亿</t>
  </si>
  <si>
    <t>957.44万</t>
  </si>
  <si>
    <t>1013.81万</t>
  </si>
  <si>
    <t>4447.40万</t>
  </si>
  <si>
    <t>235.65万</t>
  </si>
  <si>
    <t>5346.10万</t>
  </si>
  <si>
    <t>1422.31万</t>
  </si>
  <si>
    <t>1684.76万</t>
  </si>
  <si>
    <t>6.18亿</t>
  </si>
  <si>
    <t>1845.91万</t>
  </si>
  <si>
    <t>6.58亿</t>
  </si>
  <si>
    <t>698.74万</t>
  </si>
  <si>
    <t>4867.45万</t>
  </si>
  <si>
    <t>-2680.49万</t>
  </si>
  <si>
    <t>5211.03万</t>
  </si>
  <si>
    <t>515.29万</t>
  </si>
  <si>
    <t>-1495.63万</t>
  </si>
  <si>
    <t>3489.64万</t>
  </si>
  <si>
    <t>923.00万</t>
  </si>
  <si>
    <t>215.81万</t>
  </si>
  <si>
    <t>5474.27万</t>
  </si>
  <si>
    <t>542.04万</t>
  </si>
  <si>
    <t>15.86亿</t>
  </si>
  <si>
    <t>6580.09万</t>
  </si>
  <si>
    <t>3061.52万</t>
  </si>
  <si>
    <t>2.34亿</t>
  </si>
  <si>
    <t>558.58万</t>
  </si>
  <si>
    <t>-1400.19万</t>
  </si>
  <si>
    <t>4583.94万</t>
  </si>
  <si>
    <t>3.30亿</t>
  </si>
  <si>
    <t>434.58万</t>
  </si>
  <si>
    <t>6702.60万</t>
  </si>
  <si>
    <t>-1537.23万</t>
  </si>
  <si>
    <t>2478.63万</t>
  </si>
  <si>
    <t>631.00万</t>
  </si>
  <si>
    <t>1674.91万</t>
  </si>
  <si>
    <t>3522.50万</t>
  </si>
  <si>
    <t>448.61万</t>
  </si>
  <si>
    <t>1554.63万</t>
  </si>
  <si>
    <t>2768.34万</t>
  </si>
  <si>
    <t>610.65万</t>
  </si>
  <si>
    <t>3343.41万</t>
  </si>
  <si>
    <t>-1381.75万</t>
  </si>
  <si>
    <t>3525.49万</t>
  </si>
  <si>
    <t>9878.86万</t>
  </si>
  <si>
    <t>开始亏损</t>
  </si>
  <si>
    <t>030360300</t>
  </si>
  <si>
    <t>060720600</t>
  </si>
  <si>
    <t>0101201000</t>
  </si>
  <si>
    <t>0202402000</t>
  </si>
  <si>
    <t>3543.12万</t>
  </si>
  <si>
    <t>11.68亿</t>
  </si>
  <si>
    <t>9487.09万</t>
  </si>
  <si>
    <t>0613000000</t>
  </si>
  <si>
    <t>01839000000</t>
  </si>
  <si>
    <t>03678000000</t>
  </si>
  <si>
    <t>06130000000</t>
  </si>
  <si>
    <t>012260000000</t>
  </si>
  <si>
    <t>4388.20万</t>
  </si>
  <si>
    <t>6014.62万</t>
  </si>
  <si>
    <t>15.49亿</t>
  </si>
  <si>
    <t>3241.58万</t>
  </si>
  <si>
    <t>7347.19万</t>
  </si>
  <si>
    <t>-1956.56万</t>
  </si>
  <si>
    <t>12.70亿</t>
  </si>
  <si>
    <t>681.37万</t>
  </si>
  <si>
    <t>-7666.38万</t>
  </si>
  <si>
    <t>4686.16万</t>
  </si>
  <si>
    <t>1144.49万</t>
  </si>
  <si>
    <t>987.82万</t>
  </si>
  <si>
    <t>5.75亿</t>
  </si>
  <si>
    <t>018604700</t>
  </si>
  <si>
    <t>055814100</t>
  </si>
  <si>
    <t>0111628200</t>
  </si>
  <si>
    <t>0186047000</t>
  </si>
  <si>
    <t>0372094000</t>
  </si>
  <si>
    <t>900.89万</t>
  </si>
  <si>
    <t>-4368.40万</t>
  </si>
  <si>
    <t>4779.87万</t>
  </si>
  <si>
    <t>618.22万</t>
  </si>
  <si>
    <t>97.27万</t>
  </si>
  <si>
    <t>4055.67万</t>
  </si>
  <si>
    <t>1079.62万</t>
  </si>
  <si>
    <t>4596.42万</t>
  </si>
  <si>
    <t>6096.17万</t>
  </si>
  <si>
    <t>2408.45万</t>
  </si>
  <si>
    <t>5187.82万</t>
  </si>
  <si>
    <t>-5065.36万</t>
  </si>
  <si>
    <t>779.51万</t>
  </si>
  <si>
    <t>-4299.27万</t>
  </si>
  <si>
    <t>5167.16万</t>
  </si>
  <si>
    <t>1247.81万</t>
  </si>
  <si>
    <t>3162.09万</t>
  </si>
  <si>
    <t>8644.02万</t>
  </si>
  <si>
    <t>2125.76万</t>
  </si>
  <si>
    <t>-5185.65万</t>
  </si>
  <si>
    <t>422.44万</t>
  </si>
  <si>
    <t>2106.98万</t>
  </si>
  <si>
    <t>2622.89万</t>
  </si>
  <si>
    <t>2683.69万</t>
  </si>
  <si>
    <t>8429.35万</t>
  </si>
  <si>
    <t>-403.51万</t>
  </si>
  <si>
    <t>6.39亿</t>
  </si>
  <si>
    <t>265.46万</t>
  </si>
  <si>
    <t>-1518.61万</t>
  </si>
  <si>
    <t>1629.82万</t>
  </si>
  <si>
    <t>867.53万</t>
  </si>
  <si>
    <t>5377.79万</t>
  </si>
  <si>
    <t>-650.79万</t>
  </si>
  <si>
    <t>6257.12万</t>
  </si>
  <si>
    <t>025502800</t>
  </si>
  <si>
    <t>076508400</t>
  </si>
  <si>
    <t>0153016800</t>
  </si>
  <si>
    <t>0255028000</t>
  </si>
  <si>
    <t>0510056000</t>
  </si>
  <si>
    <t>4241.76万</t>
  </si>
  <si>
    <t>3574.95万</t>
  </si>
  <si>
    <t>-1203.58万</t>
  </si>
  <si>
    <t>245.42万</t>
  </si>
  <si>
    <t>2071.30万</t>
  </si>
  <si>
    <t>10.16万</t>
  </si>
  <si>
    <t>1279.84万</t>
  </si>
  <si>
    <t>010809300</t>
  </si>
  <si>
    <t>032427900</t>
  </si>
  <si>
    <t>064855800</t>
  </si>
  <si>
    <t>0108093000</t>
  </si>
  <si>
    <t>0216186000</t>
  </si>
  <si>
    <t>6053.85万</t>
  </si>
  <si>
    <t>555.30万</t>
  </si>
  <si>
    <t>24.83亿</t>
  </si>
  <si>
    <t>270.16万</t>
  </si>
  <si>
    <t>2126.34万</t>
  </si>
  <si>
    <t>1739.66万</t>
  </si>
  <si>
    <t>5623.45万</t>
  </si>
  <si>
    <t>-488.57万</t>
  </si>
  <si>
    <t>19.17亿</t>
  </si>
  <si>
    <t>3080.23万</t>
  </si>
  <si>
    <t>2190.12万</t>
  </si>
  <si>
    <t>-1856.83万</t>
  </si>
  <si>
    <t>1750.15万</t>
  </si>
  <si>
    <t>7.37亿</t>
  </si>
  <si>
    <t>3630.50万</t>
  </si>
  <si>
    <t>8141.57万</t>
  </si>
  <si>
    <t>8.27亿</t>
  </si>
  <si>
    <t>481.35万</t>
  </si>
  <si>
    <t>4972.90万</t>
  </si>
  <si>
    <t>3836.13万</t>
  </si>
  <si>
    <t>764.36万</t>
  </si>
  <si>
    <t>121042亿</t>
  </si>
  <si>
    <t>-5236137亿</t>
  </si>
  <si>
    <t>41615586亿</t>
  </si>
  <si>
    <t>565837420亿</t>
  </si>
  <si>
    <t>2239.85万</t>
  </si>
  <si>
    <t>42.91万</t>
  </si>
  <si>
    <t>5776.78万</t>
  </si>
  <si>
    <t>3732.94万</t>
  </si>
  <si>
    <t>2013.32万</t>
  </si>
  <si>
    <t>-661.30万</t>
  </si>
  <si>
    <t>1688.36万</t>
  </si>
  <si>
    <t>8733.96万</t>
  </si>
  <si>
    <t>701.29万</t>
  </si>
  <si>
    <t>4174.74万</t>
  </si>
  <si>
    <t>858.93万</t>
  </si>
  <si>
    <t>-232.43万</t>
  </si>
  <si>
    <t>7198.96万</t>
  </si>
  <si>
    <t>9-0</t>
  </si>
  <si>
    <t>278.25万</t>
  </si>
  <si>
    <t>3815.98万</t>
  </si>
  <si>
    <t>-2633.86万</t>
  </si>
  <si>
    <t>1932.09万</t>
  </si>
  <si>
    <t>2806.82万</t>
  </si>
  <si>
    <t>9998.84万</t>
  </si>
  <si>
    <t>251.26万</t>
  </si>
  <si>
    <t>10.53亿</t>
  </si>
  <si>
    <t>1372.86万</t>
  </si>
  <si>
    <t>11.66亿</t>
  </si>
  <si>
    <t>-9-1</t>
  </si>
  <si>
    <t>244.04万</t>
  </si>
  <si>
    <t>752.84万</t>
  </si>
  <si>
    <t>1900.42万</t>
  </si>
  <si>
    <t>7149.15万</t>
  </si>
  <si>
    <t>8-0</t>
  </si>
  <si>
    <t>296.57万</t>
  </si>
  <si>
    <t>9231.13万</t>
  </si>
  <si>
    <t>1693.60万</t>
  </si>
  <si>
    <t>429.10万</t>
  </si>
  <si>
    <t>764.49万</t>
  </si>
  <si>
    <t>2636.19万</t>
  </si>
  <si>
    <t>206.25万</t>
  </si>
  <si>
    <t>5575.32万</t>
  </si>
  <si>
    <t>-676.16万</t>
  </si>
  <si>
    <t>1244.18万</t>
  </si>
  <si>
    <t>4-0</t>
  </si>
  <si>
    <t>653.01万</t>
  </si>
  <si>
    <t>6064.35万</t>
  </si>
  <si>
    <t>3574.30万</t>
  </si>
  <si>
    <t>396.89万</t>
  </si>
  <si>
    <t>4186.29万</t>
  </si>
  <si>
    <t>2390.39万</t>
  </si>
  <si>
    <t>498.95万</t>
  </si>
  <si>
    <t>7453.59万</t>
  </si>
  <si>
    <t>936.98万</t>
  </si>
  <si>
    <t>2639.66万</t>
  </si>
  <si>
    <t>1036.31万</t>
  </si>
  <si>
    <t>2006.94万</t>
  </si>
  <si>
    <t>6694.85万</t>
  </si>
  <si>
    <t>497.13万</t>
  </si>
  <si>
    <t>5.17亿</t>
  </si>
  <si>
    <t>-1750.48万</t>
  </si>
  <si>
    <t>2861.62万</t>
  </si>
  <si>
    <t>549.92万</t>
  </si>
  <si>
    <t>4.81亿</t>
  </si>
  <si>
    <t>2793.75万</t>
  </si>
  <si>
    <t>3651.53万</t>
  </si>
  <si>
    <t>452.52万</t>
  </si>
  <si>
    <t>4.27亿</t>
  </si>
  <si>
    <t>2096.09万</t>
  </si>
  <si>
    <t>1499.68万</t>
  </si>
  <si>
    <t>5627.40万</t>
  </si>
  <si>
    <t>95.28万</t>
  </si>
  <si>
    <t>1703.81万</t>
  </si>
  <si>
    <t>-429.91万</t>
  </si>
  <si>
    <t>617.38万</t>
  </si>
  <si>
    <t>6280.60万</t>
  </si>
  <si>
    <t>590.54万</t>
  </si>
  <si>
    <t>4920.47万</t>
  </si>
  <si>
    <t>-335.46万</t>
  </si>
  <si>
    <t>3433.78万</t>
  </si>
  <si>
    <t>193.83万</t>
  </si>
  <si>
    <t>2645.71万</t>
  </si>
  <si>
    <t>1347.86万</t>
  </si>
  <si>
    <t>325.90万</t>
  </si>
  <si>
    <t>2906.68万</t>
  </si>
  <si>
    <t>-218.83万</t>
  </si>
  <si>
    <t>2751.39万</t>
  </si>
  <si>
    <t>4100.31万</t>
  </si>
  <si>
    <t>42.03亿</t>
  </si>
  <si>
    <t>6064.97万</t>
  </si>
  <si>
    <t>9.90亿</t>
  </si>
  <si>
    <t>5-0</t>
  </si>
  <si>
    <t>705.05万</t>
  </si>
  <si>
    <t>1202.15万</t>
  </si>
  <si>
    <t>4977.95万</t>
  </si>
  <si>
    <t>316.74万</t>
  </si>
  <si>
    <t>1297.00万</t>
  </si>
  <si>
    <t>1948.92万</t>
  </si>
  <si>
    <t>482.91万</t>
  </si>
  <si>
    <t>6405.12万</t>
  </si>
  <si>
    <t>236.20万</t>
  </si>
  <si>
    <t>2846.95万</t>
  </si>
  <si>
    <t>49-1</t>
  </si>
  <si>
    <t>849.82万</t>
  </si>
  <si>
    <t>10.29亿</t>
  </si>
  <si>
    <t>5383.55万</t>
  </si>
  <si>
    <t>8341.30万</t>
  </si>
  <si>
    <t>1288.27万</t>
  </si>
  <si>
    <t>10000.00万</t>
  </si>
  <si>
    <t>65.84亿</t>
  </si>
  <si>
    <t>74.66亿</t>
  </si>
  <si>
    <t>6.07亿</t>
  </si>
  <si>
    <t>13.23亿</t>
  </si>
  <si>
    <t>7210.33万</t>
  </si>
  <si>
    <t>4571.67万</t>
  </si>
  <si>
    <t>1798.65万</t>
  </si>
  <si>
    <t>5.82亿</t>
  </si>
  <si>
    <t>325.27万</t>
  </si>
  <si>
    <t>2918.47万</t>
  </si>
  <si>
    <t>14.21亿</t>
  </si>
  <si>
    <t>-39.19亿</t>
  </si>
  <si>
    <t>-9.12亿</t>
  </si>
  <si>
    <t>-3.87亿</t>
  </si>
  <si>
    <t>6560.37万</t>
  </si>
  <si>
    <t>-352.01万</t>
  </si>
  <si>
    <t>8.37亿</t>
  </si>
  <si>
    <t>1385.96万</t>
  </si>
  <si>
    <t>35.06亿</t>
  </si>
  <si>
    <t>0609000000</t>
  </si>
  <si>
    <t>01218000000</t>
  </si>
  <si>
    <t>02030000000</t>
  </si>
  <si>
    <t>04060000000</t>
  </si>
  <si>
    <t>866.24万</t>
  </si>
  <si>
    <t>6136.85万</t>
  </si>
  <si>
    <t>5821.04万</t>
  </si>
  <si>
    <t>金证股份</t>
  </si>
  <si>
    <t>636.37万</t>
  </si>
  <si>
    <t>12.64亿</t>
  </si>
  <si>
    <t>-5847.16万</t>
  </si>
  <si>
    <t>3837.82万</t>
  </si>
  <si>
    <t>683.39万</t>
  </si>
  <si>
    <t>9727.75万</t>
  </si>
  <si>
    <t>-239.68万</t>
  </si>
  <si>
    <t>6814.48万</t>
  </si>
  <si>
    <t>1199.01万</t>
  </si>
  <si>
    <t>12.18亿</t>
  </si>
  <si>
    <t>-1.99亿</t>
  </si>
  <si>
    <t>5078.18万</t>
  </si>
  <si>
    <t>1102.46万</t>
  </si>
  <si>
    <t>988.61万</t>
  </si>
  <si>
    <t>8503.54万</t>
  </si>
  <si>
    <t>693.42万</t>
  </si>
  <si>
    <t>9020.58万</t>
  </si>
  <si>
    <t>-4140.30万</t>
  </si>
  <si>
    <t>5123.91万</t>
  </si>
  <si>
    <t>4.11亿</t>
  </si>
  <si>
    <t>0247720200</t>
  </si>
  <si>
    <t>0495440400</t>
  </si>
  <si>
    <t>0825734000</t>
  </si>
  <si>
    <t>01651468000</t>
  </si>
  <si>
    <t>1193.17万</t>
  </si>
  <si>
    <t>16.56亿</t>
  </si>
  <si>
    <t>505.89万</t>
  </si>
  <si>
    <t>6602.44万</t>
  </si>
  <si>
    <t>1106.75万</t>
  </si>
  <si>
    <t>10.88亿</t>
  </si>
  <si>
    <t>7844.53万</t>
  </si>
  <si>
    <t>1605.46万</t>
  </si>
  <si>
    <t>3584.91万</t>
  </si>
  <si>
    <t>1032.08万</t>
  </si>
  <si>
    <t>0111587400</t>
  </si>
  <si>
    <t>0223174800</t>
  </si>
  <si>
    <t>0371958000</t>
  </si>
  <si>
    <t>0743916000</t>
  </si>
  <si>
    <t>502.50万</t>
  </si>
  <si>
    <t>439.91万</t>
  </si>
  <si>
    <t>4196.12万</t>
  </si>
  <si>
    <t>614.20万</t>
  </si>
  <si>
    <t>8.70亿</t>
  </si>
  <si>
    <t>202.89万</t>
  </si>
  <si>
    <t>3730.82万</t>
  </si>
  <si>
    <t>779.31万</t>
  </si>
  <si>
    <t>25.22亿</t>
  </si>
  <si>
    <t>3304.11万</t>
  </si>
  <si>
    <t>287.28万</t>
  </si>
  <si>
    <t>19.71亿</t>
  </si>
  <si>
    <t>4648.08万</t>
  </si>
  <si>
    <t>1801.98万</t>
  </si>
  <si>
    <t>229.97万</t>
  </si>
  <si>
    <t>8.00亿</t>
  </si>
  <si>
    <t>6496.39万</t>
  </si>
  <si>
    <t>-8118.27万</t>
  </si>
  <si>
    <t>8179.99万</t>
  </si>
  <si>
    <t>3317.43万</t>
  </si>
  <si>
    <t>2237.79万</t>
  </si>
  <si>
    <t>968.19万</t>
  </si>
  <si>
    <t>550602亿</t>
  </si>
  <si>
    <t>-9935153亿</t>
  </si>
  <si>
    <t>66633210亿</t>
  </si>
  <si>
    <t>357.86万</t>
  </si>
  <si>
    <t>953024720亿</t>
  </si>
  <si>
    <t>14.88万</t>
  </si>
  <si>
    <t>8783.13万</t>
  </si>
  <si>
    <t>727.84万</t>
  </si>
  <si>
    <t>5604.37万</t>
  </si>
  <si>
    <t>-2940.88万</t>
  </si>
  <si>
    <t>1202.33万</t>
  </si>
  <si>
    <t>1276.11万</t>
  </si>
  <si>
    <t>3200.60万</t>
  </si>
  <si>
    <t>9038.20万</t>
  </si>
  <si>
    <t>229.47万</t>
  </si>
  <si>
    <t>16.90亿</t>
  </si>
  <si>
    <t>1382.05万</t>
  </si>
  <si>
    <t>9688.97万</t>
  </si>
  <si>
    <t>444.14万</t>
  </si>
  <si>
    <t>-2177.78万</t>
  </si>
  <si>
    <t>2585.99万</t>
  </si>
  <si>
    <t>410.38万</t>
  </si>
  <si>
    <t>4278.90万</t>
  </si>
  <si>
    <t>2623.84万</t>
  </si>
  <si>
    <t>178.47万</t>
  </si>
  <si>
    <t>771.15万</t>
  </si>
  <si>
    <t>846.47万</t>
  </si>
  <si>
    <t>8925.50万</t>
  </si>
  <si>
    <t>1281.01万</t>
  </si>
  <si>
    <t>451.96万</t>
  </si>
  <si>
    <t>8539.30万</t>
  </si>
  <si>
    <t>55.17万</t>
  </si>
  <si>
    <t>1257.56万</t>
  </si>
  <si>
    <t>361.96万</t>
  </si>
  <si>
    <t>3546.10万</t>
  </si>
  <si>
    <t>67.77万</t>
  </si>
  <si>
    <t>4016.44万</t>
  </si>
  <si>
    <t>-257.06万</t>
  </si>
  <si>
    <t>467.66万</t>
  </si>
  <si>
    <t>4505.81万</t>
  </si>
  <si>
    <t>163.34万</t>
  </si>
  <si>
    <t>5198.81万</t>
  </si>
  <si>
    <t>-1890.13万</t>
  </si>
  <si>
    <t>1007.97万</t>
  </si>
  <si>
    <t>7706.63万</t>
  </si>
  <si>
    <t>33.51万</t>
  </si>
  <si>
    <t>6238.85万</t>
  </si>
  <si>
    <t>-2928.97万</t>
  </si>
  <si>
    <t>228.66万</t>
  </si>
  <si>
    <t>2048.67万</t>
  </si>
  <si>
    <t>314.56万</t>
  </si>
  <si>
    <t>2818.62万</t>
  </si>
  <si>
    <t>1598.71万</t>
  </si>
  <si>
    <t>452.95万</t>
  </si>
  <si>
    <t>-9471.79万</t>
  </si>
  <si>
    <t>2441.96万</t>
  </si>
  <si>
    <t>362.76万</t>
  </si>
  <si>
    <t>6754.38万</t>
  </si>
  <si>
    <t>-81.85万</t>
  </si>
  <si>
    <t>2288.04万</t>
  </si>
  <si>
    <t>70.98万</t>
  </si>
  <si>
    <t>5851.35万</t>
  </si>
  <si>
    <t>-1604.45万</t>
  </si>
  <si>
    <t>357.04万</t>
  </si>
  <si>
    <t>2630.81万</t>
  </si>
  <si>
    <t>74.27万</t>
  </si>
  <si>
    <t>4648.95万</t>
  </si>
  <si>
    <t>-573.19万</t>
  </si>
  <si>
    <t>458.23万</t>
  </si>
  <si>
    <t>4425.15万</t>
  </si>
  <si>
    <t>20.33万</t>
  </si>
  <si>
    <t>3225.33万</t>
  </si>
  <si>
    <t>-1782.92万</t>
  </si>
  <si>
    <t>144.11万</t>
  </si>
  <si>
    <t>1727.13万</t>
  </si>
  <si>
    <t>142.47万</t>
  </si>
  <si>
    <t>6468.35万</t>
  </si>
  <si>
    <t>677.01万</t>
  </si>
  <si>
    <t>868.48万</t>
  </si>
  <si>
    <t>4988.54万</t>
  </si>
  <si>
    <t>41.30万</t>
  </si>
  <si>
    <t>6849.32万</t>
  </si>
  <si>
    <t>-4621.50万</t>
  </si>
  <si>
    <t>251.70万</t>
  </si>
  <si>
    <t>2101.52万</t>
  </si>
  <si>
    <t>1432.55万</t>
  </si>
  <si>
    <t>4534.02万</t>
  </si>
  <si>
    <t>-1.44亿</t>
  </si>
  <si>
    <t>6172.29万</t>
  </si>
  <si>
    <t>1255.84万</t>
  </si>
  <si>
    <t>5513.22万</t>
  </si>
  <si>
    <t>-9027.40万</t>
  </si>
  <si>
    <t>2901.84万</t>
  </si>
  <si>
    <t>2.78亿</t>
  </si>
  <si>
    <t>333.48万</t>
  </si>
  <si>
    <t>-1723.55万</t>
  </si>
  <si>
    <t>1982.34万</t>
  </si>
  <si>
    <t>73.01万</t>
  </si>
  <si>
    <t>9513.98万</t>
  </si>
  <si>
    <t>-432.95万</t>
  </si>
  <si>
    <t>446.25万</t>
  </si>
  <si>
    <t>1576.55万</t>
  </si>
  <si>
    <t>636.44万</t>
  </si>
  <si>
    <t>-1189.07万</t>
  </si>
  <si>
    <t>3185.35万</t>
  </si>
  <si>
    <t>92.72万</t>
  </si>
  <si>
    <t>42.43万</t>
  </si>
  <si>
    <t>594.69万</t>
  </si>
  <si>
    <t>9748.94万</t>
  </si>
  <si>
    <t>483.89万</t>
  </si>
  <si>
    <t>2.68亿</t>
  </si>
  <si>
    <t>511.61万</t>
  </si>
  <si>
    <t>1596.15万</t>
  </si>
  <si>
    <t>8953.70万</t>
  </si>
  <si>
    <t>127.32万</t>
  </si>
  <si>
    <t>2881.74万</t>
  </si>
  <si>
    <t>-1361.63万</t>
  </si>
  <si>
    <t>651.25万</t>
  </si>
  <si>
    <t>3926.56万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</si>
</sst>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9"/>
      <color theme="1"/>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xf numFmtId="0" fontId="5"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304800</xdr:colOff>
          <xdr:row>0</xdr:row>
          <xdr:rowOff>95250</xdr:rowOff>
        </xdr:from>
        <xdr:to>
          <xdr:col>147</xdr:col>
          <xdr:colOff>1492250</xdr:colOff>
          <xdr:row>0</xdr:row>
          <xdr:rowOff>393700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22"/>
  <sheetViews>
    <sheetView tabSelected="1" zoomScale="85" zoomScaleNormal="85" workbookViewId="0">
      <pane xSplit="3" ySplit="1" topLeftCell="BV2" activePane="bottomRight" state="frozen"/>
      <selection pane="topRight" activeCell="D1" sqref="D1"/>
      <selection pane="bottomLeft" activeCell="A2" sqref="A2"/>
      <selection pane="bottomRight" activeCell="D115" sqref="D115:EP115"/>
    </sheetView>
  </sheetViews>
  <sheetFormatPr defaultRowHeight="14" x14ac:dyDescent="0.25"/>
  <cols>
    <col min="1" max="1" width="33.6328125" customWidth="1"/>
    <col min="2" max="2" width="37.6328125" customWidth="1"/>
    <col min="3" max="3" width="42" customWidth="1"/>
    <col min="9" max="9" width="13.1796875" customWidth="1"/>
    <col min="16" max="16" width="12.453125" customWidth="1"/>
    <col min="19" max="19" width="9.36328125" customWidth="1"/>
    <col min="148" max="148" width="26.1796875" customWidth="1"/>
  </cols>
  <sheetData>
    <row r="1" spans="1:146" ht="39.5" customHeight="1" x14ac:dyDescent="0.25">
      <c r="A1" s="3" t="s">
        <v>156</v>
      </c>
      <c r="B1" s="4" t="s">
        <v>157</v>
      </c>
      <c r="C1" s="3" t="s">
        <v>158</v>
      </c>
      <c r="D1" t="s">
        <v>1061</v>
      </c>
      <c r="E1" t="s">
        <v>1219</v>
      </c>
      <c r="F1" t="s">
        <v>3</v>
      </c>
      <c r="G1" t="s">
        <v>1509</v>
      </c>
      <c r="H1" t="s">
        <v>1510</v>
      </c>
      <c r="I1" t="s">
        <v>65</v>
      </c>
      <c r="J1" t="s">
        <v>66</v>
      </c>
      <c r="K1" t="s">
        <v>4</v>
      </c>
      <c r="L1" t="s">
        <v>67</v>
      </c>
      <c r="M1" t="s">
        <v>159</v>
      </c>
      <c r="N1" t="s">
        <v>160</v>
      </c>
      <c r="O1" t="s">
        <v>161</v>
      </c>
      <c r="P1" t="s">
        <v>1511</v>
      </c>
      <c r="Q1" t="s">
        <v>1512</v>
      </c>
      <c r="R1" t="s">
        <v>1220</v>
      </c>
      <c r="S1" t="s">
        <v>162</v>
      </c>
      <c r="T1" t="s">
        <v>1513</v>
      </c>
      <c r="U1" t="s">
        <v>1062</v>
      </c>
      <c r="V1" t="s">
        <v>163</v>
      </c>
      <c r="W1" t="s">
        <v>1514</v>
      </c>
      <c r="X1" t="s">
        <v>1515</v>
      </c>
      <c r="Y1" t="s">
        <v>1516</v>
      </c>
      <c r="Z1" t="s">
        <v>1517</v>
      </c>
      <c r="AA1" t="s">
        <v>1518</v>
      </c>
      <c r="AB1" t="s">
        <v>1519</v>
      </c>
      <c r="AC1" t="s">
        <v>1520</v>
      </c>
      <c r="AD1" t="s">
        <v>1521</v>
      </c>
      <c r="AE1" t="s">
        <v>164</v>
      </c>
      <c r="AF1" t="s">
        <v>165</v>
      </c>
      <c r="AG1" t="s">
        <v>1522</v>
      </c>
      <c r="AH1" t="s">
        <v>1523</v>
      </c>
      <c r="AI1" t="s">
        <v>1524</v>
      </c>
      <c r="AJ1" t="s">
        <v>166</v>
      </c>
      <c r="AK1" t="s">
        <v>1525</v>
      </c>
      <c r="AL1" t="s">
        <v>667</v>
      </c>
      <c r="AM1" t="s">
        <v>1526</v>
      </c>
      <c r="AN1" t="s">
        <v>1527</v>
      </c>
      <c r="AO1" t="s">
        <v>1528</v>
      </c>
      <c r="AP1" t="s">
        <v>1529</v>
      </c>
      <c r="AQ1" t="s">
        <v>1530</v>
      </c>
      <c r="AR1" t="s">
        <v>1531</v>
      </c>
      <c r="AS1" t="s">
        <v>1532</v>
      </c>
      <c r="AT1" t="s">
        <v>1533</v>
      </c>
      <c r="AU1" t="s">
        <v>1534</v>
      </c>
      <c r="AV1" t="s">
        <v>1535</v>
      </c>
      <c r="AW1" t="s">
        <v>1536</v>
      </c>
      <c r="AX1" t="s">
        <v>1537</v>
      </c>
      <c r="AY1" t="s">
        <v>1538</v>
      </c>
      <c r="AZ1" t="s">
        <v>668</v>
      </c>
      <c r="BA1" t="s">
        <v>669</v>
      </c>
      <c r="BB1" t="s">
        <v>1065</v>
      </c>
      <c r="BC1" t="s">
        <v>1539</v>
      </c>
      <c r="BD1" t="s">
        <v>1066</v>
      </c>
      <c r="BE1" t="s">
        <v>670</v>
      </c>
      <c r="BF1" t="s">
        <v>671</v>
      </c>
      <c r="BG1" t="s">
        <v>672</v>
      </c>
      <c r="BH1" t="s">
        <v>1540</v>
      </c>
      <c r="BI1" t="s">
        <v>1541</v>
      </c>
      <c r="BJ1" t="s">
        <v>1542</v>
      </c>
      <c r="BK1" t="s">
        <v>1543</v>
      </c>
      <c r="BL1" t="s">
        <v>1544</v>
      </c>
      <c r="BM1" t="s">
        <v>1545</v>
      </c>
      <c r="BN1" t="s">
        <v>1546</v>
      </c>
      <c r="BO1" t="s">
        <v>1221</v>
      </c>
      <c r="BP1" t="s">
        <v>1063</v>
      </c>
      <c r="BQ1" t="s">
        <v>1547</v>
      </c>
      <c r="BR1" t="s">
        <v>1222</v>
      </c>
      <c r="BS1" t="s">
        <v>1064</v>
      </c>
      <c r="BT1" t="s">
        <v>1548</v>
      </c>
      <c r="BU1" t="s">
        <v>1242</v>
      </c>
      <c r="BV1" t="s">
        <v>1549</v>
      </c>
      <c r="BW1" t="s">
        <v>1550</v>
      </c>
      <c r="BX1" t="s">
        <v>1002</v>
      </c>
      <c r="BY1" t="s">
        <v>1551</v>
      </c>
      <c r="BZ1" t="s">
        <v>1552</v>
      </c>
      <c r="CA1" t="s">
        <v>1003</v>
      </c>
      <c r="CB1" t="s">
        <v>1553</v>
      </c>
      <c r="CC1" t="s">
        <v>1554</v>
      </c>
      <c r="CD1" t="s">
        <v>1555</v>
      </c>
      <c r="CE1" t="s">
        <v>1556</v>
      </c>
      <c r="CF1" s="1" t="s">
        <v>987</v>
      </c>
      <c r="CG1" s="1" t="s">
        <v>988</v>
      </c>
      <c r="CH1" s="1" t="s">
        <v>989</v>
      </c>
      <c r="CI1" s="1" t="s">
        <v>990</v>
      </c>
      <c r="CJ1" s="1" t="s">
        <v>991</v>
      </c>
      <c r="CK1" s="1" t="s">
        <v>992</v>
      </c>
      <c r="CL1" s="1" t="s">
        <v>993</v>
      </c>
      <c r="CM1" s="1" t="s">
        <v>994</v>
      </c>
      <c r="CN1" s="1" t="s">
        <v>995</v>
      </c>
      <c r="CO1" s="1" t="s">
        <v>996</v>
      </c>
      <c r="CP1" s="1" t="s">
        <v>997</v>
      </c>
      <c r="CQ1" s="1" t="s">
        <v>998</v>
      </c>
      <c r="CR1" s="1" t="s">
        <v>1570</v>
      </c>
      <c r="CS1" s="1" t="s">
        <v>1557</v>
      </c>
      <c r="CT1" s="1" t="s">
        <v>1571</v>
      </c>
      <c r="CU1" s="1" t="s">
        <v>1340</v>
      </c>
      <c r="CV1" s="1" t="s">
        <v>1558</v>
      </c>
      <c r="CW1" s="1" t="s">
        <v>1559</v>
      </c>
      <c r="CX1">
        <v>1</v>
      </c>
      <c r="CY1" t="s">
        <v>1572</v>
      </c>
      <c r="CZ1" t="s">
        <v>1560</v>
      </c>
      <c r="DA1">
        <v>3</v>
      </c>
      <c r="DB1" t="s">
        <v>1561</v>
      </c>
      <c r="DC1" t="s">
        <v>1573</v>
      </c>
      <c r="DD1">
        <v>6</v>
      </c>
      <c r="DE1" t="s">
        <v>1574</v>
      </c>
      <c r="DF1" t="s">
        <v>1575</v>
      </c>
      <c r="DG1">
        <v>10</v>
      </c>
      <c r="DH1" t="s">
        <v>1576</v>
      </c>
      <c r="DI1" t="s">
        <v>1562</v>
      </c>
      <c r="DJ1">
        <v>20</v>
      </c>
      <c r="DK1" t="s">
        <v>1563</v>
      </c>
      <c r="DL1" t="s">
        <v>999</v>
      </c>
      <c r="DM1" t="s">
        <v>1000</v>
      </c>
      <c r="DN1" s="2" t="s">
        <v>1001</v>
      </c>
      <c r="DO1" t="s">
        <v>1577</v>
      </c>
      <c r="DP1" t="s">
        <v>1578</v>
      </c>
      <c r="DQ1" s="12" t="s">
        <v>1564</v>
      </c>
      <c r="DR1" s="1" t="s">
        <v>1579</v>
      </c>
      <c r="DS1" s="1" t="s">
        <v>1580</v>
      </c>
      <c r="DT1" t="s">
        <v>1581</v>
      </c>
      <c r="DU1" t="s">
        <v>1582</v>
      </c>
      <c r="DV1" t="s">
        <v>1565</v>
      </c>
      <c r="DW1" t="s">
        <v>1583</v>
      </c>
      <c r="DX1" t="s">
        <v>1566</v>
      </c>
      <c r="DY1" t="s">
        <v>1584</v>
      </c>
      <c r="DZ1" t="s">
        <v>1567</v>
      </c>
      <c r="EA1" t="s">
        <v>1585</v>
      </c>
      <c r="EB1" t="s">
        <v>1586</v>
      </c>
      <c r="EC1" t="s">
        <v>1568</v>
      </c>
      <c r="ED1" t="s">
        <v>1587</v>
      </c>
      <c r="EE1" t="s">
        <v>1569</v>
      </c>
      <c r="EF1" t="s">
        <v>1588</v>
      </c>
      <c r="EG1" t="s">
        <v>1589</v>
      </c>
      <c r="EH1" t="s">
        <v>1590</v>
      </c>
      <c r="EI1" t="s">
        <v>1341</v>
      </c>
      <c r="EK1" s="13" t="s">
        <v>1591</v>
      </c>
      <c r="EL1" t="s">
        <v>1342</v>
      </c>
      <c r="EM1" t="s">
        <v>1592</v>
      </c>
      <c r="EN1" t="s">
        <v>1593</v>
      </c>
      <c r="EO1" t="s">
        <v>1594</v>
      </c>
      <c r="EP1" t="s">
        <v>1595</v>
      </c>
    </row>
    <row r="2" spans="1:146" ht="96" x14ac:dyDescent="0.25">
      <c r="A2" s="7"/>
      <c r="B2" s="7"/>
      <c r="C2" s="7" t="str">
        <f>""&amp;CHAR(10)&amp;Basic_Fundamental_Information_Constructure(F2)&amp;CHAR(10)&amp;Basic_Fundamental_Information_Concatenate("")</f>
        <v xml:space="preserve">
市值159.02568亿, 利润11.72亿; PE13.28; 平均PE22.39; 平均PEG2.61, PB1.81; ROIC4.63%; ROE9.9233%; 股利率1.8779%; 毛利3.7533%; 净利.7%; 上一年度营收增3.23%, 利润增16.73%; 当季营收增7.95%, 利润增12.4%; 过往5年营收增8.59%, 利润增57.16%
Income profile:
</v>
      </c>
      <c r="D2" t="s">
        <v>132</v>
      </c>
      <c r="E2" t="s">
        <v>53</v>
      </c>
      <c r="F2">
        <v>23.75</v>
      </c>
      <c r="G2">
        <v>4.76</v>
      </c>
      <c r="H2" t="s">
        <v>3483</v>
      </c>
      <c r="I2">
        <v>15902568000</v>
      </c>
      <c r="J2">
        <v>13.28</v>
      </c>
      <c r="K2">
        <v>1.81</v>
      </c>
      <c r="L2" t="s">
        <v>1166</v>
      </c>
      <c r="M2" t="s">
        <v>1726</v>
      </c>
      <c r="N2" t="s">
        <v>1727</v>
      </c>
      <c r="O2" t="s">
        <v>1728</v>
      </c>
      <c r="P2">
        <v>7.95</v>
      </c>
      <c r="Q2" t="s">
        <v>1743</v>
      </c>
      <c r="R2">
        <v>234925120</v>
      </c>
      <c r="S2" s="5">
        <v>0.1235</v>
      </c>
      <c r="T2" t="s">
        <v>1744</v>
      </c>
      <c r="U2">
        <v>550821960</v>
      </c>
      <c r="V2">
        <v>669581820</v>
      </c>
      <c r="W2">
        <v>4.7</v>
      </c>
      <c r="X2">
        <v>0.65</v>
      </c>
      <c r="Y2">
        <v>0.85</v>
      </c>
      <c r="Z2" t="s">
        <v>1729</v>
      </c>
      <c r="AA2" t="s">
        <v>1730</v>
      </c>
      <c r="AB2" t="s">
        <v>561</v>
      </c>
      <c r="AC2" t="s">
        <v>1731</v>
      </c>
      <c r="AD2" t="s">
        <v>60</v>
      </c>
      <c r="AE2">
        <v>221953670</v>
      </c>
      <c r="AF2" t="s">
        <v>1732</v>
      </c>
      <c r="AG2" t="s">
        <v>1733</v>
      </c>
      <c r="AH2" t="s">
        <v>1734</v>
      </c>
      <c r="AI2" t="s">
        <v>1680</v>
      </c>
      <c r="AJ2" t="s">
        <v>1735</v>
      </c>
      <c r="AK2" t="s">
        <v>480</v>
      </c>
      <c r="AL2" t="s">
        <v>1736</v>
      </c>
      <c r="AM2" t="s">
        <v>60</v>
      </c>
      <c r="AN2" t="s">
        <v>1737</v>
      </c>
      <c r="AO2" t="s">
        <v>1738</v>
      </c>
      <c r="AP2" t="s">
        <v>1739</v>
      </c>
      <c r="AQ2" t="s">
        <v>1740</v>
      </c>
      <c r="AR2" t="s">
        <v>60</v>
      </c>
      <c r="AS2" t="s">
        <v>1741</v>
      </c>
      <c r="AT2" t="s">
        <v>1742</v>
      </c>
      <c r="AU2" t="s">
        <v>1116</v>
      </c>
      <c r="AV2" t="s">
        <v>1255</v>
      </c>
      <c r="AW2" t="s">
        <v>846</v>
      </c>
      <c r="AX2" t="s">
        <v>1362</v>
      </c>
      <c r="AY2" t="s">
        <v>1067</v>
      </c>
      <c r="AZ2" t="s">
        <v>674</v>
      </c>
      <c r="BA2" t="s">
        <v>169</v>
      </c>
      <c r="BB2" t="s">
        <v>678</v>
      </c>
      <c r="BC2" t="s">
        <v>797</v>
      </c>
      <c r="BD2" t="s">
        <v>434</v>
      </c>
      <c r="BE2" t="s">
        <v>675</v>
      </c>
      <c r="BF2" t="s">
        <v>170</v>
      </c>
      <c r="BG2" t="s">
        <v>376</v>
      </c>
      <c r="BH2" t="s">
        <v>1743</v>
      </c>
      <c r="BI2" t="s">
        <v>3484</v>
      </c>
      <c r="BJ2" t="s">
        <v>1362</v>
      </c>
      <c r="BK2" t="s">
        <v>1744</v>
      </c>
      <c r="BL2" t="s">
        <v>251</v>
      </c>
      <c r="BM2" t="s">
        <v>797</v>
      </c>
      <c r="BN2">
        <v>5.18</v>
      </c>
      <c r="BO2">
        <v>6.35</v>
      </c>
      <c r="BP2">
        <v>2.36</v>
      </c>
      <c r="BQ2">
        <v>10.57</v>
      </c>
      <c r="BR2">
        <v>14.97</v>
      </c>
      <c r="BS2">
        <v>4.2300000000000004</v>
      </c>
      <c r="BT2" t="s">
        <v>1745</v>
      </c>
      <c r="BU2" t="s">
        <v>1166</v>
      </c>
      <c r="BV2">
        <v>3.99</v>
      </c>
      <c r="BW2">
        <v>3.92</v>
      </c>
      <c r="BX2">
        <v>3.35</v>
      </c>
      <c r="BY2">
        <v>1.01</v>
      </c>
      <c r="BZ2">
        <v>0.89</v>
      </c>
      <c r="CA2">
        <v>0.2</v>
      </c>
      <c r="CB2">
        <v>6.07</v>
      </c>
      <c r="CC2">
        <v>-19.739999999999998</v>
      </c>
      <c r="CD2" t="s">
        <v>499</v>
      </c>
      <c r="CE2" t="s">
        <v>2945</v>
      </c>
      <c r="CF2" s="8">
        <v>7.9470442895600693E-2</v>
      </c>
      <c r="CG2" s="9">
        <v>0.12404363636363637</v>
      </c>
      <c r="CH2" s="8">
        <v>3.2309267669916153E-2</v>
      </c>
      <c r="CI2" s="8">
        <v>-5.3151912987232208E-2</v>
      </c>
      <c r="CJ2" s="8">
        <v>0.32940471172332764</v>
      </c>
      <c r="CK2" s="8">
        <v>6.0562457889318466E-2</v>
      </c>
      <c r="CL2" s="8">
        <v>6.0409419238567352E-2</v>
      </c>
      <c r="CM2" s="9">
        <v>0.16733068227767944</v>
      </c>
      <c r="CN2" s="9">
        <v>3.0321285724639893</v>
      </c>
      <c r="CO2" s="9">
        <v>-0.60096156597137451</v>
      </c>
      <c r="CP2" s="9">
        <v>-0.10984308272600174</v>
      </c>
      <c r="CQ2" s="9">
        <v>0.369140625</v>
      </c>
      <c r="CR2">
        <v>22.387472548099481</v>
      </c>
      <c r="CS2">
        <v>2.6060190219091188</v>
      </c>
      <c r="CT2">
        <v>1.8778947368421053</v>
      </c>
      <c r="CU2" s="8">
        <v>8.590678870677948E-2</v>
      </c>
      <c r="CV2" s="9">
        <v>0.57155904620885845</v>
      </c>
      <c r="CW2">
        <v>0.06</v>
      </c>
      <c r="CX2">
        <v>34.928391901048116</v>
      </c>
      <c r="CY2">
        <v>1200644109.7776845</v>
      </c>
      <c r="CZ2">
        <v>8.590678870677948E-2</v>
      </c>
      <c r="DA2">
        <v>11.453922211783675</v>
      </c>
      <c r="DB2">
        <v>3661328165.5480509</v>
      </c>
      <c r="DC2">
        <v>8.1611449271440498E-2</v>
      </c>
      <c r="DD2">
        <v>5.6646684688602749</v>
      </c>
      <c r="DE2">
        <v>7403181356.6024265</v>
      </c>
      <c r="DF2">
        <v>7.5597974061965945E-2</v>
      </c>
      <c r="DG2">
        <v>3.4195058747707296</v>
      </c>
      <c r="DH2">
        <v>12263926291.049801</v>
      </c>
      <c r="DI2">
        <v>6.8725430965423592E-2</v>
      </c>
      <c r="DJ2">
        <v>1.7867158855951206</v>
      </c>
      <c r="DK2">
        <v>23471313115.924828</v>
      </c>
      <c r="DL2">
        <v>6.0134752094745635E-2</v>
      </c>
      <c r="DM2">
        <v>1172000000</v>
      </c>
      <c r="DN2">
        <v>8.590678870677948E-2</v>
      </c>
      <c r="DO2">
        <v>41936568000</v>
      </c>
      <c r="DP2">
        <v>6087756000</v>
      </c>
      <c r="DQ2">
        <v>26</v>
      </c>
      <c r="DR2">
        <v>-6.4363458111787869E-3</v>
      </c>
      <c r="DS2">
        <v>-0.44751540984522209</v>
      </c>
      <c r="DT2" s="10">
        <v>-0.3066666666666667</v>
      </c>
      <c r="DU2">
        <v>0.3666666666666667</v>
      </c>
      <c r="DV2">
        <v>0.06</v>
      </c>
      <c r="DW2">
        <v>7.2351801627276249</v>
      </c>
      <c r="DX2">
        <v>0.57763005780347121</v>
      </c>
      <c r="DY2">
        <v>7.0394232642722612</v>
      </c>
      <c r="DZ2">
        <v>1648</v>
      </c>
      <c r="EA2">
        <v>7.0267015999838947</v>
      </c>
      <c r="EB2">
        <v>7</v>
      </c>
      <c r="EC2">
        <v>0.17324245750877762</v>
      </c>
      <c r="ED2">
        <v>1.0334808672075355</v>
      </c>
      <c r="EE2" s="11">
        <v>-1.0161100000000001</v>
      </c>
      <c r="EF2">
        <v>-1.0315000000000001</v>
      </c>
      <c r="EG2">
        <v>41.167630057803471</v>
      </c>
      <c r="EH2" t="s">
        <v>1225</v>
      </c>
      <c r="EI2">
        <v>1</v>
      </c>
      <c r="EJ2">
        <v>0</v>
      </c>
      <c r="EK2" s="13">
        <v>45489</v>
      </c>
      <c r="EL2" s="14">
        <v>-2.8</v>
      </c>
      <c r="EM2" s="14">
        <v>5.08</v>
      </c>
      <c r="EN2" s="14">
        <v>-2.29</v>
      </c>
      <c r="EO2" s="14">
        <v>-1.56</v>
      </c>
      <c r="EP2" s="14">
        <v>4.76</v>
      </c>
    </row>
    <row r="3" spans="1:146" ht="96" x14ac:dyDescent="0.25">
      <c r="A3" s="7"/>
      <c r="B3" s="7"/>
      <c r="C3" s="7" t="str">
        <f>""&amp;CHAR(10)&amp;Basic_Fundamental_Information_Constructure(F3)&amp;CHAR(10)&amp;Basic_Fundamental_Information_Concatenate("")</f>
        <v xml:space="preserve">
市值90.641568亿, 利润-9621.52万; PE; 平均PE253.21; 平均PEG233.06, PB1.58; ROIC3.1%; ROE-1.1633%; 股利率0%; 毛利10.4933%; 净利-.8767%; 上一年度营收增-6.79%, 利润增53.74%; 当季营收增-32.1%, 利润增-175.24%; 过往5年营收增-1.09%, 利润增-44.21%
Income profile:
</v>
      </c>
      <c r="D3" t="s">
        <v>99</v>
      </c>
      <c r="E3" t="s">
        <v>8</v>
      </c>
      <c r="F3">
        <v>5.67</v>
      </c>
      <c r="G3">
        <v>1.8</v>
      </c>
      <c r="H3" t="s">
        <v>3485</v>
      </c>
      <c r="I3">
        <v>9064156800</v>
      </c>
      <c r="K3">
        <v>1.58</v>
      </c>
      <c r="L3" t="s">
        <v>1166</v>
      </c>
      <c r="M3" t="s">
        <v>1746</v>
      </c>
      <c r="N3" t="s">
        <v>1747</v>
      </c>
      <c r="O3" t="s">
        <v>856</v>
      </c>
      <c r="P3">
        <v>-32.08</v>
      </c>
      <c r="Q3" t="s">
        <v>1762</v>
      </c>
      <c r="R3">
        <v>-225000000</v>
      </c>
      <c r="S3" s="5">
        <v>-0.60389999999999999</v>
      </c>
      <c r="T3" t="s">
        <v>1763</v>
      </c>
      <c r="U3">
        <v>1584283400</v>
      </c>
      <c r="V3">
        <v>1598616700</v>
      </c>
      <c r="W3">
        <v>2.77</v>
      </c>
      <c r="X3">
        <v>0.05</v>
      </c>
      <c r="Y3">
        <v>-15.75</v>
      </c>
      <c r="Z3" t="s">
        <v>1669</v>
      </c>
      <c r="AA3" t="s">
        <v>942</v>
      </c>
      <c r="AB3" t="s">
        <v>1748</v>
      </c>
      <c r="AC3" t="s">
        <v>1749</v>
      </c>
      <c r="AD3" t="s">
        <v>60</v>
      </c>
      <c r="AE3">
        <v>49162876</v>
      </c>
      <c r="AF3" t="s">
        <v>1750</v>
      </c>
      <c r="AG3" t="s">
        <v>1751</v>
      </c>
      <c r="AH3" t="s">
        <v>1752</v>
      </c>
      <c r="AI3" t="s">
        <v>571</v>
      </c>
      <c r="AJ3" t="s">
        <v>1753</v>
      </c>
      <c r="AK3" t="s">
        <v>1754</v>
      </c>
      <c r="AL3" t="s">
        <v>1755</v>
      </c>
      <c r="AM3" t="s">
        <v>60</v>
      </c>
      <c r="AN3" t="s">
        <v>440</v>
      </c>
      <c r="AO3" t="s">
        <v>1756</v>
      </c>
      <c r="AP3" t="s">
        <v>498</v>
      </c>
      <c r="AQ3" t="s">
        <v>1757</v>
      </c>
      <c r="AR3" t="s">
        <v>60</v>
      </c>
      <c r="AS3" t="s">
        <v>1758</v>
      </c>
      <c r="AT3" t="s">
        <v>856</v>
      </c>
      <c r="AU3" t="s">
        <v>1759</v>
      </c>
      <c r="AV3" t="s">
        <v>1760</v>
      </c>
      <c r="AW3" t="s">
        <v>1761</v>
      </c>
      <c r="AX3" t="s">
        <v>1364</v>
      </c>
      <c r="AY3" t="s">
        <v>1068</v>
      </c>
      <c r="AZ3" t="s">
        <v>679</v>
      </c>
      <c r="BA3" t="s">
        <v>176</v>
      </c>
      <c r="BB3" t="s">
        <v>683</v>
      </c>
      <c r="BC3" t="s">
        <v>1365</v>
      </c>
      <c r="BD3" t="s">
        <v>356</v>
      </c>
      <c r="BE3" t="s">
        <v>177</v>
      </c>
      <c r="BF3" t="s">
        <v>177</v>
      </c>
      <c r="BG3" t="s">
        <v>260</v>
      </c>
      <c r="BH3" t="s">
        <v>1762</v>
      </c>
      <c r="BI3" t="s">
        <v>3486</v>
      </c>
      <c r="BJ3" t="s">
        <v>1364</v>
      </c>
      <c r="BK3" t="s">
        <v>1763</v>
      </c>
      <c r="BL3" t="s">
        <v>3487</v>
      </c>
      <c r="BM3" t="s">
        <v>1365</v>
      </c>
      <c r="BN3" t="s">
        <v>60</v>
      </c>
      <c r="BO3" t="s">
        <v>60</v>
      </c>
      <c r="BP3">
        <v>3.1</v>
      </c>
      <c r="BQ3">
        <v>-2.21</v>
      </c>
      <c r="BR3">
        <v>-3.43</v>
      </c>
      <c r="BS3">
        <v>2.15</v>
      </c>
      <c r="BT3" t="s">
        <v>1343</v>
      </c>
      <c r="BU3" t="s">
        <v>1166</v>
      </c>
      <c r="BV3">
        <v>11.42</v>
      </c>
      <c r="BW3">
        <v>9.4700000000000006</v>
      </c>
      <c r="BX3">
        <v>10.59</v>
      </c>
      <c r="BY3">
        <v>-1.41</v>
      </c>
      <c r="BZ3">
        <v>-2.41</v>
      </c>
      <c r="CA3">
        <v>1.19</v>
      </c>
      <c r="CB3">
        <v>-5.18</v>
      </c>
      <c r="CC3">
        <v>-19.690000000000001</v>
      </c>
      <c r="CD3" t="s">
        <v>314</v>
      </c>
      <c r="CE3" t="s">
        <v>3488</v>
      </c>
      <c r="CF3" s="8">
        <v>-0.32098765432098758</v>
      </c>
      <c r="CG3" s="9">
        <v>-1.7523508134114103</v>
      </c>
      <c r="CH3" s="8">
        <v>-6.7887820303440094E-2</v>
      </c>
      <c r="CI3" s="8">
        <v>-0.11201988160610199</v>
      </c>
      <c r="CJ3" s="8">
        <v>0.10097122192382812</v>
      </c>
      <c r="CK3" s="8">
        <v>4.6258091926574707E-2</v>
      </c>
      <c r="CL3" s="8">
        <v>-2.1644618362188339E-2</v>
      </c>
      <c r="CM3" s="9">
        <v>0.53742694854736328</v>
      </c>
      <c r="CN3" s="9">
        <v>-2.5877861976623535</v>
      </c>
      <c r="CO3" s="9">
        <v>0.29702970385551453</v>
      </c>
      <c r="CP3" s="9">
        <v>0</v>
      </c>
      <c r="CQ3" s="9">
        <v>-0.45698925852775574</v>
      </c>
      <c r="CR3">
        <v>253.20665521955002</v>
      </c>
      <c r="CS3">
        <v>233.05655550034075</v>
      </c>
      <c r="CT3">
        <v>0</v>
      </c>
      <c r="CU3" s="8">
        <v>-1.0864601284265519E-2</v>
      </c>
      <c r="CV3" s="9">
        <v>-0.4420637607574463</v>
      </c>
      <c r="CW3">
        <v>0.06</v>
      </c>
      <c r="CX3" t="e">
        <v>#VALUE!</v>
      </c>
      <c r="CY3" t="s">
        <v>1223</v>
      </c>
      <c r="CZ3">
        <v>-1.0864601284265519E-2</v>
      </c>
      <c r="DA3" t="e">
        <v>#VALUE!</v>
      </c>
      <c r="DB3" t="s">
        <v>1224</v>
      </c>
      <c r="DC3">
        <v>-1.0321371220052243E-2</v>
      </c>
      <c r="DD3" t="e">
        <v>#VALUE!</v>
      </c>
      <c r="DE3" t="s">
        <v>1224</v>
      </c>
      <c r="DF3">
        <v>-9.5608491301536567E-3</v>
      </c>
      <c r="DG3" t="e">
        <v>#VALUE!</v>
      </c>
      <c r="DH3" t="s">
        <v>1224</v>
      </c>
      <c r="DI3">
        <v>-8.6916810274124158E-3</v>
      </c>
      <c r="DJ3" t="e">
        <v>#VALUE!</v>
      </c>
      <c r="DK3" t="s">
        <v>1224</v>
      </c>
      <c r="DL3">
        <v>-7.6052208989858625E-3</v>
      </c>
      <c r="DM3">
        <v>-96215200</v>
      </c>
      <c r="DN3">
        <v>-1.0864601284265519E-2</v>
      </c>
      <c r="DO3">
        <v>14825156800</v>
      </c>
      <c r="DP3">
        <v>1294113500</v>
      </c>
      <c r="DQ3">
        <v>62</v>
      </c>
      <c r="DR3">
        <v>-0.31012305303672205</v>
      </c>
      <c r="DS3">
        <v>-1.3102870526539641</v>
      </c>
      <c r="DT3" s="10">
        <v>-0.44</v>
      </c>
      <c r="DU3">
        <v>-1.8316666666666668</v>
      </c>
      <c r="DV3">
        <v>-2.2716666666666669</v>
      </c>
      <c r="DW3">
        <v>-8.2630777044184871</v>
      </c>
      <c r="DX3">
        <v>0.33657142857142858</v>
      </c>
      <c r="DY3">
        <v>-8.0411904520060951</v>
      </c>
      <c r="DZ3">
        <v>4540</v>
      </c>
      <c r="EA3">
        <v>-8.0045731322278151</v>
      </c>
      <c r="EB3">
        <v>8</v>
      </c>
      <c r="EC3">
        <v>8.569909222141868E-2</v>
      </c>
      <c r="ED3">
        <v>0.54734821674263756</v>
      </c>
      <c r="EE3" s="11">
        <v>6.3809999999999992E-2</v>
      </c>
      <c r="EF3">
        <v>4.5809999999999997E-2</v>
      </c>
      <c r="EG3">
        <v>18.156571428571429</v>
      </c>
      <c r="EH3">
        <v>-1</v>
      </c>
      <c r="EI3">
        <v>0</v>
      </c>
      <c r="EJ3">
        <v>0</v>
      </c>
      <c r="EK3" s="13">
        <v>45489</v>
      </c>
      <c r="EL3" s="14">
        <v>-3.3</v>
      </c>
      <c r="EM3" s="14">
        <v>3.35</v>
      </c>
      <c r="EN3" s="14">
        <v>-2.73</v>
      </c>
      <c r="EO3" s="14">
        <v>-2.2799999999999998</v>
      </c>
      <c r="EP3" s="14">
        <v>1.8</v>
      </c>
    </row>
    <row r="4" spans="1:146" ht="108" x14ac:dyDescent="0.25">
      <c r="A4" s="7"/>
      <c r="B4" s="7"/>
      <c r="C4" s="7" t="str">
        <f>""&amp;CHAR(10)&amp;Basic_Fundamental_Information_Constructure(F4)&amp;CHAR(10)&amp;Basic_Fundamental_Information_Concatenate("")</f>
        <v xml:space="preserve">
市值52.958245亿, 利润6178.46万; PE61.98; 平均PE-133.12; 平均PEG-60.8, PB3.64; ROIC5.0167%; ROE3.3233%; 股利率0%; 毛利37.9933%; 净利7.47%; 上一年度营收增4.58%, 利润增146.17%; 当季营收增52.16%, 利润增100.86%; 过往5年营收增2.19%, 利润增-263.39%
Income profile:
</v>
      </c>
      <c r="D4" t="s">
        <v>685</v>
      </c>
      <c r="E4" t="s">
        <v>975</v>
      </c>
      <c r="F4">
        <v>7.83</v>
      </c>
      <c r="G4">
        <v>0.26</v>
      </c>
      <c r="H4" t="s">
        <v>3489</v>
      </c>
      <c r="I4">
        <v>5295824500</v>
      </c>
      <c r="J4">
        <v>61.98</v>
      </c>
      <c r="K4">
        <v>3.64</v>
      </c>
      <c r="L4" t="s">
        <v>1166</v>
      </c>
      <c r="M4" t="s">
        <v>1764</v>
      </c>
      <c r="N4" t="s">
        <v>1647</v>
      </c>
      <c r="O4" t="s">
        <v>817</v>
      </c>
      <c r="P4">
        <v>52.2</v>
      </c>
      <c r="Q4" t="s">
        <v>1230</v>
      </c>
      <c r="R4">
        <v>47131523</v>
      </c>
      <c r="S4" s="5">
        <v>1.0089999999999999</v>
      </c>
      <c r="T4" t="s">
        <v>1776</v>
      </c>
      <c r="U4">
        <v>423377000</v>
      </c>
      <c r="V4">
        <v>676350510</v>
      </c>
      <c r="W4">
        <v>1.46</v>
      </c>
      <c r="X4">
        <v>0.15</v>
      </c>
      <c r="Y4">
        <v>12.52</v>
      </c>
      <c r="Z4" t="s">
        <v>394</v>
      </c>
      <c r="AA4" t="s">
        <v>265</v>
      </c>
      <c r="AB4" t="s">
        <v>1765</v>
      </c>
      <c r="AC4" t="s">
        <v>1766</v>
      </c>
      <c r="AD4" t="s">
        <v>60</v>
      </c>
      <c r="AE4">
        <v>-2429073</v>
      </c>
      <c r="AF4" t="s">
        <v>168</v>
      </c>
      <c r="AG4" t="s">
        <v>1621</v>
      </c>
      <c r="AH4" t="s">
        <v>1767</v>
      </c>
      <c r="AI4" t="s">
        <v>550</v>
      </c>
      <c r="AJ4" t="s">
        <v>1768</v>
      </c>
      <c r="AK4" t="s">
        <v>1769</v>
      </c>
      <c r="AL4" t="s">
        <v>1770</v>
      </c>
      <c r="AM4" t="s">
        <v>60</v>
      </c>
      <c r="AN4">
        <v>0</v>
      </c>
      <c r="AO4" t="s">
        <v>60</v>
      </c>
      <c r="AP4" t="s">
        <v>1771</v>
      </c>
      <c r="AQ4" t="s">
        <v>233</v>
      </c>
      <c r="AR4" t="s">
        <v>1772</v>
      </c>
      <c r="AS4" t="s">
        <v>1660</v>
      </c>
      <c r="AT4" t="s">
        <v>60</v>
      </c>
      <c r="AU4" t="s">
        <v>1773</v>
      </c>
      <c r="AV4" t="s">
        <v>1031</v>
      </c>
      <c r="AW4" t="s">
        <v>1774</v>
      </c>
      <c r="AX4" t="s">
        <v>864</v>
      </c>
      <c r="AY4" t="s">
        <v>363</v>
      </c>
      <c r="AZ4" t="s">
        <v>686</v>
      </c>
      <c r="BA4" t="s">
        <v>307</v>
      </c>
      <c r="BB4" t="s">
        <v>689</v>
      </c>
      <c r="BC4" t="s">
        <v>1775</v>
      </c>
      <c r="BD4" t="s">
        <v>1069</v>
      </c>
      <c r="BE4" t="s">
        <v>687</v>
      </c>
      <c r="BF4" t="s">
        <v>690</v>
      </c>
      <c r="BG4" t="s">
        <v>691</v>
      </c>
      <c r="BH4" t="s">
        <v>1230</v>
      </c>
      <c r="BI4" t="s">
        <v>231</v>
      </c>
      <c r="BJ4" t="s">
        <v>864</v>
      </c>
      <c r="BK4" t="s">
        <v>1776</v>
      </c>
      <c r="BL4" t="s">
        <v>3490</v>
      </c>
      <c r="BM4" t="s">
        <v>1775</v>
      </c>
      <c r="BN4">
        <v>3.69</v>
      </c>
      <c r="BO4">
        <v>5.3</v>
      </c>
      <c r="BP4">
        <v>6.06</v>
      </c>
      <c r="BQ4">
        <v>2.66</v>
      </c>
      <c r="BR4">
        <v>3.8</v>
      </c>
      <c r="BS4">
        <v>3.51</v>
      </c>
      <c r="BT4" t="s">
        <v>1343</v>
      </c>
      <c r="BU4" t="s">
        <v>1166</v>
      </c>
      <c r="BV4">
        <v>38.19</v>
      </c>
      <c r="BW4">
        <v>31.8</v>
      </c>
      <c r="BX4">
        <v>43.99</v>
      </c>
      <c r="BY4">
        <v>9.94</v>
      </c>
      <c r="BZ4">
        <v>5.6</v>
      </c>
      <c r="CA4">
        <v>6.87</v>
      </c>
      <c r="CB4">
        <v>0.51</v>
      </c>
      <c r="CC4">
        <v>-5.32</v>
      </c>
      <c r="CD4" t="s">
        <v>3491</v>
      </c>
      <c r="CE4" t="s">
        <v>1650</v>
      </c>
      <c r="CF4" s="8">
        <v>0.52156862745098054</v>
      </c>
      <c r="CG4" s="9">
        <v>1.0085625583308115</v>
      </c>
      <c r="CH4" s="8">
        <v>4.5829392969608307E-2</v>
      </c>
      <c r="CI4" s="8">
        <v>1.1476379632949829</v>
      </c>
      <c r="CJ4" s="8">
        <v>-0.76514101028442383</v>
      </c>
      <c r="CK4" s="8">
        <v>-0.13027743995189667</v>
      </c>
      <c r="CL4" s="8">
        <v>-0.1885807067155838</v>
      </c>
      <c r="CM4" s="9">
        <v>1.4616653919219971</v>
      </c>
      <c r="CN4" s="9">
        <v>0.42626509070396423</v>
      </c>
      <c r="CO4" s="9">
        <v>-0.76171165704727173</v>
      </c>
      <c r="CP4" s="9">
        <v>1.1648428440093994</v>
      </c>
      <c r="CQ4" s="9">
        <v>-15.460335731506348</v>
      </c>
      <c r="CR4">
        <v>-133.12318618047047</v>
      </c>
      <c r="CS4">
        <v>-60.804501680079262</v>
      </c>
      <c r="CT4">
        <v>0</v>
      </c>
      <c r="CU4" s="8">
        <v>2.1893639862537385E-2</v>
      </c>
      <c r="CV4" s="9">
        <v>-2.6338548123836518</v>
      </c>
      <c r="CW4">
        <v>0.06</v>
      </c>
      <c r="CX4">
        <v>75.529912457550736</v>
      </c>
      <c r="CY4">
        <v>59563480.925897092</v>
      </c>
      <c r="CZ4">
        <v>2.1893639862537385E-2</v>
      </c>
      <c r="DA4">
        <v>26.159130584872667</v>
      </c>
      <c r="DB4">
        <v>171979129.25292653</v>
      </c>
      <c r="DC4">
        <v>2.0798957869410516E-2</v>
      </c>
      <c r="DD4">
        <v>13.888618548039062</v>
      </c>
      <c r="DE4">
        <v>323921668.98666751</v>
      </c>
      <c r="DF4">
        <v>1.92664030790329E-2</v>
      </c>
      <c r="DG4">
        <v>9.0559366189245143</v>
      </c>
      <c r="DH4">
        <v>496781800.63657308</v>
      </c>
      <c r="DI4">
        <v>1.7514911890029908E-2</v>
      </c>
      <c r="DJ4">
        <v>5.5493165098486443</v>
      </c>
      <c r="DK4">
        <v>810698847.68974984</v>
      </c>
      <c r="DL4">
        <v>1.5325547903776169E-2</v>
      </c>
      <c r="DM4">
        <v>61784600</v>
      </c>
      <c r="DN4">
        <v>2.1893639862537385E-2</v>
      </c>
      <c r="DO4">
        <v>4498824500</v>
      </c>
      <c r="DP4">
        <v>1137576600</v>
      </c>
      <c r="DQ4">
        <v>75</v>
      </c>
      <c r="DR4">
        <v>0.49967498758844314</v>
      </c>
      <c r="DS4">
        <v>3.6424173707144636</v>
      </c>
      <c r="DT4" s="10">
        <v>-0.50666666666666671</v>
      </c>
      <c r="DU4">
        <v>0.43333333333333329</v>
      </c>
      <c r="DV4">
        <v>-7.3333333333333417E-2</v>
      </c>
      <c r="DW4">
        <v>-1.0531999999999999</v>
      </c>
      <c r="DX4">
        <v>0.37159581151832444</v>
      </c>
      <c r="DY4">
        <v>-1.0048728971727749</v>
      </c>
      <c r="DZ4">
        <v>1975</v>
      </c>
      <c r="EA4">
        <v>-1.0029884303789174</v>
      </c>
      <c r="EB4">
        <v>1</v>
      </c>
      <c r="EC4">
        <v>5.1732939478377864E-2</v>
      </c>
      <c r="ED4">
        <v>0.56479590737648733</v>
      </c>
      <c r="EE4" s="11">
        <v>-1.0276099999999999</v>
      </c>
      <c r="EF4">
        <v>-1.02501</v>
      </c>
      <c r="EG4">
        <v>28.091595811518324</v>
      </c>
      <c r="EH4" t="s">
        <v>1227</v>
      </c>
      <c r="EI4">
        <v>0</v>
      </c>
      <c r="EJ4">
        <v>0</v>
      </c>
      <c r="EK4" s="13">
        <v>45489</v>
      </c>
      <c r="EL4" s="14">
        <v>-2.67</v>
      </c>
      <c r="EM4" s="14">
        <v>2.85</v>
      </c>
      <c r="EN4" s="14">
        <v>-0.88</v>
      </c>
      <c r="EO4" s="14">
        <v>-0.64</v>
      </c>
      <c r="EP4" s="14">
        <v>0.26</v>
      </c>
    </row>
    <row r="5" spans="1:146" ht="108" x14ac:dyDescent="0.25">
      <c r="A5" s="7"/>
      <c r="B5" s="7"/>
      <c r="C5" s="7" t="str">
        <f>""&amp;CHAR(10)&amp;Basic_Fundamental_Information_Constructure(F5)&amp;CHAR(10)&amp;Basic_Fundamental_Information_Concatenate("")</f>
        <v xml:space="preserve">
市值83.721447亿, 利润2.07亿; PE60.12; 平均PE29.83; 平均PEG5.05, PB1.36; ROIC3.81%; ROE3.8167%; 股利率.3736%; 毛利15.9067%; 净利2.2767%; 上一年度营收增.48%, 利润增0%; 当季营收增-9.89%, 利润增-789.5%; 过往5年营收增5.9%, 利润增150.77%
Income profile:
</v>
      </c>
      <c r="D5" t="s">
        <v>138</v>
      </c>
      <c r="E5" t="s">
        <v>50</v>
      </c>
      <c r="F5">
        <v>8.58</v>
      </c>
      <c r="G5">
        <v>0.12</v>
      </c>
      <c r="H5" t="s">
        <v>3492</v>
      </c>
      <c r="I5">
        <v>8372144700</v>
      </c>
      <c r="J5">
        <v>60.12</v>
      </c>
      <c r="K5">
        <v>1.36</v>
      </c>
      <c r="L5" t="s">
        <v>1166</v>
      </c>
      <c r="M5" t="s">
        <v>1391</v>
      </c>
      <c r="N5" t="s">
        <v>1777</v>
      </c>
      <c r="O5" t="s">
        <v>1778</v>
      </c>
      <c r="P5">
        <v>-9.8800000000000008</v>
      </c>
      <c r="Q5" t="s">
        <v>1793</v>
      </c>
      <c r="R5">
        <v>-78750000</v>
      </c>
      <c r="S5" s="5">
        <v>-5.9429999999999996</v>
      </c>
      <c r="T5" t="s">
        <v>272</v>
      </c>
      <c r="U5">
        <v>972312290</v>
      </c>
      <c r="V5">
        <v>975774440</v>
      </c>
      <c r="W5">
        <v>1.87</v>
      </c>
      <c r="X5">
        <v>0.14000000000000001</v>
      </c>
      <c r="Y5">
        <v>-3.98</v>
      </c>
      <c r="Z5" t="s">
        <v>1779</v>
      </c>
      <c r="AA5" t="s">
        <v>1625</v>
      </c>
      <c r="AB5" t="s">
        <v>1780</v>
      </c>
      <c r="AC5" t="s">
        <v>1781</v>
      </c>
      <c r="AD5" t="s">
        <v>60</v>
      </c>
      <c r="AE5">
        <v>3013335</v>
      </c>
      <c r="AF5" t="s">
        <v>1782</v>
      </c>
      <c r="AG5" t="s">
        <v>1783</v>
      </c>
      <c r="AH5" t="s">
        <v>1784</v>
      </c>
      <c r="AI5" t="s">
        <v>170</v>
      </c>
      <c r="AJ5" t="s">
        <v>1785</v>
      </c>
      <c r="AK5" t="s">
        <v>1786</v>
      </c>
      <c r="AL5" t="s">
        <v>1787</v>
      </c>
      <c r="AM5" t="s">
        <v>60</v>
      </c>
      <c r="AN5">
        <v>0</v>
      </c>
      <c r="AO5" t="s">
        <v>236</v>
      </c>
      <c r="AP5" t="s">
        <v>1788</v>
      </c>
      <c r="AQ5" t="s">
        <v>704</v>
      </c>
      <c r="AR5" t="s">
        <v>60</v>
      </c>
      <c r="AS5" t="s">
        <v>1789</v>
      </c>
      <c r="AT5" t="s">
        <v>1790</v>
      </c>
      <c r="AU5" t="s">
        <v>1791</v>
      </c>
      <c r="AV5" t="s">
        <v>356</v>
      </c>
      <c r="AW5" t="s">
        <v>1792</v>
      </c>
      <c r="AX5" t="s">
        <v>1367</v>
      </c>
      <c r="AY5" t="s">
        <v>1072</v>
      </c>
      <c r="AZ5" t="s">
        <v>694</v>
      </c>
      <c r="BA5" t="s">
        <v>183</v>
      </c>
      <c r="BB5" t="s">
        <v>695</v>
      </c>
      <c r="BC5" t="s">
        <v>272</v>
      </c>
      <c r="BD5" t="s">
        <v>184</v>
      </c>
      <c r="BE5" t="s">
        <v>342</v>
      </c>
      <c r="BF5" t="s">
        <v>184</v>
      </c>
      <c r="BG5" t="s">
        <v>696</v>
      </c>
      <c r="BH5" t="s">
        <v>1793</v>
      </c>
      <c r="BI5" t="s">
        <v>3493</v>
      </c>
      <c r="BJ5" t="s">
        <v>1367</v>
      </c>
      <c r="BK5" t="s">
        <v>272</v>
      </c>
      <c r="BL5" t="s">
        <v>3494</v>
      </c>
      <c r="BM5" t="s">
        <v>272</v>
      </c>
      <c r="BN5">
        <v>1.27</v>
      </c>
      <c r="BO5">
        <v>3.54</v>
      </c>
      <c r="BP5">
        <v>6.62</v>
      </c>
      <c r="BQ5">
        <v>1.42</v>
      </c>
      <c r="BR5">
        <v>3.45</v>
      </c>
      <c r="BS5">
        <v>6.58</v>
      </c>
      <c r="BT5" t="s">
        <v>1794</v>
      </c>
      <c r="BU5" t="s">
        <v>1166</v>
      </c>
      <c r="BV5">
        <v>15.35</v>
      </c>
      <c r="BW5">
        <v>15.28</v>
      </c>
      <c r="BX5">
        <v>17.09</v>
      </c>
      <c r="BY5">
        <v>1.69</v>
      </c>
      <c r="BZ5">
        <v>1.72</v>
      </c>
      <c r="CA5">
        <v>3.42</v>
      </c>
      <c r="CB5">
        <v>-4.7699999999999996</v>
      </c>
      <c r="CC5">
        <v>-26.97</v>
      </c>
      <c r="CD5" t="s">
        <v>3495</v>
      </c>
      <c r="CE5" t="s">
        <v>879</v>
      </c>
      <c r="CF5" s="8">
        <v>-9.8878695208970441E-2</v>
      </c>
      <c r="CG5" s="9">
        <v>-7.8949515821177778</v>
      </c>
      <c r="CH5" s="8">
        <v>4.7504762187600136E-3</v>
      </c>
      <c r="CI5" s="8">
        <v>5.6621987372636795E-2</v>
      </c>
      <c r="CJ5" s="8">
        <v>6.2698870897293091E-2</v>
      </c>
      <c r="CK5" s="8">
        <v>5.3222969174385071E-2</v>
      </c>
      <c r="CL5" s="8">
        <v>0.11777015030384064</v>
      </c>
      <c r="CM5" s="9">
        <v>0</v>
      </c>
      <c r="CN5" s="9">
        <v>-0.44946807622909546</v>
      </c>
      <c r="CO5" s="9">
        <v>-0.21008403599262238</v>
      </c>
      <c r="CP5" s="9">
        <v>0.26595744490623474</v>
      </c>
      <c r="CQ5" s="9">
        <v>7.9319229125976562</v>
      </c>
      <c r="CR5">
        <v>29.827790241436325</v>
      </c>
      <c r="CS5">
        <v>5.0544533305222856</v>
      </c>
      <c r="CT5">
        <v>0.37356526806526807</v>
      </c>
      <c r="CU5" s="8">
        <v>5.9012890793383121E-2</v>
      </c>
      <c r="CV5" s="9">
        <v>1.5076656490564346</v>
      </c>
      <c r="CW5">
        <v>0.06</v>
      </c>
      <c r="CX5">
        <v>41.619166407359465</v>
      </c>
      <c r="CY5">
        <v>206807234.33417949</v>
      </c>
      <c r="CZ5">
        <v>5.9012890793383121E-2</v>
      </c>
      <c r="DA5">
        <v>13.96362558190731</v>
      </c>
      <c r="DB5">
        <v>616397557.31865871</v>
      </c>
      <c r="DC5">
        <v>5.6062246253713963E-2</v>
      </c>
      <c r="DD5">
        <v>7.1172983906179068</v>
      </c>
      <c r="DE5">
        <v>1209327504.2881472</v>
      </c>
      <c r="DF5">
        <v>5.1931343898177149E-2</v>
      </c>
      <c r="DG5">
        <v>4.442429619614642</v>
      </c>
      <c r="DH5">
        <v>1937485888.8021338</v>
      </c>
      <c r="DI5">
        <v>4.72103126347065E-2</v>
      </c>
      <c r="DJ5">
        <v>2.4928806423085206</v>
      </c>
      <c r="DK5">
        <v>3452690254.7686334</v>
      </c>
      <c r="DL5">
        <v>4.1309023555368182E-2</v>
      </c>
      <c r="DM5">
        <v>206999999.99999997</v>
      </c>
      <c r="DN5">
        <v>5.9012890793383121E-2</v>
      </c>
      <c r="DO5">
        <v>8607144700</v>
      </c>
      <c r="DP5">
        <v>3705343300</v>
      </c>
      <c r="DQ5">
        <v>136</v>
      </c>
      <c r="DR5">
        <v>-0.15789158600235356</v>
      </c>
      <c r="DS5">
        <v>-9.4026172311742116</v>
      </c>
      <c r="DT5" s="10">
        <v>-0.44</v>
      </c>
      <c r="DU5">
        <v>-0.58166666666666678</v>
      </c>
      <c r="DV5">
        <v>-1.0216666666666667</v>
      </c>
      <c r="DW5">
        <v>-8.1768631813125694</v>
      </c>
      <c r="DX5">
        <v>0.32058849661399613</v>
      </c>
      <c r="DY5">
        <v>-8.0337080878327303</v>
      </c>
      <c r="DZ5">
        <v>3622</v>
      </c>
      <c r="EA5">
        <v>-8.0098015489390253</v>
      </c>
      <c r="EB5">
        <v>8</v>
      </c>
      <c r="EC5">
        <v>8.6526861679221689E-2</v>
      </c>
      <c r="ED5">
        <v>0.45399836462205345</v>
      </c>
      <c r="EE5" s="11">
        <v>-1.06331</v>
      </c>
      <c r="EF5">
        <v>-1.0621100000000001</v>
      </c>
      <c r="EG5">
        <v>13.190588496613996</v>
      </c>
      <c r="EH5" t="s">
        <v>1227</v>
      </c>
      <c r="EI5">
        <v>0</v>
      </c>
      <c r="EJ5">
        <v>0</v>
      </c>
      <c r="EK5" s="13">
        <v>45489</v>
      </c>
      <c r="EL5" s="14">
        <v>-0.85</v>
      </c>
      <c r="EM5" s="14">
        <v>4.0999999999999996</v>
      </c>
      <c r="EN5" s="14">
        <v>-2.02</v>
      </c>
      <c r="EO5" s="14">
        <v>-1.61</v>
      </c>
      <c r="EP5" s="14">
        <v>0.12</v>
      </c>
    </row>
    <row r="6" spans="1:146" ht="96" x14ac:dyDescent="0.25">
      <c r="A6" s="7"/>
      <c r="B6" s="7"/>
      <c r="C6" s="7" t="str">
        <f>""&amp;CHAR(10)&amp;Basic_Fundamental_Information_Constructure(F6)&amp;CHAR(10)&amp;Basic_Fundamental_Information_Concatenate("")</f>
        <v xml:space="preserve">
市值691.85332亿, 利润21.03亿; PE33.3; 平均PE35.27; 平均PEG3.57, PB2.01; ROIC8.6867%; ROE6.3533%; 股利率.5788%; 毛利19.92%; 净利5.1433%; 上一年度营收增4.39%, 利润增-2.55%; 当季营收增2.89%, 利润增-5.77%; 过往5年营收增9.89%, 利润增4.56%
Income profile:
</v>
      </c>
      <c r="D6" t="s">
        <v>120</v>
      </c>
      <c r="E6" t="s">
        <v>121</v>
      </c>
      <c r="F6">
        <v>24.19</v>
      </c>
      <c r="G6">
        <v>10</v>
      </c>
      <c r="H6" t="s">
        <v>403</v>
      </c>
      <c r="I6">
        <v>69185332000</v>
      </c>
      <c r="J6">
        <v>33.299999999999997</v>
      </c>
      <c r="K6">
        <v>2.0099999999999998</v>
      </c>
      <c r="L6" t="s">
        <v>1166</v>
      </c>
      <c r="M6" t="s">
        <v>1795</v>
      </c>
      <c r="N6" t="s">
        <v>1796</v>
      </c>
      <c r="O6" t="s">
        <v>1797</v>
      </c>
      <c r="P6">
        <v>2.89</v>
      </c>
      <c r="Q6" t="s">
        <v>1812</v>
      </c>
      <c r="R6">
        <v>413681060</v>
      </c>
      <c r="S6" s="5">
        <v>-5.7599999999999998E-2</v>
      </c>
      <c r="T6" t="s">
        <v>1813</v>
      </c>
      <c r="U6">
        <v>2860079900</v>
      </c>
      <c r="V6">
        <v>2860079900</v>
      </c>
      <c r="W6">
        <v>2.08</v>
      </c>
      <c r="X6">
        <v>0.2</v>
      </c>
      <c r="Y6">
        <v>4.1100000000000003</v>
      </c>
      <c r="Z6" t="s">
        <v>1798</v>
      </c>
      <c r="AA6" t="s">
        <v>1799</v>
      </c>
      <c r="AB6" t="s">
        <v>1617</v>
      </c>
      <c r="AC6" t="s">
        <v>254</v>
      </c>
      <c r="AD6" t="s">
        <v>60</v>
      </c>
      <c r="AE6">
        <v>75588601</v>
      </c>
      <c r="AF6" t="s">
        <v>1800</v>
      </c>
      <c r="AG6" t="s">
        <v>1801</v>
      </c>
      <c r="AH6" t="s">
        <v>1802</v>
      </c>
      <c r="AI6" t="s">
        <v>1803</v>
      </c>
      <c r="AJ6" t="s">
        <v>1804</v>
      </c>
      <c r="AK6" t="s">
        <v>1121</v>
      </c>
      <c r="AL6" t="s">
        <v>1805</v>
      </c>
      <c r="AM6" t="s">
        <v>60</v>
      </c>
      <c r="AN6" t="s">
        <v>454</v>
      </c>
      <c r="AO6" t="s">
        <v>1806</v>
      </c>
      <c r="AP6" t="s">
        <v>449</v>
      </c>
      <c r="AQ6" t="s">
        <v>1807</v>
      </c>
      <c r="AR6" t="s">
        <v>1808</v>
      </c>
      <c r="AS6" t="s">
        <v>1809</v>
      </c>
      <c r="AT6" t="s">
        <v>1810</v>
      </c>
      <c r="AU6" t="s">
        <v>1811</v>
      </c>
      <c r="AV6" t="s">
        <v>402</v>
      </c>
      <c r="AW6" t="s">
        <v>439</v>
      </c>
      <c r="AX6" t="s">
        <v>1369</v>
      </c>
      <c r="AY6" t="s">
        <v>1074</v>
      </c>
      <c r="AZ6" t="s">
        <v>1075</v>
      </c>
      <c r="BA6" t="s">
        <v>192</v>
      </c>
      <c r="BB6" t="s">
        <v>701</v>
      </c>
      <c r="BC6" t="s">
        <v>703</v>
      </c>
      <c r="BD6" t="s">
        <v>738</v>
      </c>
      <c r="BE6" t="s">
        <v>984</v>
      </c>
      <c r="BF6" t="s">
        <v>193</v>
      </c>
      <c r="BG6" t="s">
        <v>702</v>
      </c>
      <c r="BH6" t="s">
        <v>1812</v>
      </c>
      <c r="BI6" t="s">
        <v>3496</v>
      </c>
      <c r="BJ6" t="s">
        <v>1369</v>
      </c>
      <c r="BK6" t="s">
        <v>1813</v>
      </c>
      <c r="BL6" t="s">
        <v>742</v>
      </c>
      <c r="BM6" t="s">
        <v>703</v>
      </c>
      <c r="BN6">
        <v>6.99</v>
      </c>
      <c r="BO6">
        <v>9.1199999999999992</v>
      </c>
      <c r="BP6">
        <v>9.9499999999999993</v>
      </c>
      <c r="BQ6">
        <v>4.72</v>
      </c>
      <c r="BR6">
        <v>6.98</v>
      </c>
      <c r="BS6">
        <v>7.36</v>
      </c>
      <c r="BT6" t="s">
        <v>1359</v>
      </c>
      <c r="BU6" t="s">
        <v>1166</v>
      </c>
      <c r="BV6">
        <v>19.600000000000001</v>
      </c>
      <c r="BW6">
        <v>20.64</v>
      </c>
      <c r="BX6">
        <v>19.52</v>
      </c>
      <c r="BY6">
        <v>4.7699999999999996</v>
      </c>
      <c r="BZ6">
        <v>5.05</v>
      </c>
      <c r="CA6">
        <v>5.61</v>
      </c>
      <c r="CB6">
        <v>8.9600000000000009</v>
      </c>
      <c r="CC6">
        <v>10</v>
      </c>
      <c r="CD6" t="s">
        <v>366</v>
      </c>
      <c r="CE6" t="s">
        <v>3497</v>
      </c>
      <c r="CF6" s="8">
        <v>2.8858370137334381E-2</v>
      </c>
      <c r="CG6" s="9">
        <v>-5.7674123006833583E-2</v>
      </c>
      <c r="CH6" s="8">
        <v>4.3884579092264175E-2</v>
      </c>
      <c r="CI6" s="8">
        <v>9.491700679063797E-2</v>
      </c>
      <c r="CJ6" s="8">
        <v>0.12572403252124786</v>
      </c>
      <c r="CK6" s="8">
        <v>0.11063046008348465</v>
      </c>
      <c r="CL6" s="8">
        <v>0.11918158084154129</v>
      </c>
      <c r="CM6" s="9">
        <v>-2.5486590340733528E-2</v>
      </c>
      <c r="CN6" s="9">
        <v>4.6555530279874802E-3</v>
      </c>
      <c r="CO6" s="9">
        <v>0.18543046712875366</v>
      </c>
      <c r="CP6" s="9">
        <v>-1.6820436343550682E-2</v>
      </c>
      <c r="CQ6" s="9">
        <v>8.0304846167564392E-2</v>
      </c>
      <c r="CR6">
        <v>35.268648428207307</v>
      </c>
      <c r="CS6">
        <v>3.5672629590943385</v>
      </c>
      <c r="CT6">
        <v>0.57875155022736657</v>
      </c>
      <c r="CU6" s="8">
        <v>9.886753186583519E-2</v>
      </c>
      <c r="CV6" s="9">
        <v>4.5616767928004266E-2</v>
      </c>
      <c r="CW6">
        <v>0.06</v>
      </c>
      <c r="CX6">
        <v>34.707089286549895</v>
      </c>
      <c r="CY6">
        <v>2180111716.522501</v>
      </c>
      <c r="CZ6">
        <v>9.886753186583519E-2</v>
      </c>
      <c r="DA6">
        <v>11.257191838568714</v>
      </c>
      <c r="DB6">
        <v>6721510398.4245863</v>
      </c>
      <c r="DC6">
        <v>9.3924155272543428E-2</v>
      </c>
      <c r="DD6">
        <v>5.4861545178458728</v>
      </c>
      <c r="DE6">
        <v>13792052657.989998</v>
      </c>
      <c r="DF6">
        <v>8.7003428041934963E-2</v>
      </c>
      <c r="DG6">
        <v>3.2571893770097389</v>
      </c>
      <c r="DH6">
        <v>23230252601.85041</v>
      </c>
      <c r="DI6">
        <v>7.9094025492668155E-2</v>
      </c>
      <c r="DJ6">
        <v>1.6407761993160779</v>
      </c>
      <c r="DK6">
        <v>46115571417.686005</v>
      </c>
      <c r="DL6">
        <v>6.920727230608463E-2</v>
      </c>
      <c r="DM6">
        <v>2103000000</v>
      </c>
      <c r="DN6">
        <v>9.886753186583519E-2</v>
      </c>
      <c r="DO6">
        <v>75665332000</v>
      </c>
      <c r="DP6">
        <v>24593703000</v>
      </c>
      <c r="DQ6">
        <v>386</v>
      </c>
      <c r="DR6">
        <v>-7.0009161728500802E-2</v>
      </c>
      <c r="DS6">
        <v>-0.10329089093483784</v>
      </c>
      <c r="DT6" s="10">
        <v>-0.44</v>
      </c>
      <c r="DU6">
        <v>0.13333333333333333</v>
      </c>
      <c r="DV6">
        <v>-0.30666666666666664</v>
      </c>
      <c r="DW6">
        <v>9.8960000000000008</v>
      </c>
      <c r="DX6">
        <v>1.0535269651299841</v>
      </c>
      <c r="DY6">
        <v>9.1375601607564612</v>
      </c>
      <c r="DZ6">
        <v>2537</v>
      </c>
      <c r="EA6">
        <v>9.0692245179448019</v>
      </c>
      <c r="EB6">
        <v>9</v>
      </c>
      <c r="EC6">
        <v>9.0556910665327922E-2</v>
      </c>
      <c r="ED6">
        <v>0.58984366136064936</v>
      </c>
      <c r="EE6" s="11">
        <v>-2.0842100000000001</v>
      </c>
      <c r="EF6">
        <v>-2.0158</v>
      </c>
      <c r="EG6">
        <v>90.153526965129984</v>
      </c>
      <c r="EH6" t="s">
        <v>1363</v>
      </c>
      <c r="EI6">
        <v>1</v>
      </c>
      <c r="EJ6">
        <v>0</v>
      </c>
      <c r="EK6" s="13">
        <v>45489</v>
      </c>
      <c r="EL6" s="14">
        <v>-2.71</v>
      </c>
      <c r="EM6" s="14">
        <v>1.4</v>
      </c>
      <c r="EN6" s="14">
        <v>-2.41</v>
      </c>
      <c r="EO6" s="14">
        <v>0.41</v>
      </c>
      <c r="EP6" s="14">
        <v>10</v>
      </c>
    </row>
    <row r="7" spans="1:146" ht="108" x14ac:dyDescent="0.25">
      <c r="A7" s="7"/>
      <c r="B7" s="7"/>
      <c r="C7" s="7" t="str">
        <f>""&amp;CHAR(10)&amp;Basic_Fundamental_Information_Constructure(F7)&amp;CHAR(10)&amp;Basic_Fundamental_Information_Concatenate("")</f>
        <v xml:space="preserve">
市值142.00287亿, 利润4.38亿; PE38.23; 平均PE26.31; 平均PEG4, PB1.23; ROIC4.04%; ROE4.2167%; 股利率1.1287%; 毛利23.4467%; 净利4.1533%; 上一年度营收增-2.61%, 利润增9.5%; 当季营收增14.89%, 利润增-48.73%; 过往5年营收增6.58%, 利润增-10.65%
Income profile:
</v>
      </c>
      <c r="D7" t="s">
        <v>117</v>
      </c>
      <c r="E7" t="s">
        <v>48</v>
      </c>
      <c r="F7">
        <v>4.43</v>
      </c>
      <c r="G7">
        <v>0.68</v>
      </c>
      <c r="H7" t="s">
        <v>3498</v>
      </c>
      <c r="I7">
        <v>14200287000</v>
      </c>
      <c r="J7">
        <v>38.229999999999997</v>
      </c>
      <c r="K7">
        <v>1.23</v>
      </c>
      <c r="L7" t="s">
        <v>1166</v>
      </c>
      <c r="M7" t="s">
        <v>1814</v>
      </c>
      <c r="N7" t="s">
        <v>1815</v>
      </c>
      <c r="O7" t="s">
        <v>1816</v>
      </c>
      <c r="P7">
        <v>14.9</v>
      </c>
      <c r="Q7" t="s">
        <v>1828</v>
      </c>
      <c r="R7">
        <v>70756091</v>
      </c>
      <c r="S7" s="5">
        <v>-0.48630000000000001</v>
      </c>
      <c r="T7" t="s">
        <v>1283</v>
      </c>
      <c r="U7">
        <v>2907921600</v>
      </c>
      <c r="V7">
        <v>3205482400</v>
      </c>
      <c r="W7">
        <v>1.92</v>
      </c>
      <c r="X7">
        <v>0.14000000000000001</v>
      </c>
      <c r="Y7">
        <v>-0.27</v>
      </c>
      <c r="Z7" t="s">
        <v>1613</v>
      </c>
      <c r="AA7" t="s">
        <v>1671</v>
      </c>
      <c r="AB7" t="s">
        <v>1817</v>
      </c>
      <c r="AC7" t="s">
        <v>428</v>
      </c>
      <c r="AD7" t="s">
        <v>60</v>
      </c>
      <c r="AE7">
        <v>37374100</v>
      </c>
      <c r="AF7" t="s">
        <v>168</v>
      </c>
      <c r="AG7" t="s">
        <v>1818</v>
      </c>
      <c r="AH7" t="s">
        <v>1819</v>
      </c>
      <c r="AI7" t="s">
        <v>1427</v>
      </c>
      <c r="AJ7" t="s">
        <v>1820</v>
      </c>
      <c r="AK7" t="s">
        <v>1821</v>
      </c>
      <c r="AL7" t="s">
        <v>1822</v>
      </c>
      <c r="AM7" t="s">
        <v>60</v>
      </c>
      <c r="AN7" t="s">
        <v>1405</v>
      </c>
      <c r="AO7" t="s">
        <v>1823</v>
      </c>
      <c r="AP7" t="s">
        <v>1824</v>
      </c>
      <c r="AQ7" t="s">
        <v>1123</v>
      </c>
      <c r="AR7" t="s">
        <v>60</v>
      </c>
      <c r="AS7" t="s">
        <v>1825</v>
      </c>
      <c r="AT7" t="s">
        <v>60</v>
      </c>
      <c r="AU7" t="s">
        <v>1826</v>
      </c>
      <c r="AV7" t="s">
        <v>1827</v>
      </c>
      <c r="AW7" t="s">
        <v>366</v>
      </c>
      <c r="AX7" t="s">
        <v>1373</v>
      </c>
      <c r="AY7" t="s">
        <v>1077</v>
      </c>
      <c r="AZ7" t="s">
        <v>707</v>
      </c>
      <c r="BA7" t="s">
        <v>208</v>
      </c>
      <c r="BB7" t="s">
        <v>708</v>
      </c>
      <c r="BC7" t="s">
        <v>494</v>
      </c>
      <c r="BD7" t="s">
        <v>443</v>
      </c>
      <c r="BE7" t="s">
        <v>309</v>
      </c>
      <c r="BF7" t="s">
        <v>209</v>
      </c>
      <c r="BG7" t="s">
        <v>375</v>
      </c>
      <c r="BH7" t="s">
        <v>1828</v>
      </c>
      <c r="BI7" t="s">
        <v>3499</v>
      </c>
      <c r="BJ7" t="s">
        <v>1373</v>
      </c>
      <c r="BK7" t="s">
        <v>1283</v>
      </c>
      <c r="BL7" t="s">
        <v>486</v>
      </c>
      <c r="BM7" t="s">
        <v>494</v>
      </c>
      <c r="BN7">
        <v>5.12</v>
      </c>
      <c r="BO7">
        <v>3.43</v>
      </c>
      <c r="BP7">
        <v>3.57</v>
      </c>
      <c r="BQ7">
        <v>4.71</v>
      </c>
      <c r="BR7">
        <v>3.63</v>
      </c>
      <c r="BS7">
        <v>4.3099999999999996</v>
      </c>
      <c r="BT7" t="s">
        <v>1345</v>
      </c>
      <c r="BU7" t="s">
        <v>1166</v>
      </c>
      <c r="BV7">
        <v>23.98</v>
      </c>
      <c r="BW7">
        <v>23.16</v>
      </c>
      <c r="BX7">
        <v>23.2</v>
      </c>
      <c r="BY7">
        <v>5.52</v>
      </c>
      <c r="BZ7">
        <v>3.46</v>
      </c>
      <c r="CA7">
        <v>3.48</v>
      </c>
      <c r="CB7">
        <v>-0.45</v>
      </c>
      <c r="CC7">
        <v>-8.85</v>
      </c>
      <c r="CD7" t="s">
        <v>3500</v>
      </c>
      <c r="CE7" t="s">
        <v>3501</v>
      </c>
      <c r="CF7" s="8">
        <v>0.14889047959914101</v>
      </c>
      <c r="CG7" s="9">
        <v>-0.48727470289855074</v>
      </c>
      <c r="CH7" s="8">
        <v>-2.6113428175449371E-2</v>
      </c>
      <c r="CI7" s="8">
        <v>8.7192229926586151E-2</v>
      </c>
      <c r="CJ7" s="8">
        <v>0.18730230629444122</v>
      </c>
      <c r="CK7" s="8">
        <v>3.5936161875724792E-2</v>
      </c>
      <c r="CL7" s="8">
        <v>4.462287575006485E-2</v>
      </c>
      <c r="CM7" s="9">
        <v>9.4999998807907104E-2</v>
      </c>
      <c r="CN7" s="9">
        <v>-0.1304347813129425</v>
      </c>
      <c r="CO7" s="9">
        <v>-0.16363635659217834</v>
      </c>
      <c r="CP7" s="9">
        <v>-5.8219179511070251E-2</v>
      </c>
      <c r="CQ7" s="9">
        <v>-0.27543425559997559</v>
      </c>
      <c r="CR7">
        <v>26.313070413835703</v>
      </c>
      <c r="CS7">
        <v>3.9996745243926761</v>
      </c>
      <c r="CT7">
        <v>1.1286681715575622</v>
      </c>
      <c r="CU7" s="8">
        <v>6.5788029134273535E-2</v>
      </c>
      <c r="CV7" s="9">
        <v>-0.10654491484165192</v>
      </c>
      <c r="CW7">
        <v>0.06</v>
      </c>
      <c r="CX7">
        <v>31.397704225593426</v>
      </c>
      <c r="CY7">
        <v>440391657.32152063</v>
      </c>
      <c r="CZ7">
        <v>6.5788029134273535E-2</v>
      </c>
      <c r="DA7">
        <v>10.473595196177993</v>
      </c>
      <c r="DB7">
        <v>1320204451.3851204</v>
      </c>
      <c r="DC7">
        <v>6.2498627677559856E-2</v>
      </c>
      <c r="DD7">
        <v>5.2982551302768712</v>
      </c>
      <c r="DE7">
        <v>2609781269.4945526</v>
      </c>
      <c r="DF7">
        <v>5.789346563816071E-2</v>
      </c>
      <c r="DG7">
        <v>3.2797472908626073</v>
      </c>
      <c r="DH7">
        <v>4215961101.1869397</v>
      </c>
      <c r="DI7">
        <v>5.2630423307418829E-2</v>
      </c>
      <c r="DJ7">
        <v>1.8087169804037344</v>
      </c>
      <c r="DK7">
        <v>7644804106.8943405</v>
      </c>
      <c r="DL7">
        <v>4.6051620393991473E-2</v>
      </c>
      <c r="DM7">
        <v>438000000</v>
      </c>
      <c r="DN7">
        <v>6.5788029134273535E-2</v>
      </c>
      <c r="DO7">
        <v>13827287000</v>
      </c>
      <c r="DP7">
        <v>8844182000</v>
      </c>
      <c r="DQ7">
        <v>582</v>
      </c>
      <c r="DR7">
        <v>8.3102450464867472E-2</v>
      </c>
      <c r="DS7">
        <v>-0.38072978805689883</v>
      </c>
      <c r="DT7" s="10">
        <v>-0.3066666666666667</v>
      </c>
      <c r="DU7">
        <v>-0.45333333333333331</v>
      </c>
      <c r="DV7">
        <v>-0.76</v>
      </c>
      <c r="DW7">
        <v>-2.0884999999999998</v>
      </c>
      <c r="DX7">
        <v>0.32170312500000137</v>
      </c>
      <c r="DY7">
        <v>-2.0116557265625001</v>
      </c>
      <c r="DZ7">
        <v>3349</v>
      </c>
      <c r="EA7">
        <v>-2.004012290443876</v>
      </c>
      <c r="EB7">
        <v>2</v>
      </c>
      <c r="EC7">
        <v>2.3666016696894047E-2</v>
      </c>
      <c r="ED7">
        <v>0.17969214243696985</v>
      </c>
      <c r="EE7" s="11">
        <v>6.4200000000000007E-2</v>
      </c>
      <c r="EF7">
        <v>7.0999999999999994E-2</v>
      </c>
      <c r="EG7">
        <v>19.131703125000001</v>
      </c>
      <c r="EH7" t="s">
        <v>1060</v>
      </c>
      <c r="EI7">
        <v>0</v>
      </c>
      <c r="EJ7">
        <v>0</v>
      </c>
      <c r="EK7" s="13">
        <v>45489</v>
      </c>
      <c r="EL7" s="14">
        <v>-2.98</v>
      </c>
      <c r="EM7" s="14">
        <v>2.7</v>
      </c>
      <c r="EN7" s="14">
        <v>-1.1000000000000001</v>
      </c>
      <c r="EO7" s="14">
        <v>-2.44</v>
      </c>
      <c r="EP7" s="14">
        <v>0.68</v>
      </c>
    </row>
    <row r="8" spans="1:146" ht="108" x14ac:dyDescent="0.25">
      <c r="A8" s="7"/>
      <c r="B8" s="7"/>
      <c r="C8" s="7" t="str">
        <f>""&amp;CHAR(10)&amp;Basic_Fundamental_Information_Constructure(F8)&amp;CHAR(10)&amp;Basic_Fundamental_Information_Concatenate("")</f>
        <v xml:space="preserve">
市值146.0157亿, 利润3.32亿; PE48.72; 平均PE40.67; 平均PEG1.33, PB1.5; ROIC2.6033%; ROE3.3567%; 股利率.3891%; 毛利56.3133%; 净利44.3667%; 上一年度营收增-15.29%, 利润增56.6%; 当季营收增21.68%, 利润增-68.18%; 过往5年营收增-30.56%, 利润增-22.26%
Income profile:
</v>
      </c>
      <c r="D8" t="s">
        <v>133</v>
      </c>
      <c r="E8" t="s">
        <v>1604</v>
      </c>
      <c r="F8">
        <v>2.57</v>
      </c>
      <c r="G8">
        <v>6.2</v>
      </c>
      <c r="H8" t="s">
        <v>251</v>
      </c>
      <c r="I8">
        <v>14601570000</v>
      </c>
      <c r="J8">
        <v>48.72</v>
      </c>
      <c r="K8">
        <v>1.5</v>
      </c>
      <c r="L8" t="s">
        <v>1166</v>
      </c>
      <c r="M8" t="s">
        <v>651</v>
      </c>
      <c r="N8" t="s">
        <v>1829</v>
      </c>
      <c r="O8" t="s">
        <v>641</v>
      </c>
      <c r="P8">
        <v>21.8</v>
      </c>
      <c r="Q8" t="s">
        <v>195</v>
      </c>
      <c r="R8">
        <v>35000000</v>
      </c>
      <c r="S8" s="5">
        <v>-0.29049999999999998</v>
      </c>
      <c r="T8" t="s">
        <v>451</v>
      </c>
      <c r="U8">
        <v>5613049000</v>
      </c>
      <c r="V8">
        <v>5681544600</v>
      </c>
      <c r="W8">
        <v>1.03</v>
      </c>
      <c r="X8">
        <v>0.02</v>
      </c>
      <c r="Y8">
        <v>44.86</v>
      </c>
      <c r="Z8" t="s">
        <v>248</v>
      </c>
      <c r="AA8" t="s">
        <v>1830</v>
      </c>
      <c r="AB8" t="s">
        <v>1831</v>
      </c>
      <c r="AC8" t="s">
        <v>1832</v>
      </c>
      <c r="AD8" t="s">
        <v>60</v>
      </c>
      <c r="AE8">
        <v>-17307419</v>
      </c>
      <c r="AF8" t="s">
        <v>1833</v>
      </c>
      <c r="AG8">
        <v>6000</v>
      </c>
      <c r="AH8" t="s">
        <v>1834</v>
      </c>
      <c r="AI8" t="s">
        <v>1835</v>
      </c>
      <c r="AJ8" t="s">
        <v>1836</v>
      </c>
      <c r="AK8" t="s">
        <v>60</v>
      </c>
      <c r="AL8" t="s">
        <v>1837</v>
      </c>
      <c r="AM8" t="s">
        <v>60</v>
      </c>
      <c r="AN8">
        <v>0</v>
      </c>
      <c r="AO8" t="s">
        <v>60</v>
      </c>
      <c r="AP8" t="s">
        <v>60</v>
      </c>
      <c r="AQ8" t="s">
        <v>1838</v>
      </c>
      <c r="AR8" t="s">
        <v>60</v>
      </c>
      <c r="AS8" t="s">
        <v>349</v>
      </c>
      <c r="AT8" t="s">
        <v>60</v>
      </c>
      <c r="AU8" t="s">
        <v>1839</v>
      </c>
      <c r="AV8" t="s">
        <v>1840</v>
      </c>
      <c r="AW8" t="s">
        <v>1841</v>
      </c>
      <c r="AX8" t="s">
        <v>1011</v>
      </c>
      <c r="AY8" t="s">
        <v>1079</v>
      </c>
      <c r="AZ8" t="s">
        <v>709</v>
      </c>
      <c r="BA8" t="s">
        <v>222</v>
      </c>
      <c r="BB8" t="s">
        <v>711</v>
      </c>
      <c r="BC8" t="s">
        <v>656</v>
      </c>
      <c r="BD8" t="s">
        <v>410</v>
      </c>
      <c r="BE8" t="s">
        <v>710</v>
      </c>
      <c r="BF8" t="s">
        <v>223</v>
      </c>
      <c r="BG8" t="s">
        <v>194</v>
      </c>
      <c r="BH8" t="s">
        <v>195</v>
      </c>
      <c r="BI8" t="s">
        <v>337</v>
      </c>
      <c r="BJ8" t="s">
        <v>1011</v>
      </c>
      <c r="BK8" t="s">
        <v>451</v>
      </c>
      <c r="BL8" t="s">
        <v>255</v>
      </c>
      <c r="BM8" t="s">
        <v>656</v>
      </c>
      <c r="BN8">
        <v>2.11</v>
      </c>
      <c r="BO8">
        <v>1.68</v>
      </c>
      <c r="BP8">
        <v>4.0199999999999996</v>
      </c>
      <c r="BQ8">
        <v>3.45</v>
      </c>
      <c r="BR8">
        <v>2.27</v>
      </c>
      <c r="BS8">
        <v>4.3499999999999996</v>
      </c>
      <c r="BT8" t="s">
        <v>1350</v>
      </c>
      <c r="BU8" t="s">
        <v>1166</v>
      </c>
      <c r="BV8">
        <v>53.66</v>
      </c>
      <c r="BW8">
        <v>59.66</v>
      </c>
      <c r="BX8">
        <v>55.62</v>
      </c>
      <c r="BY8">
        <v>58.69</v>
      </c>
      <c r="BZ8">
        <v>31.78</v>
      </c>
      <c r="CA8">
        <v>42.63</v>
      </c>
      <c r="CB8">
        <v>6.2</v>
      </c>
      <c r="CC8">
        <v>-5.17</v>
      </c>
      <c r="CD8" t="s">
        <v>1629</v>
      </c>
      <c r="CE8" t="s">
        <v>3502</v>
      </c>
      <c r="CF8" s="8">
        <v>0.21678321678321677</v>
      </c>
      <c r="CG8" s="9">
        <v>-0.68181818181818188</v>
      </c>
      <c r="CH8" s="8">
        <v>-0.15292353928089142</v>
      </c>
      <c r="CI8" s="8">
        <v>-0.28433477878570557</v>
      </c>
      <c r="CJ8" s="8">
        <v>-0.23980423808097839</v>
      </c>
      <c r="CK8" s="8">
        <v>-0.49774682521820068</v>
      </c>
      <c r="CL8" s="8">
        <v>-0.35320618748664856</v>
      </c>
      <c r="CM8" s="9">
        <v>0.56603771448135376</v>
      </c>
      <c r="CN8" s="9">
        <v>-0.46599495410919189</v>
      </c>
      <c r="CO8" s="9">
        <v>1.4348301887512207</v>
      </c>
      <c r="CP8" s="9">
        <v>-2.2028985023498535</v>
      </c>
      <c r="CQ8" s="9">
        <v>-0.44476959109306335</v>
      </c>
      <c r="CR8">
        <v>40.672896935933146</v>
      </c>
      <c r="CS8">
        <v>1.3309058417015815</v>
      </c>
      <c r="CT8">
        <v>0.38910505836575882</v>
      </c>
      <c r="CU8" s="8">
        <v>-0.30560311377048494</v>
      </c>
      <c r="CV8" s="9">
        <v>-0.22255902886390685</v>
      </c>
      <c r="CW8">
        <v>0.06</v>
      </c>
      <c r="CX8">
        <v>15.36316265060241</v>
      </c>
      <c r="CY8" t="s">
        <v>3503</v>
      </c>
      <c r="CZ8">
        <v>-0.30560311377048494</v>
      </c>
      <c r="DA8">
        <v>5.1210542168674698</v>
      </c>
      <c r="DB8" t="s">
        <v>3504</v>
      </c>
      <c r="DC8">
        <v>-0.29032295808196068</v>
      </c>
      <c r="DD8">
        <v>2.5605271084337349</v>
      </c>
      <c r="DE8" t="s">
        <v>3505</v>
      </c>
      <c r="DF8">
        <v>-0.26893074011802676</v>
      </c>
      <c r="DG8">
        <v>1.5363162650602409</v>
      </c>
      <c r="DH8" t="s">
        <v>3506</v>
      </c>
      <c r="DI8">
        <v>-0.24448249101638797</v>
      </c>
      <c r="DJ8">
        <v>0.76815813253012044</v>
      </c>
      <c r="DK8" t="s">
        <v>3507</v>
      </c>
      <c r="DL8">
        <v>-0.21392217963933943</v>
      </c>
      <c r="DM8">
        <v>332000000</v>
      </c>
      <c r="DN8">
        <v>-0.30560311377048494</v>
      </c>
      <c r="DO8">
        <v>5100570000</v>
      </c>
      <c r="DP8">
        <v>7994237000</v>
      </c>
      <c r="DQ8">
        <v>704</v>
      </c>
      <c r="DR8">
        <v>0.52238633055370176</v>
      </c>
      <c r="DS8">
        <v>-0.459259152954275</v>
      </c>
      <c r="DT8" s="10">
        <v>-1.1066666666666667</v>
      </c>
      <c r="DU8">
        <v>-0.90666666666666662</v>
      </c>
      <c r="DV8">
        <v>-2.0133333333333332</v>
      </c>
      <c r="DW8">
        <v>5.8338709677419356</v>
      </c>
      <c r="DX8">
        <v>0.85963897927957822</v>
      </c>
      <c r="DY8">
        <v>5.2498602456250687</v>
      </c>
      <c r="DZ8">
        <v>4387</v>
      </c>
      <c r="EA8">
        <v>5.0352260381535245</v>
      </c>
      <c r="EB8">
        <v>5</v>
      </c>
      <c r="EC8">
        <v>0.10226092390439037</v>
      </c>
      <c r="ED8">
        <v>0.341280432789351</v>
      </c>
      <c r="EE8" s="11">
        <v>-4.0993000000000004</v>
      </c>
      <c r="EF8">
        <v>-3.0112999999999999</v>
      </c>
      <c r="EG8">
        <v>56.299638979279578</v>
      </c>
      <c r="EH8" t="s">
        <v>1402</v>
      </c>
      <c r="EI8">
        <v>1</v>
      </c>
      <c r="EJ8">
        <v>0</v>
      </c>
      <c r="EK8" s="13">
        <v>45489</v>
      </c>
      <c r="EL8" s="14">
        <v>-3.42</v>
      </c>
      <c r="EM8" s="14">
        <v>4.29</v>
      </c>
      <c r="EN8" s="14">
        <v>-2.4700000000000002</v>
      </c>
      <c r="EO8" s="14">
        <v>2.11</v>
      </c>
      <c r="EP8" s="14">
        <v>6.2</v>
      </c>
    </row>
    <row r="9" spans="1:146" ht="96" x14ac:dyDescent="0.25">
      <c r="C9" s="7" t="str">
        <f>""&amp;CHAR(10)&amp;Basic_Fundamental_Information_Constructure(F9)&amp;CHAR(10)&amp;Basic_Fundamental_Information_Concatenate("")</f>
        <v xml:space="preserve">
市值22.915737亿, 利润-7203.96万; PE; 平均PE-17.58; 平均PEG-46.3, PB.919; ROIC1.79%; ROE-5.6167%; 股利率0%; 毛利27.5833%; 净利-16.0167%; 上一年度营收增6.29%, 利润增86.61%; 当季营收增-21.85%, 利润增-328.53%; 过往5年营收增-.38%, 利润增-314.81%
Income profile:
</v>
      </c>
      <c r="D9" t="s">
        <v>1842</v>
      </c>
      <c r="E9" t="s">
        <v>1843</v>
      </c>
      <c r="F9">
        <v>3.73</v>
      </c>
      <c r="G9">
        <v>3.9</v>
      </c>
      <c r="H9" t="s">
        <v>3508</v>
      </c>
      <c r="I9">
        <v>2291573700</v>
      </c>
      <c r="K9">
        <v>0.91900000000000004</v>
      </c>
      <c r="L9" t="s">
        <v>1166</v>
      </c>
      <c r="M9" t="s">
        <v>1844</v>
      </c>
      <c r="N9" t="s">
        <v>1845</v>
      </c>
      <c r="O9" t="s">
        <v>204</v>
      </c>
      <c r="P9" s="5">
        <v>-21.73</v>
      </c>
      <c r="Q9" t="s">
        <v>639</v>
      </c>
      <c r="R9">
        <v>-35000000</v>
      </c>
      <c r="S9">
        <v>-0.82110000000000005</v>
      </c>
      <c r="T9" t="s">
        <v>1865</v>
      </c>
      <c r="U9">
        <v>534311560</v>
      </c>
      <c r="V9">
        <v>614362930</v>
      </c>
      <c r="W9">
        <v>2.7</v>
      </c>
      <c r="X9">
        <v>0.04</v>
      </c>
      <c r="Y9">
        <v>2.99</v>
      </c>
      <c r="Z9" t="s">
        <v>345</v>
      </c>
      <c r="AA9" t="s">
        <v>438</v>
      </c>
      <c r="AB9" t="s">
        <v>1846</v>
      </c>
      <c r="AC9" t="s">
        <v>1847</v>
      </c>
      <c r="AD9" t="s">
        <v>60</v>
      </c>
      <c r="AE9">
        <v>20701525</v>
      </c>
      <c r="AF9" t="s">
        <v>1848</v>
      </c>
      <c r="AG9" t="s">
        <v>1849</v>
      </c>
      <c r="AH9" t="s">
        <v>1850</v>
      </c>
      <c r="AI9" t="s">
        <v>238</v>
      </c>
      <c r="AJ9" t="s">
        <v>1851</v>
      </c>
      <c r="AK9" t="s">
        <v>1852</v>
      </c>
      <c r="AL9" t="s">
        <v>1853</v>
      </c>
      <c r="AM9" t="s">
        <v>60</v>
      </c>
      <c r="AN9" t="s">
        <v>585</v>
      </c>
      <c r="AO9" t="s">
        <v>597</v>
      </c>
      <c r="AP9" t="s">
        <v>1854</v>
      </c>
      <c r="AQ9" t="s">
        <v>184</v>
      </c>
      <c r="AR9" t="s">
        <v>60</v>
      </c>
      <c r="AS9" t="s">
        <v>1855</v>
      </c>
      <c r="AT9" t="s">
        <v>1422</v>
      </c>
      <c r="AU9" t="s">
        <v>1856</v>
      </c>
      <c r="AV9" t="s">
        <v>1857</v>
      </c>
      <c r="AW9" t="s">
        <v>1668</v>
      </c>
      <c r="AX9" t="s">
        <v>1858</v>
      </c>
      <c r="AY9" t="s">
        <v>863</v>
      </c>
      <c r="AZ9" t="s">
        <v>901</v>
      </c>
      <c r="BA9" t="s">
        <v>1859</v>
      </c>
      <c r="BB9" t="s">
        <v>1860</v>
      </c>
      <c r="BC9" t="s">
        <v>1861</v>
      </c>
      <c r="BD9" t="s">
        <v>1862</v>
      </c>
      <c r="BE9" t="s">
        <v>1863</v>
      </c>
      <c r="BF9" t="s">
        <v>1864</v>
      </c>
      <c r="BG9" t="s">
        <v>1636</v>
      </c>
      <c r="BH9" t="s">
        <v>639</v>
      </c>
      <c r="BI9" t="s">
        <v>225</v>
      </c>
      <c r="BJ9" t="s">
        <v>1858</v>
      </c>
      <c r="BK9" t="s">
        <v>1865</v>
      </c>
      <c r="BL9" t="s">
        <v>3509</v>
      </c>
      <c r="BM9" t="s">
        <v>1861</v>
      </c>
      <c r="BN9">
        <v>1.82</v>
      </c>
      <c r="BO9" t="s">
        <v>60</v>
      </c>
      <c r="BP9">
        <v>1.76</v>
      </c>
      <c r="BQ9">
        <v>0.95</v>
      </c>
      <c r="BR9">
        <v>-19.329999999999998</v>
      </c>
      <c r="BS9">
        <v>1.53</v>
      </c>
      <c r="BT9" t="s">
        <v>1343</v>
      </c>
      <c r="BU9" t="s">
        <v>1166</v>
      </c>
      <c r="BV9">
        <v>27.04</v>
      </c>
      <c r="BW9">
        <v>22.11</v>
      </c>
      <c r="BX9">
        <v>33.6</v>
      </c>
      <c r="BY9">
        <v>-5.18</v>
      </c>
      <c r="BZ9">
        <v>-44.39</v>
      </c>
      <c r="CA9">
        <v>1.52</v>
      </c>
      <c r="CB9">
        <v>9.3800000000000008</v>
      </c>
      <c r="CC9" s="8">
        <v>15.12</v>
      </c>
      <c r="CD9" s="9" t="s">
        <v>3510</v>
      </c>
      <c r="CE9" s="8" t="s">
        <v>318</v>
      </c>
      <c r="CF9" s="8">
        <v>-0.2185430463576159</v>
      </c>
      <c r="CG9" s="8">
        <v>-3.2852665600208937</v>
      </c>
      <c r="CH9" s="8">
        <v>6.2857195734977722E-2</v>
      </c>
      <c r="CI9" s="8">
        <v>-2.3904483765363693E-2</v>
      </c>
      <c r="CJ9" s="9">
        <v>-5.568087100982666E-2</v>
      </c>
      <c r="CK9" s="9">
        <v>-3.0007504392415285E-3</v>
      </c>
      <c r="CL9" s="9">
        <v>7.507026894018054E-4</v>
      </c>
      <c r="CM9" s="9">
        <v>0.86609739065170288</v>
      </c>
      <c r="CN9" s="9">
        <v>-18.327672958374023</v>
      </c>
      <c r="CO9">
        <v>0.70909410715103149</v>
      </c>
      <c r="CP9">
        <v>-6.9099985063076019E-2</v>
      </c>
      <c r="CQ9">
        <v>1.0809758901596069</v>
      </c>
      <c r="CR9" s="8">
        <v>-17.575459878966001</v>
      </c>
      <c r="CS9" s="9">
        <v>-46.304321776539972</v>
      </c>
      <c r="CT9">
        <v>0</v>
      </c>
      <c r="CU9">
        <v>-3.7956413580104709E-3</v>
      </c>
      <c r="CV9">
        <v>-3.1481211110949516</v>
      </c>
      <c r="CW9">
        <v>0.06</v>
      </c>
      <c r="CX9" t="e">
        <v>#VALUE!</v>
      </c>
      <c r="CY9" t="s">
        <v>1223</v>
      </c>
      <c r="CZ9">
        <v>-3.7956413580104709E-3</v>
      </c>
      <c r="DA9" t="e">
        <v>#VALUE!</v>
      </c>
      <c r="DB9" t="s">
        <v>1224</v>
      </c>
      <c r="DC9">
        <v>-3.6058592901099472E-3</v>
      </c>
      <c r="DD9" t="e">
        <v>#VALUE!</v>
      </c>
      <c r="DE9" t="s">
        <v>1224</v>
      </c>
      <c r="DF9">
        <v>-3.3401643950492143E-3</v>
      </c>
      <c r="DG9" t="e">
        <v>#VALUE!</v>
      </c>
      <c r="DH9" t="s">
        <v>1224</v>
      </c>
      <c r="DI9">
        <v>-3.0365130864083768E-3</v>
      </c>
      <c r="DJ9" t="e">
        <v>#VALUE!</v>
      </c>
      <c r="DK9" t="s">
        <v>1224</v>
      </c>
      <c r="DL9">
        <v>-2.6569489506073295E-3</v>
      </c>
      <c r="DM9">
        <v>-72039600</v>
      </c>
      <c r="DN9">
        <v>-3.7956413580104709E-3</v>
      </c>
      <c r="DO9">
        <v>3706573700</v>
      </c>
      <c r="DP9">
        <v>19812300</v>
      </c>
      <c r="DQ9" s="10">
        <v>706</v>
      </c>
      <c r="DR9">
        <v>-0.21474740499960543</v>
      </c>
      <c r="DS9">
        <v>-0.13714544892594205</v>
      </c>
      <c r="DT9">
        <v>-0.44</v>
      </c>
      <c r="DU9">
        <v>-1.2316666666666667</v>
      </c>
      <c r="DV9">
        <v>-1.6716666666666666</v>
      </c>
      <c r="DW9">
        <v>9.6203703703703702</v>
      </c>
      <c r="DX9">
        <v>0.48462441860464878</v>
      </c>
      <c r="DY9">
        <v>9.0711095930232553</v>
      </c>
      <c r="DZ9">
        <v>4146</v>
      </c>
      <c r="EA9">
        <v>9.0133809122567747</v>
      </c>
      <c r="EB9" s="11">
        <v>9</v>
      </c>
      <c r="EC9" s="11">
        <v>0.12836321358126213</v>
      </c>
      <c r="ED9">
        <v>1.1198592336943247</v>
      </c>
      <c r="EE9">
        <v>-3.1360999999999999</v>
      </c>
      <c r="EF9">
        <v>-2.0251000000000001</v>
      </c>
      <c r="EG9">
        <v>37.114624418604649</v>
      </c>
      <c r="EH9" s="13" t="s">
        <v>1363</v>
      </c>
      <c r="EI9">
        <v>1</v>
      </c>
      <c r="EJ9">
        <v>0</v>
      </c>
      <c r="EK9">
        <v>45489</v>
      </c>
      <c r="EL9">
        <v>-2.36</v>
      </c>
      <c r="EM9">
        <v>5.0599999999999996</v>
      </c>
      <c r="EN9" s="14">
        <v>1.42</v>
      </c>
      <c r="EO9" s="14">
        <v>0.28000000000000003</v>
      </c>
      <c r="EP9" s="14">
        <v>3.9</v>
      </c>
    </row>
    <row r="10" spans="1:146" ht="96" x14ac:dyDescent="0.25">
      <c r="A10" s="7"/>
      <c r="B10" s="7"/>
      <c r="C10" s="7" t="str">
        <f>""&amp;CHAR(10)&amp;Basic_Fundamental_Information_Constructure(F10)&amp;CHAR(10)&amp;Basic_Fundamental_Information_Concatenate("")</f>
        <v xml:space="preserve">
市值54.459509亿, 利润2931.56万; PE; 平均PE75.48; 平均PEG52.58, PB3.98; ROIC3.21%; ROE4.3633%; 股利率.075%; 毛利18.1667%; 净利3.65%; 上一年度营收增-19.34%, 利润增-59.93%; 当季营收增-20.42%, 利润增-95.31%; 过往5年营收增-1.44%, 利润增3.73%
Income profile:
</v>
      </c>
      <c r="D10" t="s">
        <v>100</v>
      </c>
      <c r="E10" t="s">
        <v>25</v>
      </c>
      <c r="F10">
        <v>13.33</v>
      </c>
      <c r="G10">
        <v>2.15</v>
      </c>
      <c r="H10" t="s">
        <v>3511</v>
      </c>
      <c r="I10">
        <v>5445950900</v>
      </c>
      <c r="K10">
        <v>3.98</v>
      </c>
      <c r="L10" t="s">
        <v>1166</v>
      </c>
      <c r="M10" t="s">
        <v>1500</v>
      </c>
      <c r="N10" t="s">
        <v>194</v>
      </c>
      <c r="O10" t="s">
        <v>448</v>
      </c>
      <c r="P10">
        <v>-20.440000000000001</v>
      </c>
      <c r="Q10" t="s">
        <v>1878</v>
      </c>
      <c r="R10">
        <v>535000</v>
      </c>
      <c r="S10" s="5">
        <v>-2.5880000000000001</v>
      </c>
      <c r="T10" t="s">
        <v>1879</v>
      </c>
      <c r="U10">
        <v>408548460</v>
      </c>
      <c r="V10">
        <v>408548460</v>
      </c>
      <c r="W10">
        <v>1.47</v>
      </c>
      <c r="X10">
        <v>7.0000000000000007E-2</v>
      </c>
      <c r="Y10">
        <v>-11.91</v>
      </c>
      <c r="Z10" t="s">
        <v>476</v>
      </c>
      <c r="AA10" t="s">
        <v>228</v>
      </c>
      <c r="AB10" t="s">
        <v>1867</v>
      </c>
      <c r="AC10" t="s">
        <v>1868</v>
      </c>
      <c r="AD10" t="s">
        <v>60</v>
      </c>
      <c r="AE10">
        <v>-3537064</v>
      </c>
      <c r="AF10" t="s">
        <v>168</v>
      </c>
      <c r="AG10" t="s">
        <v>1869</v>
      </c>
      <c r="AH10" t="s">
        <v>1870</v>
      </c>
      <c r="AI10" t="s">
        <v>1718</v>
      </c>
      <c r="AJ10" t="s">
        <v>1871</v>
      </c>
      <c r="AK10" t="s">
        <v>60</v>
      </c>
      <c r="AL10" t="s">
        <v>1872</v>
      </c>
      <c r="AM10" t="s">
        <v>60</v>
      </c>
      <c r="AN10">
        <v>0</v>
      </c>
      <c r="AO10" t="s">
        <v>60</v>
      </c>
      <c r="AP10" t="s">
        <v>60</v>
      </c>
      <c r="AQ10" t="s">
        <v>410</v>
      </c>
      <c r="AR10" t="s">
        <v>1873</v>
      </c>
      <c r="AS10" t="s">
        <v>1401</v>
      </c>
      <c r="AT10" t="s">
        <v>60</v>
      </c>
      <c r="AU10" t="s">
        <v>1874</v>
      </c>
      <c r="AV10" t="s">
        <v>1875</v>
      </c>
      <c r="AW10" t="s">
        <v>1876</v>
      </c>
      <c r="AX10" t="s">
        <v>985</v>
      </c>
      <c r="AY10" t="s">
        <v>798</v>
      </c>
      <c r="AZ10" t="s">
        <v>715</v>
      </c>
      <c r="BA10" t="s">
        <v>239</v>
      </c>
      <c r="BB10" t="s">
        <v>716</v>
      </c>
      <c r="BC10" t="s">
        <v>1877</v>
      </c>
      <c r="BD10" t="s">
        <v>1081</v>
      </c>
      <c r="BE10" t="s">
        <v>207</v>
      </c>
      <c r="BF10" t="s">
        <v>240</v>
      </c>
      <c r="BG10" t="s">
        <v>717</v>
      </c>
      <c r="BH10" t="s">
        <v>1878</v>
      </c>
      <c r="BI10" t="s">
        <v>526</v>
      </c>
      <c r="BJ10" t="s">
        <v>985</v>
      </c>
      <c r="BK10" t="s">
        <v>1879</v>
      </c>
      <c r="BL10" t="s">
        <v>3512</v>
      </c>
      <c r="BM10" t="s">
        <v>1877</v>
      </c>
      <c r="BN10">
        <v>3.94</v>
      </c>
      <c r="BO10">
        <v>3.72</v>
      </c>
      <c r="BP10">
        <v>1.97</v>
      </c>
      <c r="BQ10">
        <v>4.6100000000000003</v>
      </c>
      <c r="BR10">
        <v>5.4</v>
      </c>
      <c r="BS10">
        <v>3.08</v>
      </c>
      <c r="BT10" t="s">
        <v>1350</v>
      </c>
      <c r="BU10" t="s">
        <v>1166</v>
      </c>
      <c r="BV10">
        <v>14.29</v>
      </c>
      <c r="BW10">
        <v>17.89</v>
      </c>
      <c r="BX10">
        <v>22.32</v>
      </c>
      <c r="BY10">
        <v>2.36</v>
      </c>
      <c r="BZ10">
        <v>4.75</v>
      </c>
      <c r="CA10">
        <v>3.84</v>
      </c>
      <c r="CB10">
        <v>12.11</v>
      </c>
      <c r="CC10">
        <v>11.36</v>
      </c>
      <c r="CD10" t="s">
        <v>206</v>
      </c>
      <c r="CE10" t="s">
        <v>352</v>
      </c>
      <c r="CF10" s="8">
        <v>-0.20418848167539266</v>
      </c>
      <c r="CG10" s="9">
        <v>-0.9531478513692212</v>
      </c>
      <c r="CH10" s="8">
        <v>-0.19338084757328033</v>
      </c>
      <c r="CI10" s="8">
        <v>0.46622258424758911</v>
      </c>
      <c r="CJ10" s="8">
        <v>-0.32280927896499634</v>
      </c>
      <c r="CK10" s="8">
        <v>2.0381370559334755E-2</v>
      </c>
      <c r="CL10" s="8">
        <v>-4.2191475629806519E-2</v>
      </c>
      <c r="CM10" s="9">
        <v>-0.59932047128677368</v>
      </c>
      <c r="CN10" s="9">
        <v>0.81079685688018799</v>
      </c>
      <c r="CO10" s="9">
        <v>-0.68185269832611084</v>
      </c>
      <c r="CP10" s="9">
        <v>0.39819797873497009</v>
      </c>
      <c r="CQ10" s="9">
        <v>0.25861814618110657</v>
      </c>
      <c r="CR10">
        <v>75.483814586646389</v>
      </c>
      <c r="CS10">
        <v>52.581700126530315</v>
      </c>
      <c r="CT10">
        <v>7.5018754688672168E-2</v>
      </c>
      <c r="CU10" s="8">
        <v>-1.4355529472231865E-2</v>
      </c>
      <c r="CV10" s="9">
        <v>3.7287962436676023E-2</v>
      </c>
      <c r="CW10">
        <v>0.06</v>
      </c>
      <c r="CX10">
        <v>166.15559292663292</v>
      </c>
      <c r="CY10" t="s">
        <v>3513</v>
      </c>
      <c r="CZ10">
        <v>-1.4355529472231865E-2</v>
      </c>
      <c r="DA10">
        <v>55.385197642210976</v>
      </c>
      <c r="DB10" t="s">
        <v>3514</v>
      </c>
      <c r="DC10">
        <v>-1.3637752998620271E-2</v>
      </c>
      <c r="DD10">
        <v>27.692598821105488</v>
      </c>
      <c r="DE10" t="s">
        <v>3515</v>
      </c>
      <c r="DF10">
        <v>-1.2632865935564041E-2</v>
      </c>
      <c r="DG10">
        <v>16.615559292663292</v>
      </c>
      <c r="DH10" t="s">
        <v>3516</v>
      </c>
      <c r="DI10">
        <v>-1.1484423577785494E-2</v>
      </c>
      <c r="DJ10">
        <v>8.307779646331646</v>
      </c>
      <c r="DK10" t="s">
        <v>3517</v>
      </c>
      <c r="DL10">
        <v>-1.0048870630562305E-2</v>
      </c>
      <c r="DM10">
        <v>29315600</v>
      </c>
      <c r="DN10">
        <v>-1.4355529472231865E-2</v>
      </c>
      <c r="DO10">
        <v>4870950900</v>
      </c>
      <c r="DP10">
        <v>1051573900</v>
      </c>
      <c r="DQ10">
        <v>740</v>
      </c>
      <c r="DR10">
        <v>-0.18983295220316079</v>
      </c>
      <c r="DS10">
        <v>-0.99043581380589718</v>
      </c>
      <c r="DT10" s="10">
        <v>-0.59</v>
      </c>
      <c r="DU10">
        <v>-0.35666666666666669</v>
      </c>
      <c r="DV10">
        <v>-0.94666666666666666</v>
      </c>
      <c r="DW10">
        <v>5.9380677126341865</v>
      </c>
      <c r="DX10">
        <v>0.43485596707818758</v>
      </c>
      <c r="DY10">
        <v>5.229691476961869</v>
      </c>
      <c r="DZ10">
        <v>3556</v>
      </c>
      <c r="EA10">
        <v>5.0697574859541525</v>
      </c>
      <c r="EB10">
        <v>5</v>
      </c>
      <c r="EC10">
        <v>0.29127511580878312</v>
      </c>
      <c r="ED10">
        <v>1.1895773637232656</v>
      </c>
      <c r="EE10" s="11">
        <v>2.0257100000000001</v>
      </c>
      <c r="EF10">
        <v>2.00421</v>
      </c>
      <c r="EG10">
        <v>19.244855967078188</v>
      </c>
      <c r="EH10" t="s">
        <v>1243</v>
      </c>
      <c r="EI10">
        <v>1</v>
      </c>
      <c r="EJ10">
        <v>0</v>
      </c>
      <c r="EK10" s="13">
        <v>45489</v>
      </c>
      <c r="EL10" s="14">
        <v>-2.4300000000000002</v>
      </c>
      <c r="EM10" s="14">
        <v>0.76</v>
      </c>
      <c r="EN10" s="14">
        <v>0.53</v>
      </c>
      <c r="EO10" s="14">
        <v>-1.51</v>
      </c>
      <c r="EP10" s="14">
        <v>2.15</v>
      </c>
    </row>
    <row r="11" spans="1:146" ht="96" x14ac:dyDescent="0.25">
      <c r="A11" s="7"/>
      <c r="B11" s="7"/>
      <c r="C11" s="7" t="str">
        <f>""&amp;CHAR(10)&amp;Basic_Fundamental_Information_Constructure(F11)&amp;CHAR(10)&amp;Basic_Fundamental_Information_Concatenate("")</f>
        <v xml:space="preserve">
市值27.035208亿, 利润-7841.00万; PE; 平均PE-84.58; 平均PEG-39.91, PB1.62; ROIC0%; ROE-4.9733%; 股利率0%; 毛利23.3533%; 净利-8.3967%; 上一年度营收增3.05%, 利润增23.87%; 当季营收增65.72%, 利润增73.64%; 过往5年营收增-2.12%, 利润增-18.48%
Income profile:
</v>
      </c>
      <c r="D11" t="s">
        <v>122</v>
      </c>
      <c r="E11" t="s">
        <v>36</v>
      </c>
      <c r="F11">
        <v>6.59</v>
      </c>
      <c r="G11">
        <v>2.0099999999999998</v>
      </c>
      <c r="H11" t="s">
        <v>3518</v>
      </c>
      <c r="I11">
        <v>2703520800</v>
      </c>
      <c r="K11">
        <v>1.62</v>
      </c>
      <c r="L11" t="s">
        <v>1166</v>
      </c>
      <c r="M11" t="s">
        <v>618</v>
      </c>
      <c r="N11" t="s">
        <v>1880</v>
      </c>
      <c r="O11" t="s">
        <v>259</v>
      </c>
      <c r="P11">
        <v>65.27</v>
      </c>
      <c r="Q11" t="s">
        <v>291</v>
      </c>
      <c r="R11">
        <v>-8428700</v>
      </c>
      <c r="S11" s="6">
        <v>0.73340000000000005</v>
      </c>
      <c r="T11" t="s">
        <v>1892</v>
      </c>
      <c r="U11">
        <v>395851410</v>
      </c>
      <c r="V11">
        <v>410245950</v>
      </c>
      <c r="W11">
        <v>1.57</v>
      </c>
      <c r="X11">
        <v>0.05</v>
      </c>
      <c r="Y11">
        <v>-7.12</v>
      </c>
      <c r="Z11" t="s">
        <v>174</v>
      </c>
      <c r="AA11" t="s">
        <v>465</v>
      </c>
      <c r="AB11" t="s">
        <v>1881</v>
      </c>
      <c r="AC11" t="s">
        <v>1882</v>
      </c>
      <c r="AD11" t="s">
        <v>60</v>
      </c>
      <c r="AE11">
        <v>2148173</v>
      </c>
      <c r="AF11" t="s">
        <v>1883</v>
      </c>
      <c r="AG11">
        <v>848.52</v>
      </c>
      <c r="AH11" t="s">
        <v>1884</v>
      </c>
      <c r="AI11" t="s">
        <v>1614</v>
      </c>
      <c r="AJ11" t="s">
        <v>1885</v>
      </c>
      <c r="AK11" t="s">
        <v>1886</v>
      </c>
      <c r="AL11" t="s">
        <v>1887</v>
      </c>
      <c r="AM11" t="s">
        <v>60</v>
      </c>
      <c r="AN11">
        <v>0</v>
      </c>
      <c r="AO11" t="s">
        <v>414</v>
      </c>
      <c r="AP11" t="s">
        <v>1888</v>
      </c>
      <c r="AQ11" t="s">
        <v>662</v>
      </c>
      <c r="AR11" t="s">
        <v>1889</v>
      </c>
      <c r="AS11" t="s">
        <v>844</v>
      </c>
      <c r="AT11" t="s">
        <v>60</v>
      </c>
      <c r="AU11" t="s">
        <v>1006</v>
      </c>
      <c r="AV11" t="s">
        <v>1890</v>
      </c>
      <c r="AW11" t="s">
        <v>1891</v>
      </c>
      <c r="AX11" t="s">
        <v>1318</v>
      </c>
      <c r="AY11" t="s">
        <v>754</v>
      </c>
      <c r="AZ11" t="s">
        <v>346</v>
      </c>
      <c r="BA11" t="s">
        <v>266</v>
      </c>
      <c r="BB11" t="s">
        <v>726</v>
      </c>
      <c r="BC11" t="s">
        <v>1379</v>
      </c>
      <c r="BD11" t="s">
        <v>1085</v>
      </c>
      <c r="BE11" t="s">
        <v>181</v>
      </c>
      <c r="BF11" t="s">
        <v>267</v>
      </c>
      <c r="BG11" t="s">
        <v>336</v>
      </c>
      <c r="BH11" t="s">
        <v>291</v>
      </c>
      <c r="BI11" t="s">
        <v>3519</v>
      </c>
      <c r="BJ11" t="s">
        <v>1318</v>
      </c>
      <c r="BK11" t="s">
        <v>1892</v>
      </c>
      <c r="BL11" t="s">
        <v>3520</v>
      </c>
      <c r="BM11" t="s">
        <v>1379</v>
      </c>
      <c r="BN11" t="s">
        <v>60</v>
      </c>
      <c r="BO11" t="s">
        <v>60</v>
      </c>
      <c r="BP11" t="s">
        <v>60</v>
      </c>
      <c r="BQ11">
        <v>-4.49</v>
      </c>
      <c r="BR11">
        <v>-5.7</v>
      </c>
      <c r="BS11">
        <v>-4.7300000000000004</v>
      </c>
      <c r="BT11" t="s">
        <v>1343</v>
      </c>
      <c r="BU11" t="s">
        <v>1166</v>
      </c>
      <c r="BV11">
        <v>24.38</v>
      </c>
      <c r="BW11">
        <v>21.93</v>
      </c>
      <c r="BX11">
        <v>23.75</v>
      </c>
      <c r="BY11">
        <v>-6.94</v>
      </c>
      <c r="BZ11">
        <v>-9.98</v>
      </c>
      <c r="CA11">
        <v>-8.27</v>
      </c>
      <c r="CB11">
        <v>0.61</v>
      </c>
      <c r="CC11">
        <v>0.61</v>
      </c>
      <c r="CD11" t="s">
        <v>3521</v>
      </c>
      <c r="CE11" t="s">
        <v>3522</v>
      </c>
      <c r="CF11" s="8">
        <v>0.65722162315900035</v>
      </c>
      <c r="CG11" s="9">
        <v>0.73644334377716492</v>
      </c>
      <c r="CH11" s="8">
        <v>3.0518820509314537E-2</v>
      </c>
      <c r="CI11" s="8">
        <v>-2.3833168670535088E-2</v>
      </c>
      <c r="CJ11" s="8">
        <v>-0.3610406219959259</v>
      </c>
      <c r="CK11" s="8">
        <v>7.9452052712440491E-2</v>
      </c>
      <c r="CL11" s="8">
        <v>0.16893520951271057</v>
      </c>
      <c r="CM11" s="9">
        <v>0.23873786628246307</v>
      </c>
      <c r="CN11" s="9">
        <v>-0.13963650166988373</v>
      </c>
      <c r="CO11" s="9">
        <v>0.53651440143585205</v>
      </c>
      <c r="CP11" s="9">
        <v>-2.153846263885498</v>
      </c>
      <c r="CQ11" s="9">
        <v>0.59433960914611816</v>
      </c>
      <c r="CR11">
        <v>-84.577663972569951</v>
      </c>
      <c r="CS11">
        <v>-39.907281955578171</v>
      </c>
      <c r="CT11">
        <v>0</v>
      </c>
      <c r="CU11" s="8">
        <v>-2.1193541586399078E-2</v>
      </c>
      <c r="CV11" s="9">
        <v>-0.18477817773818969</v>
      </c>
      <c r="CW11">
        <v>0.06</v>
      </c>
      <c r="CX11" t="e">
        <v>#VALUE!</v>
      </c>
      <c r="CY11" t="s">
        <v>1223</v>
      </c>
      <c r="CZ11">
        <v>-2.1193541586399078E-2</v>
      </c>
      <c r="DA11" t="e">
        <v>#VALUE!</v>
      </c>
      <c r="DB11" t="s">
        <v>1224</v>
      </c>
      <c r="DC11">
        <v>-2.0133864507079123E-2</v>
      </c>
      <c r="DD11" t="e">
        <v>#VALUE!</v>
      </c>
      <c r="DE11" t="s">
        <v>1224</v>
      </c>
      <c r="DF11">
        <v>-1.865031659603119E-2</v>
      </c>
      <c r="DG11" t="e">
        <v>#VALUE!</v>
      </c>
      <c r="DH11" t="s">
        <v>1224</v>
      </c>
      <c r="DI11">
        <v>-1.6954833269119264E-2</v>
      </c>
      <c r="DJ11" t="e">
        <v>#VALUE!</v>
      </c>
      <c r="DK11" t="s">
        <v>1224</v>
      </c>
      <c r="DL11">
        <v>-1.4835479110479353E-2</v>
      </c>
      <c r="DM11">
        <v>-78410000</v>
      </c>
      <c r="DN11">
        <v>-2.1193541586399078E-2</v>
      </c>
      <c r="DO11">
        <v>2007520800.0000002</v>
      </c>
      <c r="DP11">
        <v>1300849900</v>
      </c>
      <c r="DQ11">
        <v>837</v>
      </c>
      <c r="DR11">
        <v>0.67841516474539942</v>
      </c>
      <c r="DS11">
        <v>0.92122152151535464</v>
      </c>
      <c r="DT11" s="10">
        <v>-0.47333333333333338</v>
      </c>
      <c r="DU11">
        <v>-1.7383333333333333</v>
      </c>
      <c r="DV11">
        <v>-2.2116666666666669</v>
      </c>
      <c r="DW11">
        <v>6.0999999999999995E-3</v>
      </c>
      <c r="DX11">
        <v>0.28325611888112051</v>
      </c>
      <c r="DY11">
        <v>5.0786232517482509E-4</v>
      </c>
      <c r="DZ11">
        <v>4510</v>
      </c>
      <c r="EA11">
        <v>5.9368280424783741E-5</v>
      </c>
      <c r="EB11">
        <v>0</v>
      </c>
      <c r="EC11">
        <v>0.11608280349873046</v>
      </c>
      <c r="ED11">
        <v>1.3942855499243807</v>
      </c>
      <c r="EE11" s="11">
        <v>6.9909999999999986E-2</v>
      </c>
      <c r="EF11">
        <v>4.9810000000000014E-2</v>
      </c>
      <c r="EG11">
        <v>20.08325611888112</v>
      </c>
      <c r="EH11">
        <v>-1</v>
      </c>
      <c r="EI11">
        <v>0</v>
      </c>
      <c r="EJ11">
        <v>0</v>
      </c>
      <c r="EK11" s="13">
        <v>45489</v>
      </c>
      <c r="EL11" s="14">
        <v>-1.6</v>
      </c>
      <c r="EM11" s="14">
        <v>2.14</v>
      </c>
      <c r="EN11" s="14">
        <v>0.15</v>
      </c>
      <c r="EO11" s="14">
        <v>-3.58</v>
      </c>
      <c r="EP11" s="14">
        <v>2.0099999999999998</v>
      </c>
    </row>
    <row r="12" spans="1:146" ht="108" x14ac:dyDescent="0.25">
      <c r="A12" s="7"/>
      <c r="B12" s="7"/>
      <c r="C12" s="7" t="str">
        <f>""&amp;CHAR(10)&amp;Basic_Fundamental_Information_Constructure(F12)&amp;CHAR(10)&amp;Basic_Fundamental_Information_Concatenate("")</f>
        <v xml:space="preserve">
市值109.065475亿, 利润3.75亿; PE29.95; 平均PE30.52; 平均PEG3.12, PB2.11; ROIC6.2733%; ROE7.5933%; 股利率1.0343%; 毛利21.3133%; 净利4%; 上一年度营收增-13.26%, 利润增-.27%; 当季营收增-9.92%, 利润增-40.48%; 过往5年营收增9.8%, 利润增3.56%
Income profile:
</v>
      </c>
      <c r="D12" t="s">
        <v>101</v>
      </c>
      <c r="E12" t="s">
        <v>11</v>
      </c>
      <c r="F12">
        <v>17.5</v>
      </c>
      <c r="G12">
        <v>-2.67</v>
      </c>
      <c r="H12" t="s">
        <v>3523</v>
      </c>
      <c r="I12">
        <v>10906547500</v>
      </c>
      <c r="J12">
        <v>29.95</v>
      </c>
      <c r="K12">
        <v>2.11</v>
      </c>
      <c r="L12" t="s">
        <v>1166</v>
      </c>
      <c r="M12" t="s">
        <v>1893</v>
      </c>
      <c r="N12" t="s">
        <v>1894</v>
      </c>
      <c r="O12" t="s">
        <v>1895</v>
      </c>
      <c r="P12">
        <v>-9.9499999999999993</v>
      </c>
      <c r="Q12" t="s">
        <v>1908</v>
      </c>
      <c r="R12">
        <v>16329728</v>
      </c>
      <c r="S12" s="5">
        <v>-0.40479999999999999</v>
      </c>
      <c r="T12" t="s">
        <v>551</v>
      </c>
      <c r="U12">
        <v>620216480</v>
      </c>
      <c r="V12">
        <v>623231290</v>
      </c>
      <c r="W12">
        <v>2.89</v>
      </c>
      <c r="X12">
        <v>0.1</v>
      </c>
      <c r="Y12">
        <v>0.99</v>
      </c>
      <c r="Z12" t="s">
        <v>959</v>
      </c>
      <c r="AA12" t="s">
        <v>1896</v>
      </c>
      <c r="AB12" t="s">
        <v>1897</v>
      </c>
      <c r="AC12" t="s">
        <v>261</v>
      </c>
      <c r="AD12" t="s">
        <v>60</v>
      </c>
      <c r="AE12">
        <v>4839299</v>
      </c>
      <c r="AF12" t="s">
        <v>1898</v>
      </c>
      <c r="AG12" t="s">
        <v>1899</v>
      </c>
      <c r="AH12" t="s">
        <v>1900</v>
      </c>
      <c r="AI12" t="s">
        <v>1410</v>
      </c>
      <c r="AJ12" t="s">
        <v>1901</v>
      </c>
      <c r="AK12" t="s">
        <v>1902</v>
      </c>
      <c r="AL12" t="s">
        <v>1903</v>
      </c>
      <c r="AM12" t="s">
        <v>60</v>
      </c>
      <c r="AN12" t="s">
        <v>528</v>
      </c>
      <c r="AO12" t="s">
        <v>1602</v>
      </c>
      <c r="AP12" t="s">
        <v>820</v>
      </c>
      <c r="AQ12" t="s">
        <v>1904</v>
      </c>
      <c r="AR12" t="s">
        <v>60</v>
      </c>
      <c r="AS12" t="s">
        <v>1905</v>
      </c>
      <c r="AT12" t="s">
        <v>373</v>
      </c>
      <c r="AU12" t="s">
        <v>1906</v>
      </c>
      <c r="AV12" t="s">
        <v>1907</v>
      </c>
      <c r="AW12" t="s">
        <v>473</v>
      </c>
      <c r="AX12" t="s">
        <v>1382</v>
      </c>
      <c r="AY12" t="s">
        <v>1086</v>
      </c>
      <c r="AZ12" t="s">
        <v>730</v>
      </c>
      <c r="BA12" t="s">
        <v>284</v>
      </c>
      <c r="BB12" t="s">
        <v>731</v>
      </c>
      <c r="BC12" t="s">
        <v>184</v>
      </c>
      <c r="BD12" t="s">
        <v>719</v>
      </c>
      <c r="BE12" t="s">
        <v>495</v>
      </c>
      <c r="BF12" t="s">
        <v>285</v>
      </c>
      <c r="BG12" t="s">
        <v>682</v>
      </c>
      <c r="BH12" t="s">
        <v>1908</v>
      </c>
      <c r="BI12" t="s">
        <v>1010</v>
      </c>
      <c r="BJ12" t="s">
        <v>1382</v>
      </c>
      <c r="BK12" t="s">
        <v>551</v>
      </c>
      <c r="BL12" t="s">
        <v>3524</v>
      </c>
      <c r="BM12" t="s">
        <v>184</v>
      </c>
      <c r="BN12">
        <v>2.34</v>
      </c>
      <c r="BO12">
        <v>7.9</v>
      </c>
      <c r="BP12">
        <v>8.58</v>
      </c>
      <c r="BQ12">
        <v>2.82</v>
      </c>
      <c r="BR12">
        <v>9.76</v>
      </c>
      <c r="BS12">
        <v>10.199999999999999</v>
      </c>
      <c r="BT12" t="s">
        <v>1909</v>
      </c>
      <c r="BU12" t="s">
        <v>1166</v>
      </c>
      <c r="BV12">
        <v>23.48</v>
      </c>
      <c r="BW12">
        <v>20.16</v>
      </c>
      <c r="BX12">
        <v>20.3</v>
      </c>
      <c r="BY12">
        <v>4.46</v>
      </c>
      <c r="BZ12">
        <v>3.79</v>
      </c>
      <c r="CA12">
        <v>3.75</v>
      </c>
      <c r="CB12">
        <v>-15.54</v>
      </c>
      <c r="CC12">
        <v>-15.54</v>
      </c>
      <c r="CD12" t="s">
        <v>3525</v>
      </c>
      <c r="CE12" t="s">
        <v>329</v>
      </c>
      <c r="CF12" s="8">
        <v>-9.9186991869918695E-2</v>
      </c>
      <c r="CG12" s="9">
        <v>-0.4047891759491456</v>
      </c>
      <c r="CH12" s="8">
        <v>-0.13262900710105896</v>
      </c>
      <c r="CI12" s="8">
        <v>9.1385059058666229E-3</v>
      </c>
      <c r="CJ12" s="8">
        <v>0.23110273480415344</v>
      </c>
      <c r="CK12" s="8">
        <v>0.20812687277793884</v>
      </c>
      <c r="CL12" s="8">
        <v>0.17403592169284821</v>
      </c>
      <c r="CM12" s="9">
        <v>-2.6595743838697672E-3</v>
      </c>
      <c r="CN12" s="9">
        <v>8.0428952351212502E-3</v>
      </c>
      <c r="CO12" s="9">
        <v>1.0840108618140221E-2</v>
      </c>
      <c r="CP12" s="9">
        <v>0.10149253904819489</v>
      </c>
      <c r="CQ12" s="9">
        <v>6.0126584023237228E-2</v>
      </c>
      <c r="CR12">
        <v>30.522054570895524</v>
      </c>
      <c r="CS12">
        <v>3.1159259681493743</v>
      </c>
      <c r="CT12">
        <v>1.0342857142857143</v>
      </c>
      <c r="CU12" s="8">
        <v>9.7955005615949636E-2</v>
      </c>
      <c r="CV12" s="9">
        <v>3.5568510508164765E-2</v>
      </c>
      <c r="CW12">
        <v>0.06</v>
      </c>
      <c r="CX12">
        <v>41.486631085681864</v>
      </c>
      <c r="CY12">
        <v>388427478.401869</v>
      </c>
      <c r="CZ12">
        <v>9.7955005615949636E-2</v>
      </c>
      <c r="DA12">
        <v>13.466507760038278</v>
      </c>
      <c r="DB12">
        <v>1196638934.6924636</v>
      </c>
      <c r="DC12">
        <v>9.3057255335152148E-2</v>
      </c>
      <c r="DD12">
        <v>6.569672857435612</v>
      </c>
      <c r="DE12">
        <v>2452869092.5243587</v>
      </c>
      <c r="DF12">
        <v>8.620040494203568E-2</v>
      </c>
      <c r="DG12">
        <v>3.9050905833956904</v>
      </c>
      <c r="DH12">
        <v>4126548963.6830697</v>
      </c>
      <c r="DI12">
        <v>7.8364004492759709E-2</v>
      </c>
      <c r="DJ12">
        <v>1.9723122042386783</v>
      </c>
      <c r="DK12">
        <v>8170383707.6951466</v>
      </c>
      <c r="DL12">
        <v>6.8568503931164745E-2</v>
      </c>
      <c r="DM12">
        <v>375000000</v>
      </c>
      <c r="DN12">
        <v>9.7955005615949636E-2</v>
      </c>
      <c r="DO12">
        <v>16114547500</v>
      </c>
      <c r="DP12">
        <v>2034870000</v>
      </c>
      <c r="DQ12">
        <v>873</v>
      </c>
      <c r="DR12">
        <v>-0.19714199748586833</v>
      </c>
      <c r="DS12">
        <v>-0.44035768645731038</v>
      </c>
      <c r="DT12" s="10">
        <v>-9.000000000000008E-2</v>
      </c>
      <c r="DU12">
        <v>-0.22</v>
      </c>
      <c r="DV12">
        <v>-0.31000000000000005</v>
      </c>
      <c r="DW12">
        <v>-5.9999000000000002</v>
      </c>
      <c r="DX12">
        <v>0.61627340181268975</v>
      </c>
      <c r="DY12">
        <v>-5.2662467744725072</v>
      </c>
      <c r="DZ12">
        <v>2561</v>
      </c>
      <c r="EA12">
        <v>-5.1327323845324075</v>
      </c>
      <c r="EB12">
        <v>5</v>
      </c>
      <c r="EC12">
        <v>0.14141860560306591</v>
      </c>
      <c r="ED12">
        <v>0.5311029874639317</v>
      </c>
      <c r="EE12" s="11">
        <v>-2.0886100000000001</v>
      </c>
      <c r="EF12">
        <v>-2.11531</v>
      </c>
      <c r="EG12">
        <v>35.26627340181269</v>
      </c>
      <c r="EH12" t="s">
        <v>1399</v>
      </c>
      <c r="EI12">
        <v>0</v>
      </c>
      <c r="EJ12">
        <v>0</v>
      </c>
      <c r="EK12" s="13">
        <v>45489</v>
      </c>
      <c r="EL12" s="14">
        <v>-1.71</v>
      </c>
      <c r="EM12" s="14">
        <v>4.29</v>
      </c>
      <c r="EN12" s="14">
        <v>-6.59</v>
      </c>
      <c r="EO12" s="14">
        <v>-10.01</v>
      </c>
      <c r="EP12" s="14">
        <v>-2.67</v>
      </c>
    </row>
    <row r="13" spans="1:146" ht="108" x14ac:dyDescent="0.25">
      <c r="A13" s="7"/>
      <c r="B13" s="7"/>
      <c r="C13" s="7" t="str">
        <f>""&amp;CHAR(10)&amp;Basic_Fundamental_Information_Constructure(F13)&amp;CHAR(10)&amp;Basic_Fundamental_Information_Concatenate("")</f>
        <v xml:space="preserve">
市值144.58722亿, 利润5.42亿; PE44.22; 平均PE23.83; 平均PEG7.08, PB1.16; ROIC3.825%; ROE1.5567%; 股利率.5464%; 毛利30.7667%; 净利2.7933%; 上一年度营收增11.3%, 利润增212.22%; 当季营收增.77%, 利润增-92.09%; 过往5年营收增3.37%, 利润增10.39%
Income profile:
</v>
      </c>
      <c r="D13" t="s">
        <v>123</v>
      </c>
      <c r="E13" t="s">
        <v>44</v>
      </c>
      <c r="F13">
        <v>9.15</v>
      </c>
      <c r="G13">
        <v>0.11</v>
      </c>
      <c r="H13" t="s">
        <v>3526</v>
      </c>
      <c r="I13">
        <v>14458722000</v>
      </c>
      <c r="J13">
        <v>44.22</v>
      </c>
      <c r="K13">
        <v>1.1599999999999999</v>
      </c>
      <c r="L13" t="s">
        <v>1166</v>
      </c>
      <c r="M13" t="s">
        <v>1910</v>
      </c>
      <c r="N13" t="s">
        <v>1911</v>
      </c>
      <c r="O13" t="s">
        <v>273</v>
      </c>
      <c r="P13">
        <v>0.74</v>
      </c>
      <c r="Q13" t="s">
        <v>1925</v>
      </c>
      <c r="R13">
        <v>12500000</v>
      </c>
      <c r="S13" s="5">
        <v>-1.367</v>
      </c>
      <c r="T13" t="s">
        <v>467</v>
      </c>
      <c r="U13">
        <v>1377588500</v>
      </c>
      <c r="V13">
        <v>1580188200</v>
      </c>
      <c r="W13">
        <v>1.44</v>
      </c>
      <c r="X13">
        <v>0.08</v>
      </c>
      <c r="Y13">
        <v>-3.81</v>
      </c>
      <c r="Z13" t="s">
        <v>1371</v>
      </c>
      <c r="AA13" t="s">
        <v>1453</v>
      </c>
      <c r="AB13" t="s">
        <v>213</v>
      </c>
      <c r="AC13" t="s">
        <v>1912</v>
      </c>
      <c r="AD13" t="s">
        <v>60</v>
      </c>
      <c r="AE13">
        <v>-25379911</v>
      </c>
      <c r="AF13" t="s">
        <v>1913</v>
      </c>
      <c r="AG13" t="s">
        <v>1914</v>
      </c>
      <c r="AH13" t="s">
        <v>1915</v>
      </c>
      <c r="AI13" t="s">
        <v>1916</v>
      </c>
      <c r="AJ13" t="s">
        <v>1917</v>
      </c>
      <c r="AK13" t="s">
        <v>1918</v>
      </c>
      <c r="AL13" t="s">
        <v>1919</v>
      </c>
      <c r="AM13" t="s">
        <v>60</v>
      </c>
      <c r="AN13" t="s">
        <v>1920</v>
      </c>
      <c r="AO13" t="s">
        <v>1657</v>
      </c>
      <c r="AP13" t="s">
        <v>204</v>
      </c>
      <c r="AQ13" t="s">
        <v>1921</v>
      </c>
      <c r="AR13" t="s">
        <v>60</v>
      </c>
      <c r="AS13" t="s">
        <v>1922</v>
      </c>
      <c r="AT13" t="s">
        <v>60</v>
      </c>
      <c r="AU13" t="s">
        <v>1923</v>
      </c>
      <c r="AV13" t="s">
        <v>1924</v>
      </c>
      <c r="AW13" t="s">
        <v>297</v>
      </c>
      <c r="AX13" t="s">
        <v>1299</v>
      </c>
      <c r="AY13" t="s">
        <v>1087</v>
      </c>
      <c r="AZ13" t="s">
        <v>732</v>
      </c>
      <c r="BA13" t="s">
        <v>290</v>
      </c>
      <c r="BB13" t="s">
        <v>734</v>
      </c>
      <c r="BC13" t="s">
        <v>1384</v>
      </c>
      <c r="BD13" t="s">
        <v>468</v>
      </c>
      <c r="BE13" t="s">
        <v>733</v>
      </c>
      <c r="BF13" t="s">
        <v>291</v>
      </c>
      <c r="BG13" t="s">
        <v>257</v>
      </c>
      <c r="BH13" t="s">
        <v>1925</v>
      </c>
      <c r="BI13" t="s">
        <v>3527</v>
      </c>
      <c r="BJ13" t="s">
        <v>1299</v>
      </c>
      <c r="BK13" t="s">
        <v>467</v>
      </c>
      <c r="BL13" t="s">
        <v>438</v>
      </c>
      <c r="BM13" t="s">
        <v>1384</v>
      </c>
      <c r="BN13">
        <v>1.69</v>
      </c>
      <c r="BO13" t="s">
        <v>60</v>
      </c>
      <c r="BP13">
        <v>5.96</v>
      </c>
      <c r="BQ13">
        <v>2.65</v>
      </c>
      <c r="BR13">
        <v>-3.95</v>
      </c>
      <c r="BS13">
        <v>5.97</v>
      </c>
      <c r="BT13" t="s">
        <v>1345</v>
      </c>
      <c r="BU13" t="s">
        <v>1166</v>
      </c>
      <c r="BV13">
        <v>34.47</v>
      </c>
      <c r="BW13">
        <v>29.45</v>
      </c>
      <c r="BX13">
        <v>28.38</v>
      </c>
      <c r="BY13">
        <v>7.33</v>
      </c>
      <c r="BZ13">
        <v>-6.82</v>
      </c>
      <c r="CA13">
        <v>7.87</v>
      </c>
      <c r="CB13">
        <v>9.84</v>
      </c>
      <c r="CC13">
        <v>0.88</v>
      </c>
      <c r="CD13" t="s">
        <v>285</v>
      </c>
      <c r="CE13" t="s">
        <v>1050</v>
      </c>
      <c r="CF13" s="8">
        <v>7.6530612244897957E-3</v>
      </c>
      <c r="CG13" s="9">
        <v>-0.92088607594936711</v>
      </c>
      <c r="CH13" s="8">
        <v>0.1129516065120697</v>
      </c>
      <c r="CI13" s="8">
        <v>-0.31884059309959412</v>
      </c>
      <c r="CJ13" s="8">
        <v>9.1517165303230286E-2</v>
      </c>
      <c r="CK13" s="8">
        <v>7.9912856221199036E-2</v>
      </c>
      <c r="CL13" s="8">
        <v>0.20286858081817627</v>
      </c>
      <c r="CM13" s="9">
        <v>2.1221532821655273</v>
      </c>
      <c r="CN13" s="9">
        <v>-1.6671271324157715</v>
      </c>
      <c r="CO13" s="9">
        <v>-0.33024972677230835</v>
      </c>
      <c r="CP13" s="9">
        <v>6.7127279937267303E-2</v>
      </c>
      <c r="CQ13" s="9">
        <v>0.32765400409698486</v>
      </c>
      <c r="CR13">
        <v>23.833058241758245</v>
      </c>
      <c r="CS13">
        <v>7.0759196661367492</v>
      </c>
      <c r="CT13">
        <v>0.54644808743169393</v>
      </c>
      <c r="CU13" s="8">
        <v>3.3681923151016237E-2</v>
      </c>
      <c r="CV13" s="9">
        <v>0.10391154140233994</v>
      </c>
      <c r="CW13">
        <v>0.06</v>
      </c>
      <c r="CX13">
        <v>15.441925584937778</v>
      </c>
      <c r="CY13">
        <v>528543021.08287805</v>
      </c>
      <c r="CZ13">
        <v>3.3681923151016237E-2</v>
      </c>
      <c r="DA13">
        <v>5.2943380291635895</v>
      </c>
      <c r="DB13">
        <v>1541594426.922039</v>
      </c>
      <c r="DC13">
        <v>3.1997826993465421E-2</v>
      </c>
      <c r="DD13">
        <v>2.7750322599587882</v>
      </c>
      <c r="DE13">
        <v>2941126889.8622503</v>
      </c>
      <c r="DF13">
        <v>2.9640092372894288E-2</v>
      </c>
      <c r="DG13">
        <v>1.785079501808607</v>
      </c>
      <c r="DH13">
        <v>4572189637.3414783</v>
      </c>
      <c r="DI13">
        <v>2.6945538520812991E-2</v>
      </c>
      <c r="DJ13">
        <v>1.0651377859720488</v>
      </c>
      <c r="DK13">
        <v>7662597372.3686676</v>
      </c>
      <c r="DL13">
        <v>2.3577346205711364E-2</v>
      </c>
      <c r="DM13">
        <v>542000000</v>
      </c>
      <c r="DN13">
        <v>3.3681923151016237E-2</v>
      </c>
      <c r="DO13">
        <v>8161722000.0000019</v>
      </c>
      <c r="DP13">
        <v>5194551700</v>
      </c>
      <c r="DQ13">
        <v>878</v>
      </c>
      <c r="DR13">
        <v>-2.6028861926526439E-2</v>
      </c>
      <c r="DS13">
        <v>-1.024797617351707</v>
      </c>
      <c r="DT13" s="10">
        <v>-0.49</v>
      </c>
      <c r="DU13">
        <v>-0.89</v>
      </c>
      <c r="DV13">
        <v>-1.38</v>
      </c>
      <c r="DW13">
        <v>5.0894308943089435</v>
      </c>
      <c r="DX13">
        <v>0.2930371900826455</v>
      </c>
      <c r="DY13">
        <v>5.0154748706577976</v>
      </c>
      <c r="DZ13">
        <v>3943</v>
      </c>
      <c r="EA13">
        <v>5.00352707057875</v>
      </c>
      <c r="EB13">
        <v>5</v>
      </c>
      <c r="EC13">
        <v>0.21200006429613891</v>
      </c>
      <c r="ED13">
        <v>1.2251705208278356</v>
      </c>
      <c r="EE13" s="11">
        <v>4.1042100000000001</v>
      </c>
      <c r="EF13">
        <v>4.10311</v>
      </c>
      <c r="EG13">
        <v>12.173037190082646</v>
      </c>
      <c r="EH13" t="s">
        <v>1489</v>
      </c>
      <c r="EI13">
        <v>1</v>
      </c>
      <c r="EJ13">
        <v>0</v>
      </c>
      <c r="EK13" s="13">
        <v>45489</v>
      </c>
      <c r="EL13" s="14">
        <v>-1.41</v>
      </c>
      <c r="EM13" s="14">
        <v>-0.77</v>
      </c>
      <c r="EN13" s="14">
        <v>1.99</v>
      </c>
      <c r="EO13" s="14">
        <v>-0.98</v>
      </c>
      <c r="EP13" s="14">
        <v>0.11</v>
      </c>
    </row>
    <row r="14" spans="1:146" ht="108" x14ac:dyDescent="0.25">
      <c r="A14" s="7"/>
      <c r="B14" s="7"/>
      <c r="C14" s="7" t="str">
        <f>""&amp;CHAR(10)&amp;Basic_Fundamental_Information_Constructure(F14)&amp;CHAR(10)&amp;Basic_Fundamental_Information_Concatenate("")</f>
        <v xml:space="preserve">
市值42.574519亿, 利润1.61亿; PE22.01; 平均PE191.74; 平均PEG10.21, PB2.11; ROIC3.01%; ROE-5.1033%; 股利率0%; 毛利34.1867%; 净利-10.0467%; 上一年度营收增21.92%, 利润增137.1%; 当季营收增30.14%, 利润增322.18%; 过往5年营收增18.78%, 利润增-236.89%
Income profile:
</v>
      </c>
      <c r="D14" t="s">
        <v>1020</v>
      </c>
      <c r="E14" t="s">
        <v>1021</v>
      </c>
      <c r="F14">
        <v>17.739999999999998</v>
      </c>
      <c r="G14">
        <v>-1.77</v>
      </c>
      <c r="H14" t="s">
        <v>3528</v>
      </c>
      <c r="I14">
        <v>4257451900</v>
      </c>
      <c r="J14">
        <v>22.01</v>
      </c>
      <c r="K14">
        <v>2.11</v>
      </c>
      <c r="L14" t="s">
        <v>1166</v>
      </c>
      <c r="M14" t="s">
        <v>485</v>
      </c>
      <c r="N14" t="s">
        <v>1926</v>
      </c>
      <c r="O14" t="s">
        <v>620</v>
      </c>
      <c r="P14">
        <v>30.08</v>
      </c>
      <c r="Q14" t="s">
        <v>1940</v>
      </c>
      <c r="R14">
        <v>42800633</v>
      </c>
      <c r="S14" s="5">
        <v>3.222</v>
      </c>
      <c r="T14" t="s">
        <v>360</v>
      </c>
      <c r="U14">
        <v>141751890</v>
      </c>
      <c r="V14">
        <v>239991650</v>
      </c>
      <c r="W14">
        <v>1.7</v>
      </c>
      <c r="X14">
        <v>0.11</v>
      </c>
      <c r="Y14">
        <v>11.46</v>
      </c>
      <c r="Z14" t="s">
        <v>303</v>
      </c>
      <c r="AA14" t="s">
        <v>522</v>
      </c>
      <c r="AB14" t="s">
        <v>1927</v>
      </c>
      <c r="AC14" t="s">
        <v>1928</v>
      </c>
      <c r="AD14" t="s">
        <v>60</v>
      </c>
      <c r="AE14">
        <v>-135622</v>
      </c>
      <c r="AF14" t="s">
        <v>1929</v>
      </c>
      <c r="AG14" t="s">
        <v>1930</v>
      </c>
      <c r="AH14" t="s">
        <v>1931</v>
      </c>
      <c r="AI14" t="s">
        <v>628</v>
      </c>
      <c r="AJ14" t="s">
        <v>1932</v>
      </c>
      <c r="AK14" t="s">
        <v>681</v>
      </c>
      <c r="AL14" t="s">
        <v>1933</v>
      </c>
      <c r="AM14" t="s">
        <v>60</v>
      </c>
      <c r="AN14" t="s">
        <v>1934</v>
      </c>
      <c r="AO14" t="s">
        <v>1935</v>
      </c>
      <c r="AP14" t="s">
        <v>1936</v>
      </c>
      <c r="AQ14" t="s">
        <v>332</v>
      </c>
      <c r="AR14" t="s">
        <v>1937</v>
      </c>
      <c r="AS14" t="s">
        <v>924</v>
      </c>
      <c r="AT14" t="s">
        <v>60</v>
      </c>
      <c r="AU14" t="s">
        <v>1938</v>
      </c>
      <c r="AV14" t="s">
        <v>1681</v>
      </c>
      <c r="AW14" t="s">
        <v>1939</v>
      </c>
      <c r="AX14" t="s">
        <v>484</v>
      </c>
      <c r="AY14" t="s">
        <v>866</v>
      </c>
      <c r="AZ14" t="s">
        <v>816</v>
      </c>
      <c r="BA14" t="s">
        <v>396</v>
      </c>
      <c r="BB14" t="s">
        <v>250</v>
      </c>
      <c r="BC14" t="s">
        <v>1314</v>
      </c>
      <c r="BD14" t="s">
        <v>1088</v>
      </c>
      <c r="BE14" t="s">
        <v>248</v>
      </c>
      <c r="BF14" t="s">
        <v>207</v>
      </c>
      <c r="BG14" t="s">
        <v>279</v>
      </c>
      <c r="BH14" t="s">
        <v>1940</v>
      </c>
      <c r="BI14" t="s">
        <v>319</v>
      </c>
      <c r="BJ14" t="s">
        <v>484</v>
      </c>
      <c r="BK14" t="s">
        <v>360</v>
      </c>
      <c r="BL14" t="s">
        <v>3529</v>
      </c>
      <c r="BM14" t="s">
        <v>1314</v>
      </c>
      <c r="BN14">
        <v>4.9800000000000004</v>
      </c>
      <c r="BO14" t="s">
        <v>60</v>
      </c>
      <c r="BP14">
        <v>1.04</v>
      </c>
      <c r="BQ14">
        <v>5.28</v>
      </c>
      <c r="BR14">
        <v>-22.26</v>
      </c>
      <c r="BS14">
        <v>1.67</v>
      </c>
      <c r="BT14" t="s">
        <v>1343</v>
      </c>
      <c r="BU14" t="s">
        <v>1166</v>
      </c>
      <c r="BV14">
        <v>39.21</v>
      </c>
      <c r="BW14">
        <v>31.52</v>
      </c>
      <c r="BX14">
        <v>31.83</v>
      </c>
      <c r="BY14">
        <v>11.67</v>
      </c>
      <c r="BZ14">
        <v>-44.63</v>
      </c>
      <c r="CA14">
        <v>2.82</v>
      </c>
      <c r="CB14">
        <v>-6.39</v>
      </c>
      <c r="CC14">
        <v>-6.88</v>
      </c>
      <c r="CD14" t="s">
        <v>3530</v>
      </c>
      <c r="CE14" t="s">
        <v>656</v>
      </c>
      <c r="CF14" s="8">
        <v>0.30141843971631205</v>
      </c>
      <c r="CG14" s="9">
        <v>3.2217607835787772</v>
      </c>
      <c r="CH14" s="8">
        <v>0.21923749148845673</v>
      </c>
      <c r="CI14" s="8">
        <v>1.2280701659619808E-2</v>
      </c>
      <c r="CJ14" s="8">
        <v>0.34911242127418518</v>
      </c>
      <c r="CK14" s="8">
        <v>0.12666666507720947</v>
      </c>
      <c r="CL14" s="8">
        <v>0.23152709007263184</v>
      </c>
      <c r="CM14" s="9">
        <v>1.3709677457809448</v>
      </c>
      <c r="CN14" s="9">
        <v>-12.659395217895508</v>
      </c>
      <c r="CO14" s="9">
        <v>-0.71366769075393677</v>
      </c>
      <c r="CP14" s="9">
        <v>2.3622047156095505E-2</v>
      </c>
      <c r="CQ14" s="9">
        <v>0.1339285671710968</v>
      </c>
      <c r="CR14">
        <v>191.74371580925845</v>
      </c>
      <c r="CS14">
        <v>10.2119055503774</v>
      </c>
      <c r="CT14">
        <v>0</v>
      </c>
      <c r="CU14" s="8">
        <v>0.18776487391442059</v>
      </c>
      <c r="CV14" s="9">
        <v>-2.3689089097082614</v>
      </c>
      <c r="CW14">
        <v>0.06</v>
      </c>
      <c r="CX14">
        <v>20.029577554336072</v>
      </c>
      <c r="CY14">
        <v>180405796.88700163</v>
      </c>
      <c r="CZ14">
        <v>0.18776487391442059</v>
      </c>
      <c r="DA14">
        <v>6.0311147847128517</v>
      </c>
      <c r="DB14">
        <v>599134990.62545872</v>
      </c>
      <c r="DC14">
        <v>0.17837663021869957</v>
      </c>
      <c r="DD14">
        <v>2.651015499845411</v>
      </c>
      <c r="DE14">
        <v>1363044425.8853679</v>
      </c>
      <c r="DF14">
        <v>0.16523308904469011</v>
      </c>
      <c r="DG14">
        <v>1.3935279237825384</v>
      </c>
      <c r="DH14">
        <v>2593024393.9366393</v>
      </c>
      <c r="DI14">
        <v>0.15021189913153649</v>
      </c>
      <c r="DJ14">
        <v>0.52769168452643667</v>
      </c>
      <c r="DK14">
        <v>6847657459.7585325</v>
      </c>
      <c r="DL14">
        <v>0.1314354117400944</v>
      </c>
      <c r="DM14">
        <v>161000000</v>
      </c>
      <c r="DN14">
        <v>0.18776487391442059</v>
      </c>
      <c r="DO14">
        <v>3613451900</v>
      </c>
      <c r="DP14">
        <v>1282368900</v>
      </c>
      <c r="DQ14">
        <v>885</v>
      </c>
      <c r="DR14">
        <v>0.11365356580189145</v>
      </c>
      <c r="DS14">
        <v>5.5906696932870386</v>
      </c>
      <c r="DT14" s="10">
        <v>-4.0000000000000036E-2</v>
      </c>
      <c r="DU14">
        <v>-1.0899999999999999</v>
      </c>
      <c r="DV14">
        <v>-1.1299999999999999</v>
      </c>
      <c r="DW14">
        <v>-9.9287790697674421</v>
      </c>
      <c r="DX14">
        <v>0.47978301886792396</v>
      </c>
      <c r="DY14">
        <v>-9.1948420771171566</v>
      </c>
      <c r="DZ14">
        <v>3725</v>
      </c>
      <c r="EA14">
        <v>-9.0527260134278258</v>
      </c>
      <c r="EB14">
        <v>9</v>
      </c>
      <c r="EC14">
        <v>0.18531478074341337</v>
      </c>
      <c r="ED14">
        <v>0.88336406704149917</v>
      </c>
      <c r="EE14" s="11">
        <v>2.04121</v>
      </c>
      <c r="EF14">
        <v>2.05891</v>
      </c>
      <c r="EG14">
        <v>27.209783018867924</v>
      </c>
      <c r="EH14" t="s">
        <v>1243</v>
      </c>
      <c r="EI14">
        <v>0</v>
      </c>
      <c r="EJ14">
        <v>0</v>
      </c>
      <c r="EK14" s="13">
        <v>45489</v>
      </c>
      <c r="EL14" s="14">
        <v>-6.02</v>
      </c>
      <c r="EM14" s="14">
        <v>2.87</v>
      </c>
      <c r="EN14" s="14">
        <v>1.55</v>
      </c>
      <c r="EO14" s="14">
        <v>-8.19</v>
      </c>
      <c r="EP14" s="14">
        <v>-1.77</v>
      </c>
    </row>
    <row r="15" spans="1:146" ht="108" x14ac:dyDescent="0.25">
      <c r="A15" s="7"/>
      <c r="B15" s="7"/>
      <c r="C15" s="7" t="str">
        <f>""&amp;CHAR(10)&amp;Basic_Fundamental_Information_Constructure(F15)&amp;CHAR(10)&amp;Basic_Fundamental_Information_Concatenate("")</f>
        <v xml:space="preserve">
市值52.066638亿, 利润1.89亿; PE27.33; 平均PE34.68; 平均PEG2.65, PB3.13; ROIC11.46%; ROE12.8%; 股利率1.2857%; 毛利20.0767%; 净利10.0667%; 上一年度营收增1.37%, 利润增3.85%; 当季营收增2.14%, 利润增3.18%; 过往5年营收增13.08%, 利润增23.4%
Income profile:
</v>
      </c>
      <c r="D15" t="s">
        <v>111</v>
      </c>
      <c r="E15" t="s">
        <v>46</v>
      </c>
      <c r="F15">
        <v>14</v>
      </c>
      <c r="G15">
        <v>0.86</v>
      </c>
      <c r="H15" t="s">
        <v>3531</v>
      </c>
      <c r="I15">
        <v>5206663800</v>
      </c>
      <c r="J15">
        <v>27.33</v>
      </c>
      <c r="K15">
        <v>3.13</v>
      </c>
      <c r="L15" t="s">
        <v>1166</v>
      </c>
      <c r="M15" t="s">
        <v>718</v>
      </c>
      <c r="N15" t="s">
        <v>1941</v>
      </c>
      <c r="O15" t="s">
        <v>568</v>
      </c>
      <c r="P15">
        <v>2.02</v>
      </c>
      <c r="Q15" t="s">
        <v>1019</v>
      </c>
      <c r="R15">
        <v>55162745</v>
      </c>
      <c r="S15" s="5">
        <v>3.1800000000000002E-2</v>
      </c>
      <c r="T15" t="s">
        <v>700</v>
      </c>
      <c r="U15">
        <v>370308070</v>
      </c>
      <c r="V15">
        <v>371904560</v>
      </c>
      <c r="W15">
        <v>1.68</v>
      </c>
      <c r="X15">
        <v>0.15</v>
      </c>
      <c r="Y15">
        <v>12.86</v>
      </c>
      <c r="Z15" t="s">
        <v>495</v>
      </c>
      <c r="AA15" t="s">
        <v>651</v>
      </c>
      <c r="AB15" t="s">
        <v>1942</v>
      </c>
      <c r="AC15" t="s">
        <v>1943</v>
      </c>
      <c r="AD15" t="s">
        <v>60</v>
      </c>
      <c r="AE15">
        <v>-6823820</v>
      </c>
      <c r="AF15" t="s">
        <v>1944</v>
      </c>
      <c r="AG15">
        <v>3340.56</v>
      </c>
      <c r="AH15" t="s">
        <v>1945</v>
      </c>
      <c r="AI15" t="s">
        <v>1476</v>
      </c>
      <c r="AJ15" t="s">
        <v>1946</v>
      </c>
      <c r="AK15" t="s">
        <v>1947</v>
      </c>
      <c r="AL15" t="s">
        <v>1948</v>
      </c>
      <c r="AM15" t="s">
        <v>60</v>
      </c>
      <c r="AN15" t="s">
        <v>1949</v>
      </c>
      <c r="AO15" t="s">
        <v>60</v>
      </c>
      <c r="AP15" t="s">
        <v>1950</v>
      </c>
      <c r="AQ15" t="s">
        <v>386</v>
      </c>
      <c r="AR15" t="s">
        <v>1951</v>
      </c>
      <c r="AS15" t="s">
        <v>1952</v>
      </c>
      <c r="AT15" t="s">
        <v>60</v>
      </c>
      <c r="AU15" t="s">
        <v>1475</v>
      </c>
      <c r="AV15" t="s">
        <v>1953</v>
      </c>
      <c r="AW15" t="s">
        <v>1954</v>
      </c>
      <c r="AX15" t="s">
        <v>1370</v>
      </c>
      <c r="AY15" t="s">
        <v>1034</v>
      </c>
      <c r="AZ15" t="s">
        <v>239</v>
      </c>
      <c r="BA15" t="s">
        <v>298</v>
      </c>
      <c r="BB15" t="s">
        <v>736</v>
      </c>
      <c r="BC15" t="s">
        <v>295</v>
      </c>
      <c r="BD15" t="s">
        <v>426</v>
      </c>
      <c r="BE15" t="s">
        <v>323</v>
      </c>
      <c r="BF15" t="s">
        <v>299</v>
      </c>
      <c r="BG15" t="s">
        <v>737</v>
      </c>
      <c r="BH15" t="s">
        <v>1019</v>
      </c>
      <c r="BI15" t="s">
        <v>478</v>
      </c>
      <c r="BJ15" t="s">
        <v>1370</v>
      </c>
      <c r="BK15" t="s">
        <v>700</v>
      </c>
      <c r="BL15" t="s">
        <v>3532</v>
      </c>
      <c r="BM15" t="s">
        <v>295</v>
      </c>
      <c r="BN15">
        <v>11.12</v>
      </c>
      <c r="BO15">
        <v>11.77</v>
      </c>
      <c r="BP15">
        <v>11.49</v>
      </c>
      <c r="BQ15">
        <v>12</v>
      </c>
      <c r="BR15">
        <v>13.38</v>
      </c>
      <c r="BS15">
        <v>13.02</v>
      </c>
      <c r="BT15" t="s">
        <v>1955</v>
      </c>
      <c r="BU15" t="s">
        <v>1166</v>
      </c>
      <c r="BV15">
        <v>20.6</v>
      </c>
      <c r="BW15">
        <v>20.420000000000002</v>
      </c>
      <c r="BX15">
        <v>19.21</v>
      </c>
      <c r="BY15">
        <v>10.63</v>
      </c>
      <c r="BZ15">
        <v>10.39</v>
      </c>
      <c r="CA15">
        <v>9.18</v>
      </c>
      <c r="CB15">
        <v>1.3</v>
      </c>
      <c r="CC15">
        <v>-12.5</v>
      </c>
      <c r="CD15" t="s">
        <v>3533</v>
      </c>
      <c r="CE15" t="s">
        <v>244</v>
      </c>
      <c r="CF15" s="8">
        <v>2.1428571428571429E-2</v>
      </c>
      <c r="CG15" s="9">
        <v>3.183152204410692E-2</v>
      </c>
      <c r="CH15" s="8">
        <v>1.3698630034923553E-2</v>
      </c>
      <c r="CI15" s="8">
        <v>2.6362000033259392E-2</v>
      </c>
      <c r="CJ15" s="8">
        <v>0.1222880557179451</v>
      </c>
      <c r="CK15" s="8">
        <v>0.26328897476196289</v>
      </c>
      <c r="CL15" s="8">
        <v>0.22857142984867096</v>
      </c>
      <c r="CM15" s="9">
        <v>3.8461539894342422E-2</v>
      </c>
      <c r="CN15" s="9">
        <v>0.15923567116260529</v>
      </c>
      <c r="CO15" s="9">
        <v>-0.18652850389480591</v>
      </c>
      <c r="CP15" s="9">
        <v>0.99708199501037598</v>
      </c>
      <c r="CQ15" s="9">
        <v>0.16168875992298126</v>
      </c>
      <c r="CR15">
        <v>34.679067807494661</v>
      </c>
      <c r="CS15">
        <v>2.6504575002513837</v>
      </c>
      <c r="CT15">
        <v>1.2857142857142858</v>
      </c>
      <c r="CU15" s="8">
        <v>0.13084181807935238</v>
      </c>
      <c r="CV15" s="9">
        <v>0.23398789241909981</v>
      </c>
      <c r="CW15">
        <v>0.06</v>
      </c>
      <c r="CX15">
        <v>24.954784059534266</v>
      </c>
      <c r="CY15">
        <v>201631229.82735625</v>
      </c>
      <c r="CZ15">
        <v>0.13084181807935238</v>
      </c>
      <c r="DA15">
        <v>7.87905527424462</v>
      </c>
      <c r="DB15">
        <v>638612577.88706088</v>
      </c>
      <c r="DC15">
        <v>0.12429972717538476</v>
      </c>
      <c r="DD15">
        <v>3.7015842873292946</v>
      </c>
      <c r="DE15">
        <v>1359327090.6253934</v>
      </c>
      <c r="DF15">
        <v>0.1151407999098301</v>
      </c>
      <c r="DG15">
        <v>2.1066725443139345</v>
      </c>
      <c r="DH15">
        <v>2388441342.524178</v>
      </c>
      <c r="DI15">
        <v>0.10467345446348192</v>
      </c>
      <c r="DJ15">
        <v>0.96405262473796238</v>
      </c>
      <c r="DK15">
        <v>5219283336.7033758</v>
      </c>
      <c r="DL15">
        <v>9.1589272655546658E-2</v>
      </c>
      <c r="DM15">
        <v>189000000</v>
      </c>
      <c r="DN15">
        <v>0.13084181807935238</v>
      </c>
      <c r="DO15">
        <v>5031663800</v>
      </c>
      <c r="DP15">
        <v>1234416800</v>
      </c>
      <c r="DQ15">
        <v>906</v>
      </c>
      <c r="DR15">
        <v>-0.10941324665078095</v>
      </c>
      <c r="DS15">
        <v>-0.2021563703749929</v>
      </c>
      <c r="DT15" s="10">
        <v>-0.22333333333333338</v>
      </c>
      <c r="DU15">
        <v>0.35000000000000003</v>
      </c>
      <c r="DV15">
        <v>0.12666666666666665</v>
      </c>
      <c r="DW15">
        <v>-2.125</v>
      </c>
      <c r="DX15">
        <v>0.29159357142857317</v>
      </c>
      <c r="DY15">
        <v>-2.0126991964285716</v>
      </c>
      <c r="DZ15">
        <v>1497</v>
      </c>
      <c r="EA15">
        <v>-2.0089767180550506</v>
      </c>
      <c r="EB15">
        <v>2</v>
      </c>
      <c r="EC15">
        <v>3.8243951620275912E-2</v>
      </c>
      <c r="ED15">
        <v>0.3764406653147786</v>
      </c>
      <c r="EE15" s="11">
        <v>2.0338099999999999</v>
      </c>
      <c r="EF15">
        <v>2.02521</v>
      </c>
      <c r="EG15">
        <v>19.101593571428573</v>
      </c>
      <c r="EH15" t="s">
        <v>1243</v>
      </c>
      <c r="EI15">
        <v>0</v>
      </c>
      <c r="EJ15">
        <v>1</v>
      </c>
      <c r="EK15" s="13">
        <v>45489</v>
      </c>
      <c r="EL15" s="14">
        <v>-1.63</v>
      </c>
      <c r="EM15" s="14">
        <v>3.04</v>
      </c>
      <c r="EN15" s="14">
        <v>-0.91</v>
      </c>
      <c r="EO15" s="14">
        <v>-1.7</v>
      </c>
      <c r="EP15" s="14">
        <v>0.86</v>
      </c>
    </row>
    <row r="16" spans="1:146" ht="108" x14ac:dyDescent="0.25">
      <c r="A16" s="7"/>
      <c r="B16" s="7"/>
      <c r="C16" s="7" t="str">
        <f>""&amp;CHAR(10)&amp;Basic_Fundamental_Information_Constructure(F16)&amp;CHAR(10)&amp;Basic_Fundamental_Information_Concatenate("")</f>
        <v xml:space="preserve">
市值46.22868亿, 利润1.15亿; PE46.16; 平均PE1733.58; 平均PEG167.88, PB1.35; ROIC3.48%; ROE-2.0133%; 股利率.9174%; 毛利27.3267%; 净利-2.3967%; 上一年度营收增6.65%, 利润增-45.75%; 当季营收增-4.53%, 利润增-59.37%; 过往5年营收增10.33%, 利润增-45.66%
Income profile:
</v>
      </c>
      <c r="D16" t="s">
        <v>116</v>
      </c>
      <c r="E16" t="s">
        <v>40</v>
      </c>
      <c r="F16">
        <v>2.1800000000000002</v>
      </c>
      <c r="G16">
        <v>0</v>
      </c>
      <c r="H16" t="s">
        <v>3534</v>
      </c>
      <c r="I16">
        <v>4622868000</v>
      </c>
      <c r="J16">
        <v>46.16</v>
      </c>
      <c r="K16">
        <v>1.35</v>
      </c>
      <c r="L16" t="s">
        <v>1166</v>
      </c>
      <c r="M16" t="s">
        <v>1956</v>
      </c>
      <c r="N16" t="s">
        <v>1957</v>
      </c>
      <c r="O16" t="s">
        <v>221</v>
      </c>
      <c r="P16">
        <v>-4.5199999999999996</v>
      </c>
      <c r="Q16" t="s">
        <v>1972</v>
      </c>
      <c r="R16">
        <v>7500000</v>
      </c>
      <c r="S16" s="5">
        <v>-0.79220000000000002</v>
      </c>
      <c r="T16" t="s">
        <v>196</v>
      </c>
      <c r="U16">
        <v>1997242400</v>
      </c>
      <c r="V16">
        <v>2120581600</v>
      </c>
      <c r="W16">
        <v>2.68</v>
      </c>
      <c r="X16">
        <v>0.06</v>
      </c>
      <c r="Y16">
        <v>0.71</v>
      </c>
      <c r="Z16" t="s">
        <v>1713</v>
      </c>
      <c r="AA16" t="s">
        <v>846</v>
      </c>
      <c r="AB16" t="s">
        <v>1958</v>
      </c>
      <c r="AC16" t="s">
        <v>1959</v>
      </c>
      <c r="AD16" t="s">
        <v>60</v>
      </c>
      <c r="AE16">
        <v>12048138</v>
      </c>
      <c r="AF16" t="s">
        <v>1960</v>
      </c>
      <c r="AG16" t="s">
        <v>1961</v>
      </c>
      <c r="AH16" t="s">
        <v>1962</v>
      </c>
      <c r="AI16" t="s">
        <v>1963</v>
      </c>
      <c r="AJ16" t="s">
        <v>1964</v>
      </c>
      <c r="AK16" t="s">
        <v>1965</v>
      </c>
      <c r="AL16" t="s">
        <v>1966</v>
      </c>
      <c r="AM16" t="s">
        <v>60</v>
      </c>
      <c r="AN16">
        <v>0</v>
      </c>
      <c r="AO16" t="s">
        <v>343</v>
      </c>
      <c r="AP16" t="s">
        <v>785</v>
      </c>
      <c r="AQ16" t="s">
        <v>1967</v>
      </c>
      <c r="AR16" t="s">
        <v>1968</v>
      </c>
      <c r="AS16" t="s">
        <v>1969</v>
      </c>
      <c r="AT16" t="s">
        <v>1970</v>
      </c>
      <c r="AU16" t="s">
        <v>1971</v>
      </c>
      <c r="AV16" t="s">
        <v>1423</v>
      </c>
      <c r="AW16" t="s">
        <v>251</v>
      </c>
      <c r="AX16" t="s">
        <v>1388</v>
      </c>
      <c r="AY16" t="s">
        <v>1090</v>
      </c>
      <c r="AZ16" t="s">
        <v>743</v>
      </c>
      <c r="BA16" t="s">
        <v>312</v>
      </c>
      <c r="BB16" t="s">
        <v>745</v>
      </c>
      <c r="BC16" t="s">
        <v>656</v>
      </c>
      <c r="BD16" t="s">
        <v>1016</v>
      </c>
      <c r="BE16" t="s">
        <v>575</v>
      </c>
      <c r="BF16" t="s">
        <v>313</v>
      </c>
      <c r="BG16" t="s">
        <v>197</v>
      </c>
      <c r="BH16" t="s">
        <v>1972</v>
      </c>
      <c r="BI16" t="s">
        <v>3535</v>
      </c>
      <c r="BJ16" t="s">
        <v>1388</v>
      </c>
      <c r="BK16" t="s">
        <v>196</v>
      </c>
      <c r="BL16" t="s">
        <v>3536</v>
      </c>
      <c r="BM16" t="s">
        <v>656</v>
      </c>
      <c r="BN16">
        <v>2.41</v>
      </c>
      <c r="BO16">
        <v>4.55</v>
      </c>
      <c r="BP16" t="s">
        <v>60</v>
      </c>
      <c r="BQ16">
        <v>3.2</v>
      </c>
      <c r="BR16">
        <v>8.08</v>
      </c>
      <c r="BS16">
        <v>-17.32</v>
      </c>
      <c r="BT16" t="s">
        <v>1346</v>
      </c>
      <c r="BU16" t="s">
        <v>1166</v>
      </c>
      <c r="BV16">
        <v>23.89</v>
      </c>
      <c r="BW16">
        <v>26.88</v>
      </c>
      <c r="BX16">
        <v>31.21</v>
      </c>
      <c r="BY16">
        <v>2.93</v>
      </c>
      <c r="BZ16">
        <v>5.77</v>
      </c>
      <c r="CA16">
        <v>-15.89</v>
      </c>
      <c r="CB16">
        <v>-3.54</v>
      </c>
      <c r="CC16">
        <v>-13.49</v>
      </c>
      <c r="CD16" t="s">
        <v>403</v>
      </c>
      <c r="CE16" t="s">
        <v>3537</v>
      </c>
      <c r="CF16" s="8">
        <v>-4.5307443365695796E-2</v>
      </c>
      <c r="CG16" s="9">
        <v>-0.59369633405745681</v>
      </c>
      <c r="CH16" s="8">
        <v>6.64997398853302E-2</v>
      </c>
      <c r="CI16" s="8">
        <v>0.13590388000011444</v>
      </c>
      <c r="CJ16" s="8">
        <v>-1.4637203887104988E-2</v>
      </c>
      <c r="CK16" s="8">
        <v>0.45557564496994019</v>
      </c>
      <c r="CL16" s="8">
        <v>-0.12702806293964386</v>
      </c>
      <c r="CM16" s="9">
        <v>-0.45754715800285339</v>
      </c>
      <c r="CN16" s="9">
        <v>1.4240000247955322</v>
      </c>
      <c r="CO16" s="9">
        <v>-2.58730149269104</v>
      </c>
      <c r="CP16" s="9">
        <v>1.9183673858642578</v>
      </c>
      <c r="CQ16" s="9">
        <v>-2.5806450843811035</v>
      </c>
      <c r="CR16">
        <v>1733.5755000000015</v>
      </c>
      <c r="CS16">
        <v>167.87996322190099</v>
      </c>
      <c r="CT16">
        <v>0.9174311926605504</v>
      </c>
      <c r="CU16" s="8">
        <v>0.10326279960572719</v>
      </c>
      <c r="CV16" s="9">
        <v>-0.45662526488304139</v>
      </c>
      <c r="CW16">
        <v>0.06</v>
      </c>
      <c r="CX16">
        <v>59.442339992084499</v>
      </c>
      <c r="CY16">
        <v>119693605.61760245</v>
      </c>
      <c r="CZ16">
        <v>0.10326279960572719</v>
      </c>
      <c r="DA16">
        <v>19.208589383186641</v>
      </c>
      <c r="DB16">
        <v>370400337.99814963</v>
      </c>
      <c r="DC16">
        <v>9.809965962544083E-2</v>
      </c>
      <c r="DD16">
        <v>9.3144925149329172</v>
      </c>
      <c r="DE16">
        <v>763849236.93840563</v>
      </c>
      <c r="DF16">
        <v>9.0871263653039935E-2</v>
      </c>
      <c r="DG16">
        <v>5.4986592506087337</v>
      </c>
      <c r="DH16">
        <v>1293927787.7988789</v>
      </c>
      <c r="DI16">
        <v>8.2610239684581754E-2</v>
      </c>
      <c r="DJ16">
        <v>2.7348877115548906</v>
      </c>
      <c r="DK16">
        <v>2601521067.9179654</v>
      </c>
      <c r="DL16">
        <v>7.2283959724009028E-2</v>
      </c>
      <c r="DM16">
        <v>114999999.99999999</v>
      </c>
      <c r="DN16">
        <v>0.10326279960572719</v>
      </c>
      <c r="DO16">
        <v>7114868000</v>
      </c>
      <c r="DP16">
        <v>2232524000.0000005</v>
      </c>
      <c r="DQ16">
        <v>924</v>
      </c>
      <c r="DR16">
        <v>-0.14857024297142299</v>
      </c>
      <c r="DS16">
        <v>-0.13707106917441542</v>
      </c>
      <c r="DT16" s="10">
        <v>-0.32333333333333336</v>
      </c>
      <c r="DU16">
        <v>-0.99166666666666681</v>
      </c>
      <c r="DV16">
        <v>-1.3150000000000002</v>
      </c>
      <c r="DW16">
        <v>-8.262416604892513</v>
      </c>
      <c r="DX16">
        <v>0.33693009118540973</v>
      </c>
      <c r="DY16">
        <v>-8.0490535598811235</v>
      </c>
      <c r="DZ16">
        <v>3891</v>
      </c>
      <c r="EA16">
        <v>-8.0116798764079586</v>
      </c>
      <c r="EB16">
        <v>8</v>
      </c>
      <c r="EC16">
        <v>5.8002955415627486E-2</v>
      </c>
      <c r="ED16">
        <v>0.31029223303644621</v>
      </c>
      <c r="EE16" s="11">
        <v>-4.0202999999999998</v>
      </c>
      <c r="EF16">
        <v>-4.0202999999999998</v>
      </c>
      <c r="EG16">
        <v>15.18693009118541</v>
      </c>
      <c r="EH16" t="s">
        <v>1630</v>
      </c>
      <c r="EI16">
        <v>0</v>
      </c>
      <c r="EJ16">
        <v>0</v>
      </c>
      <c r="EK16" s="13">
        <v>45489</v>
      </c>
      <c r="EL16" s="14">
        <v>-3.02</v>
      </c>
      <c r="EM16" s="14">
        <v>4.6100000000000003</v>
      </c>
      <c r="EN16" s="14">
        <v>-0.88</v>
      </c>
      <c r="EO16" s="14">
        <v>-3.11</v>
      </c>
      <c r="EP16" s="14">
        <v>0</v>
      </c>
    </row>
    <row r="17" spans="1:146" ht="96" x14ac:dyDescent="0.25">
      <c r="A17" s="7"/>
      <c r="B17" s="7"/>
      <c r="C17" s="7" t="str">
        <f>""&amp;CHAR(10)&amp;Basic_Fundamental_Information_Constructure(F17)&amp;CHAR(10)&amp;Basic_Fundamental_Information_Concatenate("")</f>
        <v xml:space="preserve">
市值25.8213亿, 利润-1.46亿; PE; 平均PE517.15; 平均PEG41.28, PB1.76; ROIC2.07%; ROE-.4%; 股利率0%; 毛利32.58%; 净利-11.17%; 上一年度营收增-43.69%, 利润增-1196.29%; 当季营收增83.33%, 利润增3%; 过往5年营收增-12.53%, 利润增-248.44%
Income profile:
</v>
      </c>
      <c r="D17" t="s">
        <v>71</v>
      </c>
      <c r="E17" t="s">
        <v>13</v>
      </c>
      <c r="F17">
        <v>4.1500000000000004</v>
      </c>
      <c r="G17">
        <v>0</v>
      </c>
      <c r="H17" t="s">
        <v>3538</v>
      </c>
      <c r="I17">
        <v>2582130000</v>
      </c>
      <c r="K17">
        <v>1.76</v>
      </c>
      <c r="L17" t="s">
        <v>1166</v>
      </c>
      <c r="M17" t="s">
        <v>1701</v>
      </c>
      <c r="N17" t="s">
        <v>1175</v>
      </c>
      <c r="O17" t="s">
        <v>1973</v>
      </c>
      <c r="P17">
        <v>83.33</v>
      </c>
      <c r="Q17" t="s">
        <v>551</v>
      </c>
      <c r="R17">
        <v>-26000000</v>
      </c>
      <c r="S17" s="5">
        <v>0.19639999999999999</v>
      </c>
      <c r="T17" t="s">
        <v>1303</v>
      </c>
      <c r="U17">
        <v>529928120</v>
      </c>
      <c r="V17">
        <v>622200000</v>
      </c>
      <c r="W17">
        <v>1.76</v>
      </c>
      <c r="X17">
        <v>0.03</v>
      </c>
      <c r="Y17">
        <v>-24.82</v>
      </c>
      <c r="Z17" t="s">
        <v>465</v>
      </c>
      <c r="AA17" t="s">
        <v>1974</v>
      </c>
      <c r="AB17" t="s">
        <v>1975</v>
      </c>
      <c r="AC17" t="s">
        <v>1976</v>
      </c>
      <c r="AD17" t="s">
        <v>60</v>
      </c>
      <c r="AE17">
        <v>4465437</v>
      </c>
      <c r="AF17" t="s">
        <v>1977</v>
      </c>
      <c r="AG17">
        <v>0.14000000000000001</v>
      </c>
      <c r="AH17" t="s">
        <v>1978</v>
      </c>
      <c r="AI17" t="s">
        <v>541</v>
      </c>
      <c r="AJ17" t="s">
        <v>1979</v>
      </c>
      <c r="AK17" t="s">
        <v>1980</v>
      </c>
      <c r="AL17" t="s">
        <v>1981</v>
      </c>
      <c r="AM17" t="s">
        <v>60</v>
      </c>
      <c r="AN17">
        <v>0</v>
      </c>
      <c r="AO17" t="s">
        <v>1982</v>
      </c>
      <c r="AP17" t="s">
        <v>1983</v>
      </c>
      <c r="AQ17" t="s">
        <v>656</v>
      </c>
      <c r="AR17" t="s">
        <v>1984</v>
      </c>
      <c r="AS17" t="s">
        <v>775</v>
      </c>
      <c r="AT17" t="s">
        <v>60</v>
      </c>
      <c r="AU17" t="s">
        <v>1985</v>
      </c>
      <c r="AV17" t="s">
        <v>1986</v>
      </c>
      <c r="AW17" t="s">
        <v>1987</v>
      </c>
      <c r="AX17" t="s">
        <v>1385</v>
      </c>
      <c r="AY17" t="s">
        <v>721</v>
      </c>
      <c r="AZ17" t="s">
        <v>747</v>
      </c>
      <c r="BA17" t="s">
        <v>324</v>
      </c>
      <c r="BB17" t="s">
        <v>750</v>
      </c>
      <c r="BC17" t="s">
        <v>1988</v>
      </c>
      <c r="BD17" t="s">
        <v>1091</v>
      </c>
      <c r="BE17" t="s">
        <v>748</v>
      </c>
      <c r="BF17" t="s">
        <v>325</v>
      </c>
      <c r="BG17" t="s">
        <v>752</v>
      </c>
      <c r="BH17" t="s">
        <v>551</v>
      </c>
      <c r="BI17" t="s">
        <v>3539</v>
      </c>
      <c r="BJ17" t="s">
        <v>1385</v>
      </c>
      <c r="BK17" t="s">
        <v>1303</v>
      </c>
      <c r="BL17" t="s">
        <v>3540</v>
      </c>
      <c r="BM17" t="s">
        <v>1988</v>
      </c>
      <c r="BN17" t="s">
        <v>60</v>
      </c>
      <c r="BO17">
        <v>1.86</v>
      </c>
      <c r="BP17">
        <v>2.2799999999999998</v>
      </c>
      <c r="BQ17">
        <v>-3.9</v>
      </c>
      <c r="BR17">
        <v>0.82</v>
      </c>
      <c r="BS17">
        <v>1.88</v>
      </c>
      <c r="BT17" t="s">
        <v>1343</v>
      </c>
      <c r="BU17" t="s">
        <v>1166</v>
      </c>
      <c r="BV17">
        <v>28.33</v>
      </c>
      <c r="BW17">
        <v>32.54</v>
      </c>
      <c r="BX17">
        <v>36.869999999999997</v>
      </c>
      <c r="BY17">
        <v>-39.5</v>
      </c>
      <c r="BZ17">
        <v>1.77</v>
      </c>
      <c r="CA17">
        <v>4.22</v>
      </c>
      <c r="CB17">
        <v>-0.95</v>
      </c>
      <c r="CC17">
        <v>-13.54</v>
      </c>
      <c r="CD17" t="s">
        <v>3541</v>
      </c>
      <c r="CE17" t="s">
        <v>523</v>
      </c>
      <c r="CF17" s="8">
        <v>0.83327615075655603</v>
      </c>
      <c r="CG17" s="9">
        <v>3.0028091878723531E-2</v>
      </c>
      <c r="CH17" s="8">
        <v>-0.43693694472312927</v>
      </c>
      <c r="CI17" s="8">
        <v>-7.1129709482192993E-2</v>
      </c>
      <c r="CJ17" s="8">
        <v>-1.7808219417929649E-2</v>
      </c>
      <c r="CK17" s="8">
        <v>4.1265473701059818E-3</v>
      </c>
      <c r="CL17" s="8">
        <v>-0.10467980057001114</v>
      </c>
      <c r="CM17" s="9">
        <v>-11.96285343170166</v>
      </c>
      <c r="CN17" s="9">
        <v>-0.5551602840423584</v>
      </c>
      <c r="CO17" s="9">
        <v>-0.39639022946357727</v>
      </c>
      <c r="CP17" s="9">
        <v>-4.3640597723424435E-3</v>
      </c>
      <c r="CQ17" s="9">
        <v>0.4965287446975708</v>
      </c>
      <c r="CR17">
        <v>517.14655753683473</v>
      </c>
      <c r="CS17">
        <v>41.277405610717977</v>
      </c>
      <c r="CT17">
        <v>0</v>
      </c>
      <c r="CU17" s="8">
        <v>-0.12528562536463142</v>
      </c>
      <c r="CV17" s="9">
        <v>-2.4844478520564737</v>
      </c>
      <c r="CW17">
        <v>0.06</v>
      </c>
      <c r="CX17" t="e">
        <v>#VALUE!</v>
      </c>
      <c r="CY17" t="s">
        <v>1223</v>
      </c>
      <c r="CZ17">
        <v>-0.12528562536463142</v>
      </c>
      <c r="DA17" t="e">
        <v>#VALUE!</v>
      </c>
      <c r="DB17" t="s">
        <v>1224</v>
      </c>
      <c r="DC17">
        <v>-0.11902134409639985</v>
      </c>
      <c r="DD17" t="e">
        <v>#VALUE!</v>
      </c>
      <c r="DE17" t="s">
        <v>1224</v>
      </c>
      <c r="DF17">
        <v>-0.11025135032087564</v>
      </c>
      <c r="DG17" t="e">
        <v>#VALUE!</v>
      </c>
      <c r="DH17" t="s">
        <v>1224</v>
      </c>
      <c r="DI17">
        <v>-0.10022850029170514</v>
      </c>
      <c r="DJ17" t="e">
        <v>#VALUE!</v>
      </c>
      <c r="DK17" t="s">
        <v>1224</v>
      </c>
      <c r="DL17">
        <v>-8.7699937755241986E-2</v>
      </c>
      <c r="DM17">
        <v>-146000000</v>
      </c>
      <c r="DN17">
        <v>-0.12528562536463142</v>
      </c>
      <c r="DO17">
        <v>2311130000</v>
      </c>
      <c r="DP17">
        <v>357754400</v>
      </c>
      <c r="DQ17">
        <v>972</v>
      </c>
      <c r="DR17">
        <v>0.95856177612118743</v>
      </c>
      <c r="DS17">
        <v>2.5144759439351971</v>
      </c>
      <c r="DT17" s="10">
        <v>-0.60666666666666669</v>
      </c>
      <c r="DU17">
        <v>-1.8316666666666668</v>
      </c>
      <c r="DV17">
        <v>-2.4383333333333335</v>
      </c>
      <c r="DW17">
        <v>-2.1354000000000002</v>
      </c>
      <c r="DX17">
        <v>0.27466578947368492</v>
      </c>
      <c r="DY17">
        <v>-2.0168797478947367</v>
      </c>
      <c r="DZ17">
        <v>4627</v>
      </c>
      <c r="EA17">
        <v>-2.0015865045994663</v>
      </c>
      <c r="EB17">
        <v>2</v>
      </c>
      <c r="EC17">
        <v>8.3751687560270016E-2</v>
      </c>
      <c r="ED17">
        <v>0.67180970748955315</v>
      </c>
      <c r="EE17" s="11">
        <v>0.12200999999999999</v>
      </c>
      <c r="EF17">
        <v>0.12200999999999999</v>
      </c>
      <c r="EG17">
        <v>15.124665789473685</v>
      </c>
      <c r="EH17">
        <v>-1</v>
      </c>
      <c r="EI17">
        <v>0</v>
      </c>
      <c r="EJ17">
        <v>0</v>
      </c>
      <c r="EK17" s="13">
        <v>45489</v>
      </c>
      <c r="EL17" s="14">
        <v>-2.9</v>
      </c>
      <c r="EM17" s="14">
        <v>3.83</v>
      </c>
      <c r="EN17" s="14">
        <v>-1.1499999999999999</v>
      </c>
      <c r="EO17" s="14">
        <v>-3.26</v>
      </c>
      <c r="EP17" s="14">
        <v>0</v>
      </c>
    </row>
    <row r="18" spans="1:146" ht="108" x14ac:dyDescent="0.25">
      <c r="A18" s="7"/>
      <c r="B18" s="7"/>
      <c r="C18" s="7" t="str">
        <f>""&amp;CHAR(10)&amp;Basic_Fundamental_Information_Constructure(F18)&amp;CHAR(10)&amp;Basic_Fundamental_Information_Concatenate("")</f>
        <v xml:space="preserve">
市值47.759543亿, 利润1.12亿; PE42.34; 平均PE41.67; 平均PEG3.1, PB1.96; ROIC3.6867%; ROE3.7967%; 股利率1.6938%; 毛利43.1033%; 净利6.76%; 上一年度营收增19.55%, 利润增517.33%; 当季营收增3.02%, 利润增200.29%; 过往5年营收增13.46%, 利润增98.4%
Income profile:
</v>
      </c>
      <c r="D18" t="s">
        <v>103</v>
      </c>
      <c r="E18" t="s">
        <v>23</v>
      </c>
      <c r="F18">
        <v>7.38</v>
      </c>
      <c r="G18">
        <v>1.93</v>
      </c>
      <c r="H18" t="s">
        <v>3542</v>
      </c>
      <c r="I18">
        <v>4775954300</v>
      </c>
      <c r="J18">
        <v>42.34</v>
      </c>
      <c r="K18">
        <v>1.96</v>
      </c>
      <c r="L18" t="s">
        <v>1166</v>
      </c>
      <c r="M18" t="s">
        <v>1989</v>
      </c>
      <c r="N18" t="s">
        <v>1627</v>
      </c>
      <c r="O18" t="s">
        <v>452</v>
      </c>
      <c r="P18">
        <v>3.26</v>
      </c>
      <c r="Q18" t="s">
        <v>2001</v>
      </c>
      <c r="R18">
        <v>15000000</v>
      </c>
      <c r="S18" s="5">
        <v>3.5799999999999998E-2</v>
      </c>
      <c r="T18" t="s">
        <v>279</v>
      </c>
      <c r="U18">
        <v>459900590</v>
      </c>
      <c r="V18">
        <v>647148280</v>
      </c>
      <c r="W18">
        <v>1.46</v>
      </c>
      <c r="X18">
        <v>0.06</v>
      </c>
      <c r="Y18">
        <v>-6.78</v>
      </c>
      <c r="Z18" t="s">
        <v>253</v>
      </c>
      <c r="AA18" t="s">
        <v>249</v>
      </c>
      <c r="AB18" t="s">
        <v>1990</v>
      </c>
      <c r="AC18" t="s">
        <v>1991</v>
      </c>
      <c r="AD18" t="s">
        <v>60</v>
      </c>
      <c r="AE18">
        <v>-2972340</v>
      </c>
      <c r="AF18" t="s">
        <v>168</v>
      </c>
      <c r="AG18" t="s">
        <v>1992</v>
      </c>
      <c r="AH18" t="s">
        <v>1993</v>
      </c>
      <c r="AI18" t="s">
        <v>1714</v>
      </c>
      <c r="AJ18" t="s">
        <v>1994</v>
      </c>
      <c r="AK18" t="s">
        <v>1995</v>
      </c>
      <c r="AL18" t="s">
        <v>1996</v>
      </c>
      <c r="AM18" t="s">
        <v>60</v>
      </c>
      <c r="AN18" t="s">
        <v>1997</v>
      </c>
      <c r="AO18" t="s">
        <v>60</v>
      </c>
      <c r="AP18" t="s">
        <v>60</v>
      </c>
      <c r="AQ18" t="s">
        <v>203</v>
      </c>
      <c r="AR18" t="s">
        <v>60</v>
      </c>
      <c r="AS18" t="s">
        <v>1998</v>
      </c>
      <c r="AT18" t="s">
        <v>314</v>
      </c>
      <c r="AU18" t="s">
        <v>1999</v>
      </c>
      <c r="AV18" t="s">
        <v>2000</v>
      </c>
      <c r="AW18" t="s">
        <v>1084</v>
      </c>
      <c r="AX18" t="s">
        <v>1502</v>
      </c>
      <c r="AY18" t="s">
        <v>1076</v>
      </c>
      <c r="AZ18" t="s">
        <v>755</v>
      </c>
      <c r="BA18" t="s">
        <v>334</v>
      </c>
      <c r="BB18" t="s">
        <v>756</v>
      </c>
      <c r="BC18" t="s">
        <v>1503</v>
      </c>
      <c r="BD18" t="s">
        <v>360</v>
      </c>
      <c r="BE18" t="s">
        <v>191</v>
      </c>
      <c r="BF18" t="s">
        <v>249</v>
      </c>
      <c r="BG18" t="s">
        <v>757</v>
      </c>
      <c r="BH18" t="s">
        <v>2001</v>
      </c>
      <c r="BI18" t="s">
        <v>382</v>
      </c>
      <c r="BJ18" t="s">
        <v>1502</v>
      </c>
      <c r="BK18" t="s">
        <v>279</v>
      </c>
      <c r="BL18" t="s">
        <v>3543</v>
      </c>
      <c r="BM18" t="s">
        <v>1503</v>
      </c>
      <c r="BN18">
        <v>3.21</v>
      </c>
      <c r="BO18">
        <v>2.04</v>
      </c>
      <c r="BP18">
        <v>5.81</v>
      </c>
      <c r="BQ18">
        <v>3.5</v>
      </c>
      <c r="BR18">
        <v>0.78</v>
      </c>
      <c r="BS18">
        <v>7.11</v>
      </c>
      <c r="BT18" t="s">
        <v>1438</v>
      </c>
      <c r="BU18" t="s">
        <v>1166</v>
      </c>
      <c r="BV18">
        <v>41.52</v>
      </c>
      <c r="BW18">
        <v>42.38</v>
      </c>
      <c r="BX18">
        <v>45.41</v>
      </c>
      <c r="BY18">
        <v>7.58</v>
      </c>
      <c r="BZ18">
        <v>1.8</v>
      </c>
      <c r="CA18">
        <v>10.9</v>
      </c>
      <c r="CB18">
        <v>2.93</v>
      </c>
      <c r="CC18">
        <v>-6.4</v>
      </c>
      <c r="CD18" t="s">
        <v>3544</v>
      </c>
      <c r="CE18" t="s">
        <v>326</v>
      </c>
      <c r="CF18" s="8">
        <v>3.0172413793103581E-2</v>
      </c>
      <c r="CG18" s="9">
        <v>2.0029218456436415</v>
      </c>
      <c r="CH18" s="8">
        <v>0.195494145154953</v>
      </c>
      <c r="CI18" s="8">
        <v>-8.5714243352413177E-2</v>
      </c>
      <c r="CJ18" s="8">
        <v>9.7738780081272125E-2</v>
      </c>
      <c r="CK18" s="8">
        <v>0.17783510684967041</v>
      </c>
      <c r="CL18" s="8">
        <v>0.28761062026023865</v>
      </c>
      <c r="CM18" s="9">
        <v>5.1733160018920898</v>
      </c>
      <c r="CN18" s="9">
        <v>-0.88731306791305542</v>
      </c>
      <c r="CO18" s="9">
        <v>6.2500000931322575E-3</v>
      </c>
      <c r="CP18" s="9">
        <v>0.12676055729389191</v>
      </c>
      <c r="CQ18" s="9">
        <v>0.50111269950866699</v>
      </c>
      <c r="CR18">
        <v>41.666564835415059</v>
      </c>
      <c r="CS18">
        <v>3.0957480275753948</v>
      </c>
      <c r="CT18">
        <v>1.6937669376693767</v>
      </c>
      <c r="CU18" s="8">
        <v>0.13459288179874421</v>
      </c>
      <c r="CV18" s="9">
        <v>0.98402523817494514</v>
      </c>
      <c r="CW18">
        <v>0.06</v>
      </c>
      <c r="CX18">
        <v>30.262834012440063</v>
      </c>
      <c r="CY18">
        <v>119881512.03911261</v>
      </c>
      <c r="CZ18">
        <v>0.13459288179874421</v>
      </c>
      <c r="DA18">
        <v>9.5249800711634585</v>
      </c>
      <c r="DB18">
        <v>380888387.47111964</v>
      </c>
      <c r="DC18">
        <v>0.127863237708807</v>
      </c>
      <c r="DD18">
        <v>4.4554722111272662</v>
      </c>
      <c r="DE18">
        <v>814269313.79785252</v>
      </c>
      <c r="DF18">
        <v>0.1184417359828949</v>
      </c>
      <c r="DG18">
        <v>2.5228878516171283</v>
      </c>
      <c r="DH18">
        <v>1438016476.9014773</v>
      </c>
      <c r="DI18">
        <v>0.10767430543899537</v>
      </c>
      <c r="DJ18">
        <v>1.1409982800730492</v>
      </c>
      <c r="DK18">
        <v>3179631699.1535959</v>
      </c>
      <c r="DL18">
        <v>9.4215017259120945E-2</v>
      </c>
      <c r="DM18">
        <v>112000000.00000001</v>
      </c>
      <c r="DN18">
        <v>0.13459288179874421</v>
      </c>
      <c r="DO18">
        <v>3627954300</v>
      </c>
      <c r="DP18">
        <v>855492900</v>
      </c>
      <c r="DQ18">
        <v>1100</v>
      </c>
      <c r="DR18">
        <v>-0.10442046800564063</v>
      </c>
      <c r="DS18">
        <v>1.0188966074686965</v>
      </c>
      <c r="DT18" s="10">
        <v>-5.6666666666666719E-2</v>
      </c>
      <c r="DU18">
        <v>0.53999999999999992</v>
      </c>
      <c r="DV18">
        <v>0.48333333333333323</v>
      </c>
      <c r="DW18">
        <v>6.314040728831726</v>
      </c>
      <c r="DX18">
        <v>0.30168452830188575</v>
      </c>
      <c r="DY18">
        <v>6.0413543052437868</v>
      </c>
      <c r="DZ18">
        <v>796</v>
      </c>
      <c r="EA18">
        <v>6.0349086371462626</v>
      </c>
      <c r="EB18">
        <v>6</v>
      </c>
      <c r="EC18">
        <v>5.392334504852582E-2</v>
      </c>
      <c r="ED18">
        <v>0.40948884234073835</v>
      </c>
      <c r="EE18" s="11">
        <v>-1.0637099999999999</v>
      </c>
      <c r="EF18">
        <v>-1.0444100000000001</v>
      </c>
      <c r="EG18">
        <v>17.131684528301886</v>
      </c>
      <c r="EH18" t="s">
        <v>1227</v>
      </c>
      <c r="EI18">
        <v>0</v>
      </c>
      <c r="EJ18">
        <v>1</v>
      </c>
      <c r="EK18" s="13">
        <v>45489</v>
      </c>
      <c r="EL18" s="14">
        <v>-1.31</v>
      </c>
      <c r="EM18" s="14">
        <v>3.03</v>
      </c>
      <c r="EN18" s="14">
        <v>-1.61</v>
      </c>
      <c r="EO18" s="14">
        <v>-1.5</v>
      </c>
      <c r="EP18" s="14">
        <v>1.93</v>
      </c>
    </row>
    <row r="19" spans="1:146" ht="96" x14ac:dyDescent="0.25">
      <c r="A19" s="7"/>
      <c r="B19" s="7"/>
      <c r="C19" s="7" t="str">
        <f>""&amp;CHAR(10)&amp;Basic_Fundamental_Information_Constructure(F19)&amp;CHAR(10)&amp;Basic_Fundamental_Information_Concatenate("")</f>
        <v xml:space="preserve">
市值34.534492亿, 利润-3.63亿; PE; 平均PE-7.4; 平均PEG-48.02, PB3.06; ROIC2.59%; ROE.7033%; 股利率0%; 毛利10.9967%; 净利-4.46%; 上一年度营收增-36.45%, 利润增-3075.43%; 当季营收增-9.71%, 利润增141.74%; 过往5年营收增.15%, 利润增-1217.53%
Income profile:
</v>
      </c>
      <c r="D19" t="s">
        <v>139</v>
      </c>
      <c r="E19" t="s">
        <v>338</v>
      </c>
      <c r="F19">
        <v>5.22</v>
      </c>
      <c r="G19">
        <v>0.77</v>
      </c>
      <c r="H19" t="s">
        <v>3545</v>
      </c>
      <c r="I19">
        <v>3453449200</v>
      </c>
      <c r="K19">
        <v>3.06</v>
      </c>
      <c r="L19" t="s">
        <v>1166</v>
      </c>
      <c r="M19" t="s">
        <v>2002</v>
      </c>
      <c r="N19" t="s">
        <v>2003</v>
      </c>
      <c r="O19" t="s">
        <v>494</v>
      </c>
      <c r="P19">
        <v>-9.66</v>
      </c>
      <c r="Q19" t="s">
        <v>2016</v>
      </c>
      <c r="R19">
        <v>5217021</v>
      </c>
      <c r="S19" s="5">
        <v>1.417</v>
      </c>
      <c r="T19" t="s">
        <v>1118</v>
      </c>
      <c r="U19">
        <v>604837030</v>
      </c>
      <c r="V19">
        <v>661580310</v>
      </c>
      <c r="W19">
        <v>2.19</v>
      </c>
      <c r="X19">
        <v>0.16</v>
      </c>
      <c r="Y19">
        <v>1.3</v>
      </c>
      <c r="Z19" t="s">
        <v>294</v>
      </c>
      <c r="AA19" t="s">
        <v>515</v>
      </c>
      <c r="AB19" t="s">
        <v>2004</v>
      </c>
      <c r="AC19" t="s">
        <v>2005</v>
      </c>
      <c r="AD19" t="s">
        <v>60</v>
      </c>
      <c r="AE19">
        <v>410517</v>
      </c>
      <c r="AF19" t="s">
        <v>2006</v>
      </c>
      <c r="AG19">
        <v>2106.3000000000002</v>
      </c>
      <c r="AH19" t="s">
        <v>2007</v>
      </c>
      <c r="AI19" t="s">
        <v>1611</v>
      </c>
      <c r="AJ19" t="s">
        <v>2008</v>
      </c>
      <c r="AK19" t="s">
        <v>2009</v>
      </c>
      <c r="AL19" t="s">
        <v>2010</v>
      </c>
      <c r="AM19" t="s">
        <v>60</v>
      </c>
      <c r="AN19">
        <v>0</v>
      </c>
      <c r="AO19" t="s">
        <v>231</v>
      </c>
      <c r="AP19" t="s">
        <v>2011</v>
      </c>
      <c r="AQ19" t="s">
        <v>769</v>
      </c>
      <c r="AR19" t="s">
        <v>2012</v>
      </c>
      <c r="AS19" t="s">
        <v>901</v>
      </c>
      <c r="AT19" t="s">
        <v>60</v>
      </c>
      <c r="AU19" t="s">
        <v>2013</v>
      </c>
      <c r="AV19" t="s">
        <v>2014</v>
      </c>
      <c r="AW19" t="s">
        <v>2015</v>
      </c>
      <c r="AX19" t="s">
        <v>1389</v>
      </c>
      <c r="AY19" t="s">
        <v>951</v>
      </c>
      <c r="AZ19" t="s">
        <v>758</v>
      </c>
      <c r="BA19" t="s">
        <v>339</v>
      </c>
      <c r="BB19" t="s">
        <v>761</v>
      </c>
      <c r="BC19" t="s">
        <v>1390</v>
      </c>
      <c r="BD19" t="s">
        <v>1092</v>
      </c>
      <c r="BE19" t="s">
        <v>759</v>
      </c>
      <c r="BF19" t="s">
        <v>340</v>
      </c>
      <c r="BG19" t="s">
        <v>977</v>
      </c>
      <c r="BH19" t="s">
        <v>2016</v>
      </c>
      <c r="BI19" t="s">
        <v>879</v>
      </c>
      <c r="BJ19" t="s">
        <v>1389</v>
      </c>
      <c r="BK19" t="s">
        <v>1118</v>
      </c>
      <c r="BL19" t="s">
        <v>3546</v>
      </c>
      <c r="BM19" t="s">
        <v>1390</v>
      </c>
      <c r="BN19" t="s">
        <v>60</v>
      </c>
      <c r="BO19">
        <v>1.19</v>
      </c>
      <c r="BP19">
        <v>3.99</v>
      </c>
      <c r="BQ19">
        <v>-2.6</v>
      </c>
      <c r="BR19">
        <v>0.81</v>
      </c>
      <c r="BS19">
        <v>3.9</v>
      </c>
      <c r="BT19" t="s">
        <v>1343</v>
      </c>
      <c r="BU19" t="s">
        <v>1166</v>
      </c>
      <c r="BV19">
        <v>8.7899999999999991</v>
      </c>
      <c r="BW19">
        <v>11.6</v>
      </c>
      <c r="BX19">
        <v>12.6</v>
      </c>
      <c r="BY19">
        <v>-15.28</v>
      </c>
      <c r="BZ19">
        <v>0.33</v>
      </c>
      <c r="CA19">
        <v>1.57</v>
      </c>
      <c r="CB19">
        <v>3.16</v>
      </c>
      <c r="CC19">
        <v>-5.43</v>
      </c>
      <c r="CD19" t="s">
        <v>3547</v>
      </c>
      <c r="CE19" t="s">
        <v>593</v>
      </c>
      <c r="CF19" s="8">
        <v>-9.7065462753950338E-2</v>
      </c>
      <c r="CG19" s="9">
        <v>1.4174139289189565</v>
      </c>
      <c r="CH19" s="8">
        <v>-0.36453598737716675</v>
      </c>
      <c r="CI19" s="8">
        <v>4.3538931757211685E-2</v>
      </c>
      <c r="CJ19" s="8">
        <v>0.27372917532920837</v>
      </c>
      <c r="CK19" s="8">
        <v>-0.1363217681646347</v>
      </c>
      <c r="CL19" s="8">
        <v>0.19129472970962524</v>
      </c>
      <c r="CM19" s="9">
        <v>-30.754343032836914</v>
      </c>
      <c r="CN19" s="9">
        <v>-0.78332901000976563</v>
      </c>
      <c r="CO19" s="9">
        <v>1.0519908666610718</v>
      </c>
      <c r="CP19" s="9">
        <v>-31.415197372436523</v>
      </c>
      <c r="CQ19" s="9">
        <v>1.0244219303131104</v>
      </c>
      <c r="CR19">
        <v>-7.4005474792766623</v>
      </c>
      <c r="CS19">
        <v>-48.023812047410559</v>
      </c>
      <c r="CT19">
        <v>0</v>
      </c>
      <c r="CU19" s="8">
        <v>1.5410162508487702E-3</v>
      </c>
      <c r="CV19" s="9">
        <v>-12.175291323661805</v>
      </c>
      <c r="CW19">
        <v>0.06</v>
      </c>
      <c r="CX19" t="e">
        <v>#VALUE!</v>
      </c>
      <c r="CY19" t="s">
        <v>1224</v>
      </c>
      <c r="CZ19">
        <v>1.5410162508487702E-3</v>
      </c>
      <c r="DA19" t="e">
        <v>#VALUE!</v>
      </c>
      <c r="DB19" t="s">
        <v>1224</v>
      </c>
      <c r="DC19">
        <v>1.4639654383063316E-3</v>
      </c>
      <c r="DD19" t="e">
        <v>#VALUE!</v>
      </c>
      <c r="DE19" t="s">
        <v>1224</v>
      </c>
      <c r="DF19">
        <v>1.3560943007469178E-3</v>
      </c>
      <c r="DG19" t="e">
        <v>#VALUE!</v>
      </c>
      <c r="DH19" t="s">
        <v>1224</v>
      </c>
      <c r="DI19">
        <v>1.2328130006790162E-3</v>
      </c>
      <c r="DJ19" t="e">
        <v>#VALUE!</v>
      </c>
      <c r="DK19" t="s">
        <v>1224</v>
      </c>
      <c r="DL19">
        <v>1.0787113755941391E-3</v>
      </c>
      <c r="DM19">
        <v>-363000000</v>
      </c>
      <c r="DN19">
        <v>1.5410162508487702E-3</v>
      </c>
      <c r="DO19">
        <v>3804449200</v>
      </c>
      <c r="DP19">
        <v>614988500</v>
      </c>
      <c r="DQ19">
        <v>1131</v>
      </c>
      <c r="DR19">
        <v>-9.8606479004799102E-2</v>
      </c>
      <c r="DS19">
        <v>13.59270525258076</v>
      </c>
      <c r="DT19" s="10">
        <v>-0.37333333333333335</v>
      </c>
      <c r="DU19">
        <v>-0.79333333333333345</v>
      </c>
      <c r="DV19">
        <v>-1.1666666666666667</v>
      </c>
      <c r="DW19">
        <v>6.3678696158323636</v>
      </c>
      <c r="DX19">
        <v>0.35377162921348387</v>
      </c>
      <c r="DY19">
        <v>6.0565679101646808</v>
      </c>
      <c r="DZ19">
        <v>3762</v>
      </c>
      <c r="EA19">
        <v>6.0148979516685914</v>
      </c>
      <c r="EB19">
        <v>6</v>
      </c>
      <c r="EC19">
        <v>8.2745358609599501E-2</v>
      </c>
      <c r="ED19">
        <v>0.53810549470554825</v>
      </c>
      <c r="EE19" s="11">
        <v>1.06891</v>
      </c>
      <c r="EF19">
        <v>1.06121</v>
      </c>
      <c r="EG19">
        <v>20.153771629213484</v>
      </c>
      <c r="EH19" t="s">
        <v>1229</v>
      </c>
      <c r="EI19">
        <v>0</v>
      </c>
      <c r="EJ19">
        <v>0</v>
      </c>
      <c r="EK19" s="13">
        <v>45489</v>
      </c>
      <c r="EL19" s="14">
        <v>-1.23</v>
      </c>
      <c r="EM19" s="14">
        <v>3.76</v>
      </c>
      <c r="EN19" s="14">
        <v>-1.1499999999999999</v>
      </c>
      <c r="EO19" s="14">
        <v>0</v>
      </c>
      <c r="EP19" s="14">
        <v>0.77</v>
      </c>
    </row>
    <row r="20" spans="1:146" ht="108" x14ac:dyDescent="0.25">
      <c r="A20" s="7"/>
      <c r="B20" s="7"/>
      <c r="C20" s="7" t="str">
        <f>""&amp;CHAR(10)&amp;Basic_Fundamental_Information_Constructure(F20)&amp;CHAR(10)&amp;Basic_Fundamental_Information_Concatenate("")</f>
        <v xml:space="preserve">
市值44.193512亿, 利润2.17亿; PE25.88; 平均PE15.34; 平均PEG.83, PB1.1; ROIC8.1333%; ROE8.8133%; 股利率.3444%; 毛利25.4833%; 净利5.1367%; 上一年度营收增1.88%, 利润增-29.77%; 当季营收增3.4%, 利润增-70.7%; 过往5年营收增18.43%, 利润增2.83%
Income profile:
</v>
      </c>
      <c r="D20" t="s">
        <v>131</v>
      </c>
      <c r="E20" t="s">
        <v>52</v>
      </c>
      <c r="F20">
        <v>7.55</v>
      </c>
      <c r="G20">
        <v>0.8</v>
      </c>
      <c r="H20" t="s">
        <v>3548</v>
      </c>
      <c r="I20">
        <v>4419351200</v>
      </c>
      <c r="J20">
        <v>25.88</v>
      </c>
      <c r="K20">
        <v>1.1000000000000001</v>
      </c>
      <c r="L20" t="s">
        <v>1166</v>
      </c>
      <c r="M20" t="s">
        <v>1619</v>
      </c>
      <c r="N20" t="s">
        <v>2017</v>
      </c>
      <c r="O20" t="s">
        <v>1599</v>
      </c>
      <c r="P20">
        <v>3.38</v>
      </c>
      <c r="Q20" t="s">
        <v>2032</v>
      </c>
      <c r="R20">
        <v>19281260</v>
      </c>
      <c r="S20" s="5">
        <v>-0.70699999999999996</v>
      </c>
      <c r="T20" t="s">
        <v>197</v>
      </c>
      <c r="U20">
        <v>548644370</v>
      </c>
      <c r="V20">
        <v>585344530</v>
      </c>
      <c r="W20">
        <v>1.3</v>
      </c>
      <c r="X20">
        <v>0.31</v>
      </c>
      <c r="Y20">
        <v>1.1100000000000001</v>
      </c>
      <c r="Z20" t="s">
        <v>2018</v>
      </c>
      <c r="AA20" t="s">
        <v>876</v>
      </c>
      <c r="AB20" t="s">
        <v>2019</v>
      </c>
      <c r="AC20" t="s">
        <v>252</v>
      </c>
      <c r="AD20" t="s">
        <v>60</v>
      </c>
      <c r="AE20">
        <v>25956313</v>
      </c>
      <c r="AF20" t="s">
        <v>2020</v>
      </c>
      <c r="AG20" t="s">
        <v>2021</v>
      </c>
      <c r="AH20" t="s">
        <v>2022</v>
      </c>
      <c r="AI20" t="s">
        <v>1643</v>
      </c>
      <c r="AJ20" t="s">
        <v>2023</v>
      </c>
      <c r="AK20" t="s">
        <v>2024</v>
      </c>
      <c r="AL20" t="s">
        <v>2025</v>
      </c>
      <c r="AM20" t="s">
        <v>60</v>
      </c>
      <c r="AN20" t="s">
        <v>2026</v>
      </c>
      <c r="AO20" t="s">
        <v>2027</v>
      </c>
      <c r="AP20" t="s">
        <v>60</v>
      </c>
      <c r="AQ20" t="s">
        <v>237</v>
      </c>
      <c r="AR20" t="s">
        <v>2028</v>
      </c>
      <c r="AS20" t="s">
        <v>2029</v>
      </c>
      <c r="AT20" t="s">
        <v>60</v>
      </c>
      <c r="AU20" t="s">
        <v>1301</v>
      </c>
      <c r="AV20" t="s">
        <v>2030</v>
      </c>
      <c r="AW20" t="s">
        <v>2031</v>
      </c>
      <c r="AX20" t="s">
        <v>1391</v>
      </c>
      <c r="AY20" t="s">
        <v>1094</v>
      </c>
      <c r="AZ20" t="s">
        <v>762</v>
      </c>
      <c r="BA20" t="s">
        <v>344</v>
      </c>
      <c r="BB20" t="s">
        <v>764</v>
      </c>
      <c r="BC20" t="s">
        <v>439</v>
      </c>
      <c r="BD20" t="s">
        <v>459</v>
      </c>
      <c r="BE20" t="s">
        <v>329</v>
      </c>
      <c r="BF20" t="s">
        <v>345</v>
      </c>
      <c r="BG20" t="s">
        <v>364</v>
      </c>
      <c r="BH20" t="s">
        <v>2032</v>
      </c>
      <c r="BI20" t="s">
        <v>3549</v>
      </c>
      <c r="BJ20" t="s">
        <v>1391</v>
      </c>
      <c r="BK20" t="s">
        <v>197</v>
      </c>
      <c r="BL20" t="s">
        <v>3550</v>
      </c>
      <c r="BM20" t="s">
        <v>439</v>
      </c>
      <c r="BN20">
        <v>5.78</v>
      </c>
      <c r="BO20">
        <v>7.34</v>
      </c>
      <c r="BP20">
        <v>11.28</v>
      </c>
      <c r="BQ20">
        <v>5.65</v>
      </c>
      <c r="BR20">
        <v>8.2200000000000006</v>
      </c>
      <c r="BS20">
        <v>12.57</v>
      </c>
      <c r="BT20" t="s">
        <v>2033</v>
      </c>
      <c r="BU20" t="s">
        <v>1166</v>
      </c>
      <c r="BV20">
        <v>24.86</v>
      </c>
      <c r="BW20">
        <v>25.43</v>
      </c>
      <c r="BX20">
        <v>26.16</v>
      </c>
      <c r="BY20">
        <v>3.24</v>
      </c>
      <c r="BZ20">
        <v>4.63</v>
      </c>
      <c r="CA20">
        <v>7.54</v>
      </c>
      <c r="CB20">
        <v>-0.32</v>
      </c>
      <c r="CC20">
        <v>-10.050000000000001</v>
      </c>
      <c r="CD20" t="s">
        <v>3551</v>
      </c>
      <c r="CE20" t="s">
        <v>3552</v>
      </c>
      <c r="CF20" s="8">
        <v>3.4047919293820783E-2</v>
      </c>
      <c r="CG20" s="9">
        <v>-0.70697574045339806</v>
      </c>
      <c r="CH20" s="8">
        <v>1.8830046057701111E-2</v>
      </c>
      <c r="CI20" s="8">
        <v>0.17118579149246216</v>
      </c>
      <c r="CJ20" s="8">
        <v>0.28352668881416321</v>
      </c>
      <c r="CK20" s="8">
        <v>0.16865512728691101</v>
      </c>
      <c r="CL20" s="8">
        <v>0.2792229950428009</v>
      </c>
      <c r="CM20" s="9">
        <v>-0.29773461818695068</v>
      </c>
      <c r="CN20" s="9">
        <v>-0.23514851927757263</v>
      </c>
      <c r="CO20" s="9">
        <v>0.22054380178451538</v>
      </c>
      <c r="CP20" s="9">
        <v>0.34552845358848572</v>
      </c>
      <c r="CQ20" s="9">
        <v>0.10810811072587967</v>
      </c>
      <c r="CR20">
        <v>15.336094389820705</v>
      </c>
      <c r="CS20">
        <v>0.83219832394450277</v>
      </c>
      <c r="CT20">
        <v>0.34437086092715236</v>
      </c>
      <c r="CU20" s="8">
        <v>0.18428412973880767</v>
      </c>
      <c r="CV20" s="9">
        <v>2.8259445726871491E-2</v>
      </c>
      <c r="CW20">
        <v>0.06</v>
      </c>
      <c r="CX20">
        <v>7.1577677465063481</v>
      </c>
      <c r="CY20">
        <v>242443071.84275588</v>
      </c>
      <c r="CZ20">
        <v>0.18428412973880767</v>
      </c>
      <c r="DA20">
        <v>2.161496308002981</v>
      </c>
      <c r="DB20">
        <v>802847172.84726739</v>
      </c>
      <c r="DC20">
        <v>0.17506992325186729</v>
      </c>
      <c r="DD20">
        <v>0.95401240629646988</v>
      </c>
      <c r="DE20">
        <v>1819002759.8663323</v>
      </c>
      <c r="DF20">
        <v>0.16217003417015075</v>
      </c>
      <c r="DG20">
        <v>0.50399699156759425</v>
      </c>
      <c r="DH20">
        <v>3443177695.5701537</v>
      </c>
      <c r="DI20">
        <v>0.14742730379104615</v>
      </c>
      <c r="DJ20">
        <v>0.19319060597384058</v>
      </c>
      <c r="DK20">
        <v>8982585831.5024834</v>
      </c>
      <c r="DL20">
        <v>0.12899889081716537</v>
      </c>
      <c r="DM20">
        <v>217000000</v>
      </c>
      <c r="DN20">
        <v>0.18428412973880767</v>
      </c>
      <c r="DO20">
        <v>1735351199.9999995</v>
      </c>
      <c r="DP20">
        <v>2607666800</v>
      </c>
      <c r="DQ20">
        <v>1138</v>
      </c>
      <c r="DR20">
        <v>-0.15023621044498689</v>
      </c>
      <c r="DS20">
        <v>-0.73523518618026951</v>
      </c>
      <c r="DT20" s="10">
        <v>5.9999999999999908E-2</v>
      </c>
      <c r="DU20">
        <v>-0.50666666666666671</v>
      </c>
      <c r="DV20">
        <v>-0.44666666666666682</v>
      </c>
      <c r="DW20">
        <v>-2.1004999999999998</v>
      </c>
      <c r="DX20">
        <v>0.34083418803418919</v>
      </c>
      <c r="DY20">
        <v>-2.0131488358974359</v>
      </c>
      <c r="DZ20">
        <v>2854</v>
      </c>
      <c r="EA20">
        <v>-2.0058007298368756</v>
      </c>
      <c r="EB20">
        <v>2</v>
      </c>
      <c r="EC20">
        <v>5.2302871951327538E-2</v>
      </c>
      <c r="ED20">
        <v>0.39976456259017235</v>
      </c>
      <c r="EE20" s="11">
        <v>3.05471</v>
      </c>
      <c r="EF20">
        <v>3.04671</v>
      </c>
      <c r="EG20">
        <v>21.130834188034189</v>
      </c>
      <c r="EH20" t="s">
        <v>1250</v>
      </c>
      <c r="EI20">
        <v>0</v>
      </c>
      <c r="EJ20">
        <v>0</v>
      </c>
      <c r="EK20" s="13">
        <v>45489</v>
      </c>
      <c r="EL20" s="14">
        <v>-3.13</v>
      </c>
      <c r="EM20" s="14">
        <v>2.64</v>
      </c>
      <c r="EN20" s="14">
        <v>-1.03</v>
      </c>
      <c r="EO20" s="14">
        <v>-2.34</v>
      </c>
      <c r="EP20" s="14">
        <v>0.8</v>
      </c>
    </row>
    <row r="21" spans="1:146" ht="156" x14ac:dyDescent="0.25">
      <c r="A21" s="7"/>
      <c r="B21" s="7"/>
      <c r="C21" s="7" t="str">
        <f>"公司的主营业务为应用软件开发、技术服务及相关的计算机信息系统集成服务,主要面向数据中心、银行影像和IT服务管理三个细分市场,为企业、政府、银行等客户提供数据中心建设解决方案、银行影像解决方案、IT服务管理解决方案。"&amp;CHAR(10)&amp;Basic_Fundamental_Information_Constructure(F21)&amp;CHAR(10)&amp;Basic_Fundamental_Information_Concatenate("金融科技综合服务 2.80亿 55.28% 53.73% 20.40%
数据中心综合服务 2.21亿 43.78% 43.40% 20.81%")</f>
        <v>公司的主营业务为应用软件开发、技术服务及相关的计算机信息系统集成服务,主要面向数据中心、银行影像和IT服务管理三个细分市场,为企业、政府、银行等客户提供数据中心建设解决方案、银行影像解决方案、IT服务管理解决方案。
市值38.430061亿, 利润-1.08亿; PE; 平均PE-36.22; 平均PEG-5.5, PB2.06; ROIC0%; ROE-4.77%; 股利率0%; 毛利20.2133%; 净利-10.0833%; 上一年度营收增-18.73%, 利润增36.09%; 当季营收增-53.58%, 利润增-224.96%; 过往5年营收增-6.59%, 利润增-984.43%
Income profile:
金融科技综合服务 2.80亿 55.28% 53.73% 20.40%
数据中心综合服务 2.21亿 43.78% 43.40% 20.81%</v>
      </c>
      <c r="D21" t="s">
        <v>72</v>
      </c>
      <c r="E21" t="s">
        <v>28</v>
      </c>
      <c r="F21">
        <v>11.3</v>
      </c>
      <c r="G21">
        <v>0.98</v>
      </c>
      <c r="H21" t="s">
        <v>3553</v>
      </c>
      <c r="I21">
        <v>3843006100</v>
      </c>
      <c r="K21">
        <v>2.06</v>
      </c>
      <c r="L21" t="s">
        <v>1166</v>
      </c>
      <c r="M21" t="s">
        <v>423</v>
      </c>
      <c r="N21" t="s">
        <v>1508</v>
      </c>
      <c r="O21" t="s">
        <v>403</v>
      </c>
      <c r="P21">
        <v>-53.4</v>
      </c>
      <c r="Q21" t="s">
        <v>2043</v>
      </c>
      <c r="R21">
        <v>-45500000</v>
      </c>
      <c r="S21" s="5">
        <v>-0.96150000000000002</v>
      </c>
      <c r="T21" t="s">
        <v>1231</v>
      </c>
      <c r="U21">
        <v>335118610</v>
      </c>
      <c r="V21">
        <v>340089030</v>
      </c>
      <c r="W21">
        <v>1.31</v>
      </c>
      <c r="X21">
        <v>0.05</v>
      </c>
      <c r="Y21">
        <v>-22.24</v>
      </c>
      <c r="Z21" t="s">
        <v>191</v>
      </c>
      <c r="AA21" t="s">
        <v>2034</v>
      </c>
      <c r="AB21" t="s">
        <v>2035</v>
      </c>
      <c r="AC21" t="s">
        <v>2036</v>
      </c>
      <c r="AD21" t="s">
        <v>60</v>
      </c>
      <c r="AE21">
        <v>-1243572</v>
      </c>
      <c r="AF21" t="s">
        <v>2037</v>
      </c>
      <c r="AG21" t="s">
        <v>60</v>
      </c>
      <c r="AH21" t="s">
        <v>2038</v>
      </c>
      <c r="AI21" t="s">
        <v>705</v>
      </c>
      <c r="AJ21" t="s">
        <v>2039</v>
      </c>
      <c r="AK21" t="s">
        <v>1246</v>
      </c>
      <c r="AL21" t="s">
        <v>2040</v>
      </c>
      <c r="AM21" t="s">
        <v>60</v>
      </c>
      <c r="AN21">
        <v>0</v>
      </c>
      <c r="AO21" t="s">
        <v>2041</v>
      </c>
      <c r="AP21" t="s">
        <v>60</v>
      </c>
      <c r="AQ21" t="s">
        <v>381</v>
      </c>
      <c r="AR21" t="s">
        <v>60</v>
      </c>
      <c r="AS21" t="s">
        <v>889</v>
      </c>
      <c r="AT21" t="s">
        <v>60</v>
      </c>
      <c r="AU21" t="s">
        <v>1381</v>
      </c>
      <c r="AV21" t="s">
        <v>321</v>
      </c>
      <c r="AW21" t="s">
        <v>2042</v>
      </c>
      <c r="AX21" t="s">
        <v>1295</v>
      </c>
      <c r="AY21" t="s">
        <v>1095</v>
      </c>
      <c r="AZ21" t="s">
        <v>519</v>
      </c>
      <c r="BA21" t="s">
        <v>350</v>
      </c>
      <c r="BB21" t="s">
        <v>767</v>
      </c>
      <c r="BC21" t="s">
        <v>1315</v>
      </c>
      <c r="BD21" t="s">
        <v>1096</v>
      </c>
      <c r="BE21" t="s">
        <v>765</v>
      </c>
      <c r="BF21" t="s">
        <v>351</v>
      </c>
      <c r="BG21" t="s">
        <v>768</v>
      </c>
      <c r="BH21" t="s">
        <v>2043</v>
      </c>
      <c r="BI21" t="s">
        <v>326</v>
      </c>
      <c r="BJ21" t="s">
        <v>1295</v>
      </c>
      <c r="BK21" t="s">
        <v>1231</v>
      </c>
      <c r="BL21" t="s">
        <v>3554</v>
      </c>
      <c r="BM21" t="s">
        <v>1315</v>
      </c>
      <c r="BN21" t="s">
        <v>60</v>
      </c>
      <c r="BO21" t="s">
        <v>60</v>
      </c>
      <c r="BP21" t="s">
        <v>60</v>
      </c>
      <c r="BQ21">
        <v>-1.99</v>
      </c>
      <c r="BR21">
        <v>-8.1199999999999992</v>
      </c>
      <c r="BS21">
        <v>-4.2</v>
      </c>
      <c r="BT21" t="s">
        <v>1343</v>
      </c>
      <c r="BU21" t="s">
        <v>1166</v>
      </c>
      <c r="BV21">
        <v>20.7</v>
      </c>
      <c r="BW21">
        <v>21.31</v>
      </c>
      <c r="BX21">
        <v>18.63</v>
      </c>
      <c r="BY21">
        <v>-10.81</v>
      </c>
      <c r="BZ21">
        <v>-13.67</v>
      </c>
      <c r="CA21">
        <v>-5.77</v>
      </c>
      <c r="CB21">
        <v>-3.91</v>
      </c>
      <c r="CC21">
        <v>-7</v>
      </c>
      <c r="CD21" t="s">
        <v>3555</v>
      </c>
      <c r="CE21" t="s">
        <v>3556</v>
      </c>
      <c r="CF21" s="8">
        <v>-0.53584905660377358</v>
      </c>
      <c r="CG21" s="9">
        <v>-2.2495589884229998</v>
      </c>
      <c r="CH21" s="8">
        <v>-0.1873478889465332</v>
      </c>
      <c r="CI21" s="8">
        <v>-0.23225408792495728</v>
      </c>
      <c r="CJ21" s="8">
        <v>-8.6461886763572693E-2</v>
      </c>
      <c r="CK21" s="8">
        <v>5.1435407251119614E-2</v>
      </c>
      <c r="CL21" s="8">
        <v>0.12516823410987854</v>
      </c>
      <c r="CM21" s="9">
        <v>0.36094674468040466</v>
      </c>
      <c r="CN21" s="9">
        <v>-0.82320904731750488</v>
      </c>
      <c r="CO21" s="9">
        <v>-14.433481216430664</v>
      </c>
      <c r="CP21" s="9">
        <v>1.0244687795639038</v>
      </c>
      <c r="CQ21" s="9">
        <v>-35.350448608398438</v>
      </c>
      <c r="CR21">
        <v>-36.221514521257212</v>
      </c>
      <c r="CS21">
        <v>-5.497099812420748</v>
      </c>
      <c r="CT21">
        <v>0</v>
      </c>
      <c r="CU21" s="8">
        <v>-6.5892044454813004E-2</v>
      </c>
      <c r="CV21" s="9">
        <v>-9.8443446695804599</v>
      </c>
      <c r="CW21">
        <v>0.06</v>
      </c>
      <c r="CX21" t="e">
        <v>#VALUE!</v>
      </c>
      <c r="CY21" t="s">
        <v>1223</v>
      </c>
      <c r="CZ21">
        <v>-6.5892044454813004E-2</v>
      </c>
      <c r="DA21" t="e">
        <v>#VALUE!</v>
      </c>
      <c r="DB21" t="s">
        <v>1224</v>
      </c>
      <c r="DC21">
        <v>-6.2597442232072351E-2</v>
      </c>
      <c r="DD21" t="e">
        <v>#VALUE!</v>
      </c>
      <c r="DE21" t="s">
        <v>1224</v>
      </c>
      <c r="DF21">
        <v>-5.7984999120235442E-2</v>
      </c>
      <c r="DG21" t="e">
        <v>#VALUE!</v>
      </c>
      <c r="DH21" t="s">
        <v>1224</v>
      </c>
      <c r="DI21">
        <v>-5.2713635563850406E-2</v>
      </c>
      <c r="DJ21" t="e">
        <v>#VALUE!</v>
      </c>
      <c r="DK21" t="s">
        <v>1224</v>
      </c>
      <c r="DL21">
        <v>-4.61244311183691E-2</v>
      </c>
      <c r="DM21">
        <v>-108000000</v>
      </c>
      <c r="DN21">
        <v>-6.5892044454813004E-2</v>
      </c>
      <c r="DO21">
        <v>2618006100</v>
      </c>
      <c r="DP21">
        <v>606833220</v>
      </c>
      <c r="DQ21">
        <v>1146</v>
      </c>
      <c r="DR21">
        <v>-0.46995701214896057</v>
      </c>
      <c r="DS21">
        <v>7.5947856811574601</v>
      </c>
      <c r="DT21" s="10">
        <v>-0.75666666666666671</v>
      </c>
      <c r="DU21">
        <v>-2.9316666666666666</v>
      </c>
      <c r="DV21">
        <v>-3.6883333333333335</v>
      </c>
      <c r="DW21">
        <v>-8.5585714285714278</v>
      </c>
      <c r="DX21">
        <v>0.26890727272727333</v>
      </c>
      <c r="DY21">
        <v>-8.0775896337662338</v>
      </c>
      <c r="DZ21">
        <v>5047</v>
      </c>
      <c r="EA21">
        <v>-8.0009115680489469</v>
      </c>
      <c r="EB21">
        <v>8</v>
      </c>
      <c r="EC21">
        <v>0.13478647047215839</v>
      </c>
      <c r="ED21">
        <v>0.97033415044290017</v>
      </c>
      <c r="EE21" s="11">
        <v>-7.1116099999999998</v>
      </c>
      <c r="EF21">
        <v>-7.1018100000000004</v>
      </c>
      <c r="EG21">
        <v>13.138907272727273</v>
      </c>
      <c r="EH21" t="s">
        <v>1866</v>
      </c>
      <c r="EI21">
        <v>0</v>
      </c>
      <c r="EJ21">
        <v>0</v>
      </c>
      <c r="EK21" s="13">
        <v>45489</v>
      </c>
      <c r="EL21" s="14">
        <v>-5.32</v>
      </c>
      <c r="EM21" s="14">
        <v>2.56</v>
      </c>
      <c r="EN21" s="14">
        <v>-0.86</v>
      </c>
      <c r="EO21" s="14">
        <v>-3.03</v>
      </c>
      <c r="EP21" s="14">
        <v>0.98</v>
      </c>
    </row>
    <row r="22" spans="1:146" ht="96" x14ac:dyDescent="0.25">
      <c r="A22" s="7"/>
      <c r="B22" s="7"/>
      <c r="C22" s="7" t="str">
        <f>""&amp;CHAR(10)&amp;Basic_Fundamental_Information_Constructure(F22)&amp;CHAR(10)&amp;Basic_Fundamental_Information_Concatenate("")</f>
        <v xml:space="preserve">
市值32.324648亿, 利润-4886.84万; PE; 平均PE272.91; 平均PEG23.11, PB4.8; ROIC1.255%; ROE-1.8767%; 股利率0%; 毛利21.6933%; 净利-3.2967%; 上一年度营收增-30.91%, 利润增-600.52%; 当季营收增21.39%, 利润增8.93%; 过往5年营收增-11.81%, 利润增-144.19%
Income profile:
</v>
      </c>
      <c r="D22" t="s">
        <v>93</v>
      </c>
      <c r="E22" t="s">
        <v>30</v>
      </c>
      <c r="F22">
        <v>15.41</v>
      </c>
      <c r="G22">
        <v>0.33</v>
      </c>
      <c r="H22" t="s">
        <v>3557</v>
      </c>
      <c r="I22">
        <v>3232464800</v>
      </c>
      <c r="K22">
        <v>4.8</v>
      </c>
      <c r="L22" t="s">
        <v>1166</v>
      </c>
      <c r="M22" t="s">
        <v>230</v>
      </c>
      <c r="N22" t="s">
        <v>2044</v>
      </c>
      <c r="O22" t="s">
        <v>2045</v>
      </c>
      <c r="P22">
        <v>21.39</v>
      </c>
      <c r="Q22" t="s">
        <v>902</v>
      </c>
      <c r="R22">
        <v>-14000000</v>
      </c>
      <c r="S22" s="5">
        <v>1.4379999999999999</v>
      </c>
      <c r="T22" t="s">
        <v>2062</v>
      </c>
      <c r="U22">
        <v>170823380</v>
      </c>
      <c r="V22">
        <v>209764100</v>
      </c>
      <c r="W22">
        <v>1.54</v>
      </c>
      <c r="X22">
        <v>0.08</v>
      </c>
      <c r="Y22">
        <v>5.64</v>
      </c>
      <c r="Z22" t="s">
        <v>2046</v>
      </c>
      <c r="AA22" t="s">
        <v>2047</v>
      </c>
      <c r="AB22" t="s">
        <v>2048</v>
      </c>
      <c r="AC22" t="s">
        <v>2049</v>
      </c>
      <c r="AD22" t="s">
        <v>60</v>
      </c>
      <c r="AE22">
        <v>455629</v>
      </c>
      <c r="AF22" t="s">
        <v>2050</v>
      </c>
      <c r="AG22" t="s">
        <v>2051</v>
      </c>
      <c r="AH22" t="s">
        <v>2052</v>
      </c>
      <c r="AI22" t="s">
        <v>700</v>
      </c>
      <c r="AJ22" t="s">
        <v>2053</v>
      </c>
      <c r="AK22" t="s">
        <v>2054</v>
      </c>
      <c r="AL22" t="s">
        <v>2055</v>
      </c>
      <c r="AM22" t="s">
        <v>60</v>
      </c>
      <c r="AN22">
        <v>0</v>
      </c>
      <c r="AO22" t="s">
        <v>2056</v>
      </c>
      <c r="AP22" t="s">
        <v>2057</v>
      </c>
      <c r="AQ22" t="s">
        <v>186</v>
      </c>
      <c r="AR22" t="s">
        <v>60</v>
      </c>
      <c r="AS22" t="s">
        <v>64</v>
      </c>
      <c r="AT22" t="s">
        <v>60</v>
      </c>
      <c r="AU22" t="s">
        <v>2058</v>
      </c>
      <c r="AV22" t="s">
        <v>2059</v>
      </c>
      <c r="AW22" t="s">
        <v>2060</v>
      </c>
      <c r="AX22" t="s">
        <v>504</v>
      </c>
      <c r="AY22" t="s">
        <v>858</v>
      </c>
      <c r="AZ22" t="s">
        <v>769</v>
      </c>
      <c r="BA22" t="s">
        <v>358</v>
      </c>
      <c r="BB22" t="s">
        <v>771</v>
      </c>
      <c r="BC22" t="s">
        <v>2061</v>
      </c>
      <c r="BD22" t="s">
        <v>1097</v>
      </c>
      <c r="BE22" t="s">
        <v>770</v>
      </c>
      <c r="BF22" t="s">
        <v>359</v>
      </c>
      <c r="BG22" t="s">
        <v>772</v>
      </c>
      <c r="BH22" t="s">
        <v>902</v>
      </c>
      <c r="BI22" t="s">
        <v>3558</v>
      </c>
      <c r="BJ22" t="s">
        <v>504</v>
      </c>
      <c r="BK22" t="s">
        <v>2062</v>
      </c>
      <c r="BL22" t="s">
        <v>3559</v>
      </c>
      <c r="BM22" t="s">
        <v>2061</v>
      </c>
      <c r="BN22" t="s">
        <v>60</v>
      </c>
      <c r="BO22">
        <v>1.01</v>
      </c>
      <c r="BP22">
        <v>1.5</v>
      </c>
      <c r="BQ22">
        <v>-8.91</v>
      </c>
      <c r="BR22">
        <v>1.41</v>
      </c>
      <c r="BS22">
        <v>1.87</v>
      </c>
      <c r="BT22" t="s">
        <v>1343</v>
      </c>
      <c r="BU22" t="s">
        <v>1166</v>
      </c>
      <c r="BV22">
        <v>21.67</v>
      </c>
      <c r="BW22">
        <v>21.88</v>
      </c>
      <c r="BX22">
        <v>21.53</v>
      </c>
      <c r="BY22">
        <v>-13.01</v>
      </c>
      <c r="BZ22">
        <v>1.32</v>
      </c>
      <c r="CA22">
        <v>1.8</v>
      </c>
      <c r="CB22">
        <v>-0.84</v>
      </c>
      <c r="CC22">
        <v>-11.33</v>
      </c>
      <c r="CD22" t="s">
        <v>3560</v>
      </c>
      <c r="CE22" t="s">
        <v>373</v>
      </c>
      <c r="CF22" s="8">
        <v>0.21393339897950051</v>
      </c>
      <c r="CG22" s="9">
        <v>8.9270961404604388E-2</v>
      </c>
      <c r="CH22" s="8">
        <v>-0.30911901593208313</v>
      </c>
      <c r="CI22" s="8">
        <v>9.3603739514946938E-3</v>
      </c>
      <c r="CJ22" s="8">
        <v>-3.17220538854599E-2</v>
      </c>
      <c r="CK22" s="8">
        <v>-0.11140939593315125</v>
      </c>
      <c r="CL22" s="8">
        <v>-0.14759725332260132</v>
      </c>
      <c r="CM22" s="9">
        <v>-6.005162239074707</v>
      </c>
      <c r="CN22" s="9">
        <v>-0.26687592267990112</v>
      </c>
      <c r="CO22" s="9">
        <v>-0.34828481078147888</v>
      </c>
      <c r="CP22" s="9">
        <v>-0.40481910109519958</v>
      </c>
      <c r="CQ22" s="9">
        <v>-0.18417638540267944</v>
      </c>
      <c r="CR22">
        <v>272.90735401513774</v>
      </c>
      <c r="CS22">
        <v>23.108653916947588</v>
      </c>
      <c r="CT22">
        <v>0</v>
      </c>
      <c r="CU22" s="8">
        <v>-0.11809746902436018</v>
      </c>
      <c r="CV22" s="9">
        <v>-1.4418636918067933</v>
      </c>
      <c r="CW22">
        <v>0.06</v>
      </c>
      <c r="CX22" t="e">
        <v>#VALUE!</v>
      </c>
      <c r="CY22" t="s">
        <v>1223</v>
      </c>
      <c r="CZ22">
        <v>-0.11809746902436018</v>
      </c>
      <c r="DA22" t="e">
        <v>#VALUE!</v>
      </c>
      <c r="DB22" t="s">
        <v>1224</v>
      </c>
      <c r="DC22">
        <v>-0.11219259557314216</v>
      </c>
      <c r="DD22" t="e">
        <v>#VALUE!</v>
      </c>
      <c r="DE22" t="s">
        <v>1224</v>
      </c>
      <c r="DF22">
        <v>-0.10392577274143695</v>
      </c>
      <c r="DG22" t="e">
        <v>#VALUE!</v>
      </c>
      <c r="DH22" t="s">
        <v>1224</v>
      </c>
      <c r="DI22">
        <v>-9.4477975219488142E-2</v>
      </c>
      <c r="DJ22" t="e">
        <v>#VALUE!</v>
      </c>
      <c r="DK22" t="s">
        <v>1224</v>
      </c>
      <c r="DL22">
        <v>-8.2668228317052117E-2</v>
      </c>
      <c r="DM22">
        <v>-48868400</v>
      </c>
      <c r="DN22">
        <v>-0.11809746902436018</v>
      </c>
      <c r="DO22">
        <v>2944464800</v>
      </c>
      <c r="DP22">
        <v>404214400</v>
      </c>
      <c r="DQ22">
        <v>1247</v>
      </c>
      <c r="DR22">
        <v>0.33203086800386067</v>
      </c>
      <c r="DS22">
        <v>1.5311346532113976</v>
      </c>
      <c r="DT22" s="10">
        <v>-0.60666666666666669</v>
      </c>
      <c r="DU22">
        <v>-2.1483333333333334</v>
      </c>
      <c r="DV22">
        <v>-2.7549999999999999</v>
      </c>
      <c r="DW22">
        <v>-2.1133000000000002</v>
      </c>
      <c r="DX22">
        <v>0.31637896995708115</v>
      </c>
      <c r="DY22">
        <v>-2.0120527372961372</v>
      </c>
      <c r="DZ22">
        <v>4789</v>
      </c>
      <c r="EA22">
        <v>-2.0007504935304818</v>
      </c>
      <c r="EB22">
        <v>2</v>
      </c>
      <c r="EC22">
        <v>0.11816273614026424</v>
      </c>
      <c r="ED22">
        <v>1.110771576261143</v>
      </c>
      <c r="EE22" s="11">
        <v>0.10940999999999999</v>
      </c>
      <c r="EF22">
        <v>0.10611</v>
      </c>
      <c r="EG22">
        <v>21.106378969957081</v>
      </c>
      <c r="EH22">
        <v>-1</v>
      </c>
      <c r="EI22">
        <v>0</v>
      </c>
      <c r="EJ22">
        <v>0</v>
      </c>
      <c r="EK22" s="13">
        <v>45489</v>
      </c>
      <c r="EL22" s="14">
        <v>-1.92</v>
      </c>
      <c r="EM22" s="14">
        <v>2.72</v>
      </c>
      <c r="EN22" s="14">
        <v>-1.26</v>
      </c>
      <c r="EO22" s="14">
        <v>-1.85</v>
      </c>
      <c r="EP22" s="14">
        <v>0.33</v>
      </c>
    </row>
    <row r="23" spans="1:146" ht="108" x14ac:dyDescent="0.25">
      <c r="A23" s="7"/>
      <c r="B23" s="7"/>
      <c r="C23" s="7" t="str">
        <f>""&amp;CHAR(10)&amp;Basic_Fundamental_Information_Constructure(F23)&amp;CHAR(10)&amp;Basic_Fundamental_Information_Concatenate("")</f>
        <v xml:space="preserve">
市值56.254237亿, 利润1.68亿; PE34.18; 平均PE32.52; 平均PEG3.42, PB3.34; ROIC11.2267%; ROE12.05%; 股利率.8708%; 毛利52.9867%; 净利15.45%; 上一年度营收增4.99%, 利润增-8.7%; 当季营收增4.26%, 利润增-19.8%; 过往5年营收增9.51%, 利润增8.78%
Income profile:
</v>
      </c>
      <c r="D23" t="s">
        <v>98</v>
      </c>
      <c r="E23" t="s">
        <v>27</v>
      </c>
      <c r="F23">
        <v>13.78</v>
      </c>
      <c r="G23">
        <v>0.88</v>
      </c>
      <c r="H23" t="s">
        <v>3561</v>
      </c>
      <c r="I23">
        <v>5625423700</v>
      </c>
      <c r="J23">
        <v>34.18</v>
      </c>
      <c r="K23">
        <v>3.34</v>
      </c>
      <c r="L23" t="s">
        <v>1166</v>
      </c>
      <c r="M23" t="s">
        <v>1603</v>
      </c>
      <c r="N23" t="s">
        <v>2063</v>
      </c>
      <c r="O23" t="s">
        <v>353</v>
      </c>
      <c r="P23">
        <v>4.18</v>
      </c>
      <c r="Q23" t="s">
        <v>2074</v>
      </c>
      <c r="R23">
        <v>13433533</v>
      </c>
      <c r="S23" s="5">
        <v>-0.19800000000000001</v>
      </c>
      <c r="T23" t="s">
        <v>182</v>
      </c>
      <c r="U23">
        <v>399174630</v>
      </c>
      <c r="V23">
        <v>408231040</v>
      </c>
      <c r="W23">
        <v>1.46</v>
      </c>
      <c r="X23">
        <v>7.0000000000000007E-2</v>
      </c>
      <c r="Y23">
        <v>4.17</v>
      </c>
      <c r="Z23" t="s">
        <v>210</v>
      </c>
      <c r="AA23" t="s">
        <v>402</v>
      </c>
      <c r="AB23" t="s">
        <v>2064</v>
      </c>
      <c r="AC23" t="s">
        <v>2065</v>
      </c>
      <c r="AD23" t="s">
        <v>60</v>
      </c>
      <c r="AE23">
        <v>-1369100</v>
      </c>
      <c r="AF23" t="s">
        <v>2066</v>
      </c>
      <c r="AG23">
        <v>5355.24</v>
      </c>
      <c r="AH23" t="s">
        <v>2067</v>
      </c>
      <c r="AI23" t="s">
        <v>407</v>
      </c>
      <c r="AJ23" t="s">
        <v>2068</v>
      </c>
      <c r="AK23" t="s">
        <v>60</v>
      </c>
      <c r="AL23" t="s">
        <v>2069</v>
      </c>
      <c r="AM23" t="s">
        <v>60</v>
      </c>
      <c r="AN23">
        <v>0</v>
      </c>
      <c r="AO23" t="s">
        <v>2070</v>
      </c>
      <c r="AP23" t="s">
        <v>60</v>
      </c>
      <c r="AQ23" t="s">
        <v>641</v>
      </c>
      <c r="AR23" t="s">
        <v>2071</v>
      </c>
      <c r="AS23" t="s">
        <v>1284</v>
      </c>
      <c r="AT23" t="s">
        <v>60</v>
      </c>
      <c r="AU23" t="s">
        <v>1231</v>
      </c>
      <c r="AV23" t="s">
        <v>2072</v>
      </c>
      <c r="AW23" t="s">
        <v>2073</v>
      </c>
      <c r="AX23" t="s">
        <v>1383</v>
      </c>
      <c r="AY23" t="s">
        <v>1098</v>
      </c>
      <c r="AZ23" t="s">
        <v>484</v>
      </c>
      <c r="BA23" t="s">
        <v>280</v>
      </c>
      <c r="BB23" t="s">
        <v>773</v>
      </c>
      <c r="BC23" t="s">
        <v>210</v>
      </c>
      <c r="BD23" t="s">
        <v>381</v>
      </c>
      <c r="BE23" t="s">
        <v>444</v>
      </c>
      <c r="BF23" t="s">
        <v>360</v>
      </c>
      <c r="BG23" t="s">
        <v>206</v>
      </c>
      <c r="BH23" t="s">
        <v>2074</v>
      </c>
      <c r="BI23" t="s">
        <v>788</v>
      </c>
      <c r="BJ23" t="s">
        <v>1383</v>
      </c>
      <c r="BK23" t="s">
        <v>182</v>
      </c>
      <c r="BL23" t="s">
        <v>3562</v>
      </c>
      <c r="BM23" t="s">
        <v>210</v>
      </c>
      <c r="BN23">
        <v>6.43</v>
      </c>
      <c r="BO23">
        <v>11.7</v>
      </c>
      <c r="BP23">
        <v>15.55</v>
      </c>
      <c r="BQ23">
        <v>7.22</v>
      </c>
      <c r="BR23">
        <v>12.47</v>
      </c>
      <c r="BS23">
        <v>16.46</v>
      </c>
      <c r="BT23" t="s">
        <v>1348</v>
      </c>
      <c r="BU23" t="s">
        <v>1166</v>
      </c>
      <c r="BV23">
        <v>47.61</v>
      </c>
      <c r="BW23">
        <v>55.24</v>
      </c>
      <c r="BX23">
        <v>56.11</v>
      </c>
      <c r="BY23">
        <v>13.27</v>
      </c>
      <c r="BZ23">
        <v>15.24</v>
      </c>
      <c r="CA23">
        <v>17.84</v>
      </c>
      <c r="CB23">
        <v>-4.04</v>
      </c>
      <c r="CC23">
        <v>-15.46</v>
      </c>
      <c r="CD23" t="s">
        <v>3563</v>
      </c>
      <c r="CE23" t="s">
        <v>349</v>
      </c>
      <c r="CF23" s="8">
        <v>4.2553191489361701E-2</v>
      </c>
      <c r="CG23" s="9">
        <v>-0.19795493489202404</v>
      </c>
      <c r="CH23" s="8">
        <v>4.9883082509040833E-2</v>
      </c>
      <c r="CI23" s="8">
        <v>-1.7610976472496986E-2</v>
      </c>
      <c r="CJ23" s="8">
        <v>0.13171577453613281</v>
      </c>
      <c r="CK23" s="8">
        <v>0.13582676649093628</v>
      </c>
      <c r="CL23" s="8">
        <v>0.17592592537403107</v>
      </c>
      <c r="CM23" s="9">
        <v>-8.6956523358821869E-2</v>
      </c>
      <c r="CN23" s="9">
        <v>-0.15981735289096832</v>
      </c>
      <c r="CO23" s="9">
        <v>0.17112299799919128</v>
      </c>
      <c r="CP23" s="9">
        <v>0.16149067878723145</v>
      </c>
      <c r="CQ23" s="9">
        <v>0.35294118523597717</v>
      </c>
      <c r="CR23">
        <v>32.5169</v>
      </c>
      <c r="CS23">
        <v>3.4175033499231384</v>
      </c>
      <c r="CT23">
        <v>0.8708272859216255</v>
      </c>
      <c r="CU23" s="8">
        <v>9.5148114487528801E-2</v>
      </c>
      <c r="CV23" s="9">
        <v>8.7756197154521945E-2</v>
      </c>
      <c r="CW23">
        <v>0.06</v>
      </c>
      <c r="CX23">
        <v>27.25359297929522</v>
      </c>
      <c r="CY23">
        <v>173570644.56028759</v>
      </c>
      <c r="CZ23">
        <v>9.5148114487528801E-2</v>
      </c>
      <c r="DA23">
        <v>8.8675018417892773</v>
      </c>
      <c r="DB23">
        <v>533456184.6615302</v>
      </c>
      <c r="DC23">
        <v>9.0390708763152361E-2</v>
      </c>
      <c r="DD23">
        <v>4.3398559356345281</v>
      </c>
      <c r="DE23">
        <v>1089995559.7969329</v>
      </c>
      <c r="DF23">
        <v>8.3730340749025342E-2</v>
      </c>
      <c r="DG23">
        <v>2.5890149477298099</v>
      </c>
      <c r="DH23">
        <v>1827113321.2837934</v>
      </c>
      <c r="DI23">
        <v>7.6118491590023041E-2</v>
      </c>
      <c r="DJ23">
        <v>1.3181401232641452</v>
      </c>
      <c r="DK23">
        <v>3588710802.8287058</v>
      </c>
      <c r="DL23">
        <v>6.6603680141270161E-2</v>
      </c>
      <c r="DM23">
        <v>168000000</v>
      </c>
      <c r="DN23">
        <v>9.5148114487528801E-2</v>
      </c>
      <c r="DO23">
        <v>4730423700</v>
      </c>
      <c r="DP23">
        <v>1182543100</v>
      </c>
      <c r="DQ23">
        <v>1252</v>
      </c>
      <c r="DR23">
        <v>-5.25949229981671E-2</v>
      </c>
      <c r="DS23">
        <v>-0.28571113204654597</v>
      </c>
      <c r="DT23" s="10">
        <v>-0.34</v>
      </c>
      <c r="DU23">
        <v>-2.0000000000000056E-2</v>
      </c>
      <c r="DV23">
        <v>-0.3600000000000001</v>
      </c>
      <c r="DW23">
        <v>-8.261319534282018</v>
      </c>
      <c r="DX23">
        <v>0.38099514563106762</v>
      </c>
      <c r="DY23">
        <v>-8.0446843718207965</v>
      </c>
      <c r="DZ23">
        <v>2672</v>
      </c>
      <c r="EA23">
        <v>-8.0213053544906288</v>
      </c>
      <c r="EB23">
        <v>8</v>
      </c>
      <c r="EC23">
        <v>8.6286922229137697E-2</v>
      </c>
      <c r="ED23">
        <v>0.50461620948764696</v>
      </c>
      <c r="EE23" s="11">
        <v>-6.0518099999999997</v>
      </c>
      <c r="EF23">
        <v>-6.0430099999999998</v>
      </c>
      <c r="EG23">
        <v>21.170995145631068</v>
      </c>
      <c r="EH23" t="s">
        <v>2174</v>
      </c>
      <c r="EI23">
        <v>0</v>
      </c>
      <c r="EJ23">
        <v>0</v>
      </c>
      <c r="EK23" s="13">
        <v>45489</v>
      </c>
      <c r="EL23" s="14">
        <v>-1.07</v>
      </c>
      <c r="EM23" s="14">
        <v>2.94</v>
      </c>
      <c r="EN23" s="14">
        <v>-1.7</v>
      </c>
      <c r="EO23" s="14">
        <v>-5.66</v>
      </c>
      <c r="EP23" s="14">
        <v>0.88</v>
      </c>
    </row>
    <row r="24" spans="1:146" ht="108" x14ac:dyDescent="0.25">
      <c r="C24" s="7" t="str">
        <f>""&amp;CHAR(10)&amp;Basic_Fundamental_Information_Constructure(F24)&amp;CHAR(10)&amp;Basic_Fundamental_Information_Concatenate("")</f>
        <v xml:space="preserve">
市值31.06311亿, 利润7311.72万; PE48.21; 平均PE36.5; 平均PEG2.67, PB2.68; ROIC8.88%; ROE8.88%; 股利率.6944%; 毛利43.5933%; 净利12.03%; 上一年度营收增-6.85%, 利润增-35.86%; 当季营收增-11.63%, 利润增-13.93%; 过往5年营收增13.68%, 利润增3.86%
Income profile:
</v>
      </c>
      <c r="D24" t="s">
        <v>1393</v>
      </c>
      <c r="E24" t="s">
        <v>1394</v>
      </c>
      <c r="F24">
        <v>7.2</v>
      </c>
      <c r="G24">
        <v>0.28000000000000003</v>
      </c>
      <c r="H24" t="s">
        <v>3564</v>
      </c>
      <c r="I24">
        <v>3106311000</v>
      </c>
      <c r="J24">
        <v>48.21</v>
      </c>
      <c r="K24">
        <v>2.68</v>
      </c>
      <c r="L24" t="s">
        <v>1166</v>
      </c>
      <c r="M24" t="s">
        <v>335</v>
      </c>
      <c r="N24" t="s">
        <v>1701</v>
      </c>
      <c r="O24" t="s">
        <v>448</v>
      </c>
      <c r="P24" s="5">
        <v>-11.87</v>
      </c>
      <c r="Q24" t="s">
        <v>1442</v>
      </c>
      <c r="R24">
        <v>13381400</v>
      </c>
      <c r="S24">
        <v>-0.55830000000000002</v>
      </c>
      <c r="T24" t="s">
        <v>2089</v>
      </c>
      <c r="U24">
        <v>309421290</v>
      </c>
      <c r="V24">
        <v>431432090</v>
      </c>
      <c r="W24">
        <v>1.24</v>
      </c>
      <c r="X24">
        <v>0.1</v>
      </c>
      <c r="Y24">
        <v>5.37</v>
      </c>
      <c r="Z24" t="s">
        <v>293</v>
      </c>
      <c r="AA24" t="s">
        <v>2075</v>
      </c>
      <c r="AB24" t="s">
        <v>2076</v>
      </c>
      <c r="AC24" t="s">
        <v>2077</v>
      </c>
      <c r="AD24" t="s">
        <v>60</v>
      </c>
      <c r="AE24">
        <v>-340508</v>
      </c>
      <c r="AF24" t="s">
        <v>2078</v>
      </c>
      <c r="AG24" t="s">
        <v>2079</v>
      </c>
      <c r="AH24" t="s">
        <v>2080</v>
      </c>
      <c r="AI24" t="s">
        <v>630</v>
      </c>
      <c r="AJ24" t="s">
        <v>2081</v>
      </c>
      <c r="AK24" t="s">
        <v>2082</v>
      </c>
      <c r="AL24" t="s">
        <v>2083</v>
      </c>
      <c r="AM24" t="s">
        <v>60</v>
      </c>
      <c r="AN24" t="s">
        <v>2084</v>
      </c>
      <c r="AO24" t="s">
        <v>2085</v>
      </c>
      <c r="AP24" t="s">
        <v>2086</v>
      </c>
      <c r="AQ24" t="s">
        <v>310</v>
      </c>
      <c r="AR24" t="s">
        <v>60</v>
      </c>
      <c r="AS24" t="s">
        <v>341</v>
      </c>
      <c r="AT24" t="s">
        <v>60</v>
      </c>
      <c r="AU24" t="s">
        <v>1450</v>
      </c>
      <c r="AV24" t="s">
        <v>2087</v>
      </c>
      <c r="AW24" t="s">
        <v>2088</v>
      </c>
      <c r="AX24" t="s">
        <v>1311</v>
      </c>
      <c r="AY24" t="s">
        <v>712</v>
      </c>
      <c r="AZ24" t="s">
        <v>889</v>
      </c>
      <c r="BA24" t="s">
        <v>677</v>
      </c>
      <c r="BB24" t="s">
        <v>443</v>
      </c>
      <c r="BC24" t="s">
        <v>275</v>
      </c>
      <c r="BD24" t="s">
        <v>1395</v>
      </c>
      <c r="BE24" t="s">
        <v>1396</v>
      </c>
      <c r="BF24" t="s">
        <v>1397</v>
      </c>
      <c r="BG24" t="s">
        <v>1398</v>
      </c>
      <c r="BH24" t="s">
        <v>1442</v>
      </c>
      <c r="BI24" t="s">
        <v>429</v>
      </c>
      <c r="BJ24" t="s">
        <v>1311</v>
      </c>
      <c r="BK24" t="s">
        <v>2089</v>
      </c>
      <c r="BL24" t="s">
        <v>3565</v>
      </c>
      <c r="BM24" t="s">
        <v>275</v>
      </c>
      <c r="BN24">
        <v>4.76</v>
      </c>
      <c r="BO24">
        <v>11.47</v>
      </c>
      <c r="BP24">
        <v>10.41</v>
      </c>
      <c r="BQ24">
        <v>4.47</v>
      </c>
      <c r="BR24">
        <v>10.96</v>
      </c>
      <c r="BS24">
        <v>11.21</v>
      </c>
      <c r="BT24" t="s">
        <v>1345</v>
      </c>
      <c r="BU24" t="s">
        <v>1166</v>
      </c>
      <c r="BV24">
        <v>42.29</v>
      </c>
      <c r="BW24">
        <v>45.32</v>
      </c>
      <c r="BX24">
        <v>43.17</v>
      </c>
      <c r="BY24">
        <v>9.9700000000000006</v>
      </c>
      <c r="BZ24">
        <v>13.55</v>
      </c>
      <c r="CA24">
        <v>12.57</v>
      </c>
      <c r="CB24">
        <v>-2.04</v>
      </c>
      <c r="CC24" s="8">
        <v>-12.73</v>
      </c>
      <c r="CD24" s="9" t="s">
        <v>3566</v>
      </c>
      <c r="CE24" s="8" t="s">
        <v>182</v>
      </c>
      <c r="CF24" s="8">
        <v>-0.11627906976744186</v>
      </c>
      <c r="CG24" s="8">
        <v>-0.13925499958189419</v>
      </c>
      <c r="CH24" s="8">
        <v>-6.8508289754390717E-2</v>
      </c>
      <c r="CI24" s="8">
        <v>0.21803499758243561</v>
      </c>
      <c r="CJ24" s="9">
        <v>0.32206404209136963</v>
      </c>
      <c r="CK24" s="9">
        <v>0.15163934230804443</v>
      </c>
      <c r="CL24" s="9">
        <v>6.0869563370943069E-2</v>
      </c>
      <c r="CM24" s="9">
        <v>-0.35862106084823608</v>
      </c>
      <c r="CN24" s="9">
        <v>0.24528376758098602</v>
      </c>
      <c r="CO24">
        <v>0.26856732368469238</v>
      </c>
      <c r="CP24">
        <v>-0.17687825858592987</v>
      </c>
      <c r="CQ24">
        <v>0.21466830372810364</v>
      </c>
      <c r="CR24" s="8">
        <v>36.496459594733253</v>
      </c>
      <c r="CS24" s="9">
        <v>2.6674812138889861</v>
      </c>
      <c r="CT24">
        <v>0.69444444444444442</v>
      </c>
      <c r="CU24">
        <v>0.13681993111968041</v>
      </c>
      <c r="CV24">
        <v>3.8604015111923219E-2</v>
      </c>
      <c r="CW24">
        <v>0.06</v>
      </c>
      <c r="CX24">
        <v>29.334668880643502</v>
      </c>
      <c r="CY24">
        <v>78416122.894022554</v>
      </c>
      <c r="CZ24">
        <v>0.13681993111968041</v>
      </c>
      <c r="DA24">
        <v>9.2156362642637717</v>
      </c>
      <c r="DB24">
        <v>249609569.43581903</v>
      </c>
      <c r="DC24">
        <v>0.12997893456369639</v>
      </c>
      <c r="DD24">
        <v>4.2996693790181792</v>
      </c>
      <c r="DE24">
        <v>534997181.69615901</v>
      </c>
      <c r="DF24">
        <v>0.12040153938531876</v>
      </c>
      <c r="DG24">
        <v>2.4273096600589867</v>
      </c>
      <c r="DH24">
        <v>947679250.75702929</v>
      </c>
      <c r="DI24">
        <v>0.10945594489574434</v>
      </c>
      <c r="DJ24">
        <v>1.0900664218089358</v>
      </c>
      <c r="DK24">
        <v>2110248471.0818779</v>
      </c>
      <c r="DL24">
        <v>9.5773951783776276E-2</v>
      </c>
      <c r="DM24">
        <v>73117200</v>
      </c>
      <c r="DN24">
        <v>0.13681993111968041</v>
      </c>
      <c r="DO24">
        <v>2300311000</v>
      </c>
      <c r="DP24">
        <v>782092300</v>
      </c>
      <c r="DQ24" s="10">
        <v>1372</v>
      </c>
      <c r="DR24">
        <v>-0.25309900088712228</v>
      </c>
      <c r="DS24">
        <v>-0.1778590146938174</v>
      </c>
      <c r="DT24">
        <v>-4.0000000000000036E-2</v>
      </c>
      <c r="DU24">
        <v>0.10000000000000002</v>
      </c>
      <c r="DV24">
        <v>5.9999999999999984E-2</v>
      </c>
      <c r="DW24">
        <v>-2.1273</v>
      </c>
      <c r="DX24">
        <v>0.35478214285714188</v>
      </c>
      <c r="DY24">
        <v>-2.0209767667857141</v>
      </c>
      <c r="DZ24">
        <v>1651</v>
      </c>
      <c r="EA24">
        <v>-2.0141953604878458</v>
      </c>
      <c r="EB24" s="11">
        <v>2</v>
      </c>
      <c r="EC24" s="11">
        <v>6.4166297875524275E-2</v>
      </c>
      <c r="ED24">
        <v>0.38940079770144126</v>
      </c>
      <c r="EE24">
        <v>7.1809999999999999E-2</v>
      </c>
      <c r="EF24">
        <v>6.9010000000000002E-2</v>
      </c>
      <c r="EG24">
        <v>19.164782142857142</v>
      </c>
      <c r="EH24" s="13">
        <v>-1</v>
      </c>
      <c r="EI24" s="14">
        <v>0</v>
      </c>
      <c r="EJ24" s="14">
        <v>0</v>
      </c>
      <c r="EK24" s="14">
        <v>45489</v>
      </c>
      <c r="EL24" s="14">
        <v>-3.65</v>
      </c>
      <c r="EM24" s="14">
        <v>5.13</v>
      </c>
      <c r="EN24" s="14">
        <v>-1.19</v>
      </c>
      <c r="EO24" s="14">
        <v>-4.1399999999999997</v>
      </c>
      <c r="EP24" s="14">
        <v>0.28000000000000003</v>
      </c>
    </row>
    <row r="25" spans="1:146" ht="96" x14ac:dyDescent="0.25">
      <c r="A25" s="7"/>
      <c r="B25" s="7"/>
      <c r="C25" s="7" t="str">
        <f>""&amp;CHAR(10)&amp;Basic_Fundamental_Information_Constructure(F25)&amp;CHAR(10)&amp;Basic_Fundamental_Information_Concatenate("")</f>
        <v xml:space="preserve">
市值35.89796亿, 利润1012.01万; PE; 平均PE36.8; 平均PEG17.43, PB2.45; ROIC3.7767%; ROE4.06%; 股利率0%; 毛利46.47%; 净利10.9233%; 上一年度营收增-6.82%, 利润增-79.86%; 当季营收增-14.27%, 利润增-4.94%; 过往5年营收增-2.11%, 利润增-22.59%
Income profile:
</v>
      </c>
      <c r="D25" t="s">
        <v>657</v>
      </c>
      <c r="E25" t="s">
        <v>658</v>
      </c>
      <c r="F25">
        <v>24.19</v>
      </c>
      <c r="G25">
        <v>-3.05</v>
      </c>
      <c r="H25" t="s">
        <v>3567</v>
      </c>
      <c r="I25">
        <v>3589796000</v>
      </c>
      <c r="K25">
        <v>2.4500000000000002</v>
      </c>
      <c r="L25" t="s">
        <v>1166</v>
      </c>
      <c r="M25" t="s">
        <v>436</v>
      </c>
      <c r="N25" t="s">
        <v>880</v>
      </c>
      <c r="O25" t="s">
        <v>2090</v>
      </c>
      <c r="P25">
        <v>-14.27</v>
      </c>
      <c r="Q25" t="s">
        <v>393</v>
      </c>
      <c r="R25">
        <v>-14500000</v>
      </c>
      <c r="S25" s="5">
        <v>-0.85019999999999996</v>
      </c>
      <c r="T25" t="s">
        <v>2107</v>
      </c>
      <c r="U25">
        <v>73821082</v>
      </c>
      <c r="V25">
        <v>148400000</v>
      </c>
      <c r="W25">
        <v>1.25</v>
      </c>
      <c r="X25">
        <v>0.02</v>
      </c>
      <c r="Y25">
        <v>-89.63</v>
      </c>
      <c r="Z25" t="s">
        <v>2091</v>
      </c>
      <c r="AA25" t="s">
        <v>2092</v>
      </c>
      <c r="AB25" t="s">
        <v>2093</v>
      </c>
      <c r="AC25" t="s">
        <v>2094</v>
      </c>
      <c r="AD25" t="s">
        <v>60</v>
      </c>
      <c r="AE25">
        <v>-2273430</v>
      </c>
      <c r="AF25" t="s">
        <v>2095</v>
      </c>
      <c r="AG25">
        <v>2.08</v>
      </c>
      <c r="AH25" t="s">
        <v>2096</v>
      </c>
      <c r="AI25" t="s">
        <v>1684</v>
      </c>
      <c r="AJ25" t="s">
        <v>2097</v>
      </c>
      <c r="AK25" t="s">
        <v>2098</v>
      </c>
      <c r="AL25" t="s">
        <v>2099</v>
      </c>
      <c r="AM25" t="s">
        <v>60</v>
      </c>
      <c r="AN25" t="s">
        <v>2100</v>
      </c>
      <c r="AO25" t="s">
        <v>60</v>
      </c>
      <c r="AP25" t="s">
        <v>2101</v>
      </c>
      <c r="AQ25" t="s">
        <v>511</v>
      </c>
      <c r="AR25" t="s">
        <v>2102</v>
      </c>
      <c r="AS25" t="s">
        <v>651</v>
      </c>
      <c r="AT25" t="s">
        <v>60</v>
      </c>
      <c r="AU25" t="s">
        <v>2103</v>
      </c>
      <c r="AV25" t="s">
        <v>2104</v>
      </c>
      <c r="AW25" t="s">
        <v>2105</v>
      </c>
      <c r="AX25" t="s">
        <v>662</v>
      </c>
      <c r="AY25" t="s">
        <v>976</v>
      </c>
      <c r="AZ25" t="s">
        <v>442</v>
      </c>
      <c r="BA25" t="s">
        <v>661</v>
      </c>
      <c r="BB25" t="s">
        <v>698</v>
      </c>
      <c r="BC25" t="s">
        <v>2106</v>
      </c>
      <c r="BD25" t="s">
        <v>454</v>
      </c>
      <c r="BE25" t="s">
        <v>259</v>
      </c>
      <c r="BF25" t="s">
        <v>246</v>
      </c>
      <c r="BG25" t="s">
        <v>440</v>
      </c>
      <c r="BH25" t="s">
        <v>393</v>
      </c>
      <c r="BI25" t="s">
        <v>3568</v>
      </c>
      <c r="BJ25" t="s">
        <v>662</v>
      </c>
      <c r="BK25" t="s">
        <v>2107</v>
      </c>
      <c r="BL25" t="s">
        <v>3569</v>
      </c>
      <c r="BM25" t="s">
        <v>2106</v>
      </c>
      <c r="BN25">
        <v>0.03</v>
      </c>
      <c r="BO25">
        <v>2.99</v>
      </c>
      <c r="BP25">
        <v>8.31</v>
      </c>
      <c r="BQ25">
        <v>0.11</v>
      </c>
      <c r="BR25">
        <v>3.41</v>
      </c>
      <c r="BS25">
        <v>8.66</v>
      </c>
      <c r="BT25" t="s">
        <v>1343</v>
      </c>
      <c r="BU25" t="s">
        <v>1166</v>
      </c>
      <c r="BV25">
        <v>48.22</v>
      </c>
      <c r="BW25">
        <v>47.35</v>
      </c>
      <c r="BX25">
        <v>43.84</v>
      </c>
      <c r="BY25">
        <v>2.66</v>
      </c>
      <c r="BZ25">
        <v>11.29</v>
      </c>
      <c r="CA25">
        <v>18.82</v>
      </c>
      <c r="CB25">
        <v>1.3</v>
      </c>
      <c r="CC25">
        <v>5.4</v>
      </c>
      <c r="CD25" t="s">
        <v>3570</v>
      </c>
      <c r="CE25" t="s">
        <v>3571</v>
      </c>
      <c r="CF25" s="8">
        <v>-0.14265375769050162</v>
      </c>
      <c r="CG25" s="9">
        <v>-4.9393884566672701E-2</v>
      </c>
      <c r="CH25" s="8">
        <v>-6.8181820213794708E-2</v>
      </c>
      <c r="CI25" s="8">
        <v>-0.33028918504714966</v>
      </c>
      <c r="CJ25" s="8">
        <v>9.3178033828735352E-2</v>
      </c>
      <c r="CK25" s="8">
        <v>-0.11225996911525726</v>
      </c>
      <c r="CL25" s="8">
        <v>0.31201550364494324</v>
      </c>
      <c r="CM25" s="9">
        <v>-0.79857933521270752</v>
      </c>
      <c r="CN25" s="9">
        <v>-0.59480965137481689</v>
      </c>
      <c r="CO25" s="9">
        <v>-0.16216215491294861</v>
      </c>
      <c r="CP25" s="9">
        <v>-6.7114094272255898E-3</v>
      </c>
      <c r="CQ25" s="9">
        <v>0.43269231915473938</v>
      </c>
      <c r="CR25">
        <v>36.795544376940349</v>
      </c>
      <c r="CS25">
        <v>17.432460677875667</v>
      </c>
      <c r="CT25">
        <v>0</v>
      </c>
      <c r="CU25" s="8">
        <v>-2.1107487380504608E-2</v>
      </c>
      <c r="CV25" s="9">
        <v>-0.22591404635459184</v>
      </c>
      <c r="CW25">
        <v>0.06</v>
      </c>
      <c r="CX25" t="e">
        <v>#VALUE!</v>
      </c>
      <c r="CY25" t="s">
        <v>3572</v>
      </c>
      <c r="CZ25">
        <v>-2.1107487380504608E-2</v>
      </c>
      <c r="DA25">
        <v>82.601160067588268</v>
      </c>
      <c r="DB25" t="s">
        <v>3573</v>
      </c>
      <c r="DC25">
        <v>-2.0052113011479376E-2</v>
      </c>
      <c r="DD25">
        <v>41.300580033794134</v>
      </c>
      <c r="DE25" t="s">
        <v>3574</v>
      </c>
      <c r="DF25">
        <v>-1.8574588894844056E-2</v>
      </c>
      <c r="DG25">
        <v>24.780348020276481</v>
      </c>
      <c r="DH25" t="s">
        <v>3575</v>
      </c>
      <c r="DI25">
        <v>-1.6885989904403688E-2</v>
      </c>
      <c r="DJ25">
        <v>12.39017401013824</v>
      </c>
      <c r="DK25" t="s">
        <v>3576</v>
      </c>
      <c r="DL25">
        <v>-1.4775241166353224E-2</v>
      </c>
      <c r="DM25">
        <v>10120100</v>
      </c>
      <c r="DN25">
        <v>-2.1107487380504608E-2</v>
      </c>
      <c r="DO25">
        <v>2507796000</v>
      </c>
      <c r="DP25">
        <v>928135140</v>
      </c>
      <c r="DQ25">
        <v>1461</v>
      </c>
      <c r="DR25">
        <v>-0.12154627030999701</v>
      </c>
      <c r="DS25">
        <v>0.17652016178791913</v>
      </c>
      <c r="DT25" s="10">
        <v>-0.49</v>
      </c>
      <c r="DU25">
        <v>-1.1950000000000001</v>
      </c>
      <c r="DV25">
        <v>-1.6850000000000001</v>
      </c>
      <c r="DW25">
        <v>1.054</v>
      </c>
      <c r="DX25">
        <v>0.55687214921559725</v>
      </c>
      <c r="DY25">
        <v>1.0192710960576423</v>
      </c>
      <c r="DZ25">
        <v>4160</v>
      </c>
      <c r="EA25">
        <v>1.0035734732654371</v>
      </c>
      <c r="EB25">
        <v>1</v>
      </c>
      <c r="EC25">
        <v>0.23756671159029649</v>
      </c>
      <c r="ED25">
        <v>0.66569137466307282</v>
      </c>
      <c r="EE25" s="11">
        <v>3.1212</v>
      </c>
      <c r="EF25">
        <v>3.0907</v>
      </c>
      <c r="EG25">
        <v>20.356872149215597</v>
      </c>
      <c r="EH25" t="s">
        <v>1387</v>
      </c>
      <c r="EI25">
        <v>0</v>
      </c>
      <c r="EJ25">
        <v>0</v>
      </c>
      <c r="EK25" s="13">
        <v>45489</v>
      </c>
      <c r="EL25" s="14">
        <v>-4.2</v>
      </c>
      <c r="EM25" s="14">
        <v>2.91</v>
      </c>
      <c r="EN25" s="14">
        <v>-2.2599999999999998</v>
      </c>
      <c r="EO25" s="14">
        <v>4.66</v>
      </c>
      <c r="EP25" s="14">
        <v>-3.05</v>
      </c>
    </row>
    <row r="26" spans="1:146" ht="96" x14ac:dyDescent="0.25">
      <c r="A26" s="7"/>
      <c r="B26" s="7"/>
      <c r="C26" s="7" t="str">
        <f>""&amp;CHAR(10)&amp;Basic_Fundamental_Information_Constructure(F26)&amp;CHAR(10)&amp;Basic_Fundamental_Information_Concatenate("")</f>
        <v xml:space="preserve">
市值184.53871亿, 利润6.13亿; PE28.1; 平均PE54.61; 平均PEG10.34, PB1.88; ROIC1.86%; ROE2.8867%; 股利率3.3069%; 毛利27.8933%; 净利6.6967%; 上一年度营收增-7.45%, 利润增220.94%; 当季营收增-4.11%, 利润增45.96%; 过往5年营收增-5.28%, 利润增130.79%
Income profile:
</v>
      </c>
      <c r="D26" t="s">
        <v>1022</v>
      </c>
      <c r="E26" t="s">
        <v>1023</v>
      </c>
      <c r="F26">
        <v>7.56</v>
      </c>
      <c r="G26">
        <v>1.75</v>
      </c>
      <c r="H26" t="s">
        <v>3577</v>
      </c>
      <c r="I26">
        <v>18453871000</v>
      </c>
      <c r="J26">
        <v>28.1</v>
      </c>
      <c r="K26">
        <v>1.88</v>
      </c>
      <c r="L26" t="s">
        <v>1166</v>
      </c>
      <c r="M26" t="s">
        <v>1313</v>
      </c>
      <c r="N26" t="s">
        <v>2108</v>
      </c>
      <c r="O26" t="s">
        <v>1453</v>
      </c>
      <c r="P26">
        <v>-4.13</v>
      </c>
      <c r="Q26" t="s">
        <v>2123</v>
      </c>
      <c r="R26">
        <v>138476680</v>
      </c>
      <c r="S26" s="5">
        <v>0.45960000000000001</v>
      </c>
      <c r="T26" t="s">
        <v>1308</v>
      </c>
      <c r="U26">
        <v>2279484300</v>
      </c>
      <c r="V26">
        <v>2440988200</v>
      </c>
      <c r="W26">
        <v>1.1200000000000001</v>
      </c>
      <c r="X26">
        <v>0.1</v>
      </c>
      <c r="Y26">
        <v>12.63</v>
      </c>
      <c r="Z26" t="s">
        <v>725</v>
      </c>
      <c r="AA26" t="s">
        <v>729</v>
      </c>
      <c r="AB26" t="s">
        <v>2109</v>
      </c>
      <c r="AC26" t="s">
        <v>2110</v>
      </c>
      <c r="AD26" t="s">
        <v>60</v>
      </c>
      <c r="AE26">
        <v>-41207717</v>
      </c>
      <c r="AF26" t="s">
        <v>2111</v>
      </c>
      <c r="AG26" t="s">
        <v>2112</v>
      </c>
      <c r="AH26" t="s">
        <v>2113</v>
      </c>
      <c r="AI26" t="s">
        <v>2114</v>
      </c>
      <c r="AJ26" t="s">
        <v>2115</v>
      </c>
      <c r="AK26" t="s">
        <v>2116</v>
      </c>
      <c r="AL26" t="s">
        <v>2117</v>
      </c>
      <c r="AM26" t="s">
        <v>60</v>
      </c>
      <c r="AN26" t="s">
        <v>2118</v>
      </c>
      <c r="AO26" t="s">
        <v>2119</v>
      </c>
      <c r="AP26" t="s">
        <v>60</v>
      </c>
      <c r="AQ26" t="s">
        <v>1329</v>
      </c>
      <c r="AR26" t="s">
        <v>2120</v>
      </c>
      <c r="AS26" t="s">
        <v>334</v>
      </c>
      <c r="AT26" t="s">
        <v>60</v>
      </c>
      <c r="AU26" t="s">
        <v>525</v>
      </c>
      <c r="AV26" t="s">
        <v>2121</v>
      </c>
      <c r="AW26" t="s">
        <v>2122</v>
      </c>
      <c r="AX26" t="s">
        <v>1400</v>
      </c>
      <c r="AY26" t="s">
        <v>586</v>
      </c>
      <c r="AZ26" t="s">
        <v>1024</v>
      </c>
      <c r="BA26" t="s">
        <v>1025</v>
      </c>
      <c r="BB26" t="s">
        <v>1026</v>
      </c>
      <c r="BC26" t="s">
        <v>526</v>
      </c>
      <c r="BD26" t="s">
        <v>584</v>
      </c>
      <c r="BE26" t="s">
        <v>202</v>
      </c>
      <c r="BF26" t="s">
        <v>1027</v>
      </c>
      <c r="BG26" t="s">
        <v>498</v>
      </c>
      <c r="BH26" t="s">
        <v>2123</v>
      </c>
      <c r="BI26" t="s">
        <v>3578</v>
      </c>
      <c r="BJ26" t="s">
        <v>1400</v>
      </c>
      <c r="BK26" t="s">
        <v>1308</v>
      </c>
      <c r="BL26" t="s">
        <v>3579</v>
      </c>
      <c r="BM26" t="s">
        <v>526</v>
      </c>
      <c r="BN26">
        <v>2.98</v>
      </c>
      <c r="BO26">
        <v>1.53</v>
      </c>
      <c r="BP26">
        <v>1.07</v>
      </c>
      <c r="BQ26">
        <v>4.6500000000000004</v>
      </c>
      <c r="BR26">
        <v>2.12</v>
      </c>
      <c r="BS26">
        <v>1.89</v>
      </c>
      <c r="BT26" t="s">
        <v>1356</v>
      </c>
      <c r="BU26" t="s">
        <v>1166</v>
      </c>
      <c r="BV26">
        <v>32.18</v>
      </c>
      <c r="BW26">
        <v>26.2</v>
      </c>
      <c r="BX26">
        <v>25.3</v>
      </c>
      <c r="BY26">
        <v>12.89</v>
      </c>
      <c r="BZ26">
        <v>3.62</v>
      </c>
      <c r="CA26">
        <v>3.58</v>
      </c>
      <c r="CB26">
        <v>-0.26</v>
      </c>
      <c r="CC26">
        <v>-8.81</v>
      </c>
      <c r="CD26" t="s">
        <v>323</v>
      </c>
      <c r="CE26" t="s">
        <v>2063</v>
      </c>
      <c r="CF26" s="8">
        <v>-4.1095890410958902E-2</v>
      </c>
      <c r="CG26" s="9">
        <v>0.45963282734747957</v>
      </c>
      <c r="CH26" s="8">
        <v>-7.4547655880451202E-2</v>
      </c>
      <c r="CI26" s="8">
        <v>0.11125686764717102</v>
      </c>
      <c r="CJ26" s="8">
        <v>-0.19553367793560028</v>
      </c>
      <c r="CK26" s="8">
        <v>-5.3271181881427765E-2</v>
      </c>
      <c r="CL26" s="8">
        <v>-5.2075095474720001E-2</v>
      </c>
      <c r="CM26" s="9">
        <v>2.2094240188598633</v>
      </c>
      <c r="CN26" s="9">
        <v>0.15757575631141663</v>
      </c>
      <c r="CO26" s="9">
        <v>-0.25</v>
      </c>
      <c r="CP26" s="9">
        <v>5.3798441886901855</v>
      </c>
      <c r="CQ26" s="9">
        <v>-0.95710998773574829</v>
      </c>
      <c r="CR26">
        <v>54.611157397278085</v>
      </c>
      <c r="CS26">
        <v>10.336337148573017</v>
      </c>
      <c r="CT26">
        <v>3.306878306878307</v>
      </c>
      <c r="CU26" s="8">
        <v>-5.2834148705005649E-2</v>
      </c>
      <c r="CV26" s="9">
        <v>1.3079467952251433</v>
      </c>
      <c r="CW26">
        <v>0.06</v>
      </c>
      <c r="CX26">
        <v>15.745303425774878</v>
      </c>
      <c r="CY26" t="s">
        <v>3580</v>
      </c>
      <c r="CZ26">
        <v>-5.2834148705005649E-2</v>
      </c>
      <c r="DA26">
        <v>5.2484344752582928</v>
      </c>
      <c r="DB26" t="s">
        <v>3581</v>
      </c>
      <c r="DC26">
        <v>-5.0192441269755361E-2</v>
      </c>
      <c r="DD26">
        <v>2.6242172376291464</v>
      </c>
      <c r="DE26" t="s">
        <v>3582</v>
      </c>
      <c r="DF26">
        <v>-4.6494050860404972E-2</v>
      </c>
      <c r="DG26">
        <v>1.5745303425774877</v>
      </c>
      <c r="DH26" t="s">
        <v>3583</v>
      </c>
      <c r="DI26">
        <v>-4.226731896400452E-2</v>
      </c>
      <c r="DJ26">
        <v>0.78726517128874385</v>
      </c>
      <c r="DK26" t="s">
        <v>3584</v>
      </c>
      <c r="DL26">
        <v>-3.6983904093503953E-2</v>
      </c>
      <c r="DM26">
        <v>613000000</v>
      </c>
      <c r="DN26">
        <v>-5.2834148705005649E-2</v>
      </c>
      <c r="DO26">
        <v>9651871000</v>
      </c>
      <c r="DP26">
        <v>5353673100</v>
      </c>
      <c r="DQ26">
        <v>1514</v>
      </c>
      <c r="DR26">
        <v>1.1738258294046747E-2</v>
      </c>
      <c r="DS26">
        <v>-0.84831396787766378</v>
      </c>
      <c r="DT26" s="10">
        <v>-0.57333333333333336</v>
      </c>
      <c r="DU26">
        <v>0.78833333333333344</v>
      </c>
      <c r="DV26">
        <v>0.21500000000000008</v>
      </c>
      <c r="DW26">
        <v>-2.0880999999999998</v>
      </c>
      <c r="DX26">
        <v>0.32692521154748744</v>
      </c>
      <c r="DY26">
        <v>-2.0094201111373335</v>
      </c>
      <c r="DZ26">
        <v>1313</v>
      </c>
      <c r="EA26">
        <v>-2.0069982184560491</v>
      </c>
      <c r="EB26">
        <v>2</v>
      </c>
      <c r="EC26">
        <v>7.9066338788528354E-2</v>
      </c>
      <c r="ED26">
        <v>0.73945461923986355</v>
      </c>
      <c r="EE26" s="11">
        <v>-2.02481</v>
      </c>
      <c r="EF26">
        <v>-2.0073099999999999</v>
      </c>
      <c r="EG26">
        <v>22.106925211547487</v>
      </c>
      <c r="EH26" t="s">
        <v>1399</v>
      </c>
      <c r="EI26">
        <v>0</v>
      </c>
      <c r="EJ26">
        <v>1</v>
      </c>
      <c r="EK26" s="13">
        <v>45489</v>
      </c>
      <c r="EL26" s="14">
        <v>-2.44</v>
      </c>
      <c r="EM26" s="14">
        <v>1.59</v>
      </c>
      <c r="EN26" s="14">
        <v>-1.43</v>
      </c>
      <c r="EO26" s="14">
        <v>-1.98</v>
      </c>
      <c r="EP26" s="14">
        <v>1.75</v>
      </c>
    </row>
    <row r="27" spans="1:146" ht="96" x14ac:dyDescent="0.25">
      <c r="A27" s="7"/>
      <c r="B27" s="7"/>
      <c r="C27" s="7" t="str">
        <f>""&amp;CHAR(10)&amp;Basic_Fundamental_Information_Constructure(F27)&amp;CHAR(10)&amp;Basic_Fundamental_Information_Concatenate("")</f>
        <v xml:space="preserve">
市值14.542607亿, 利润-2.34亿; PE; 平均PE32.46; 平均PEG2.52, PB.345; ROIC2.9%; ROE2.5033%; 股利率0%; 毛利23.0167%; 净利-3.7333%; 上一年度营收增-27.48%, 利润增-437.17%; 当季营收增-20.82%, 利润增-82.59%; 过往5年营收增-12.87%, 利润增-6.37%
Income profile:
</v>
      </c>
      <c r="D27" t="s">
        <v>113</v>
      </c>
      <c r="E27" t="s">
        <v>2124</v>
      </c>
      <c r="F27">
        <v>1.83</v>
      </c>
      <c r="G27">
        <v>5.78</v>
      </c>
      <c r="H27" t="s">
        <v>3585</v>
      </c>
      <c r="I27">
        <v>1454260700</v>
      </c>
      <c r="K27">
        <v>0.34499999999999997</v>
      </c>
      <c r="L27" t="s">
        <v>1166</v>
      </c>
      <c r="M27" t="s">
        <v>2125</v>
      </c>
      <c r="N27" t="s">
        <v>1181</v>
      </c>
      <c r="O27" t="s">
        <v>1029</v>
      </c>
      <c r="P27">
        <v>-20.88</v>
      </c>
      <c r="Q27" t="s">
        <v>2139</v>
      </c>
      <c r="R27">
        <v>10470884</v>
      </c>
      <c r="S27" s="5">
        <v>-0.82589999999999997</v>
      </c>
      <c r="T27" t="s">
        <v>1605</v>
      </c>
      <c r="U27">
        <v>766639580</v>
      </c>
      <c r="V27">
        <v>794677970</v>
      </c>
      <c r="W27">
        <v>1.68</v>
      </c>
      <c r="X27">
        <v>7.0000000000000007E-2</v>
      </c>
      <c r="Y27">
        <v>2.21</v>
      </c>
      <c r="Z27" t="s">
        <v>300</v>
      </c>
      <c r="AA27" t="s">
        <v>543</v>
      </c>
      <c r="AB27" t="s">
        <v>2126</v>
      </c>
      <c r="AC27" t="s">
        <v>2127</v>
      </c>
      <c r="AD27" t="s">
        <v>60</v>
      </c>
      <c r="AE27">
        <v>18249795</v>
      </c>
      <c r="AF27" t="s">
        <v>2128</v>
      </c>
      <c r="AG27" t="s">
        <v>2129</v>
      </c>
      <c r="AH27" t="s">
        <v>2130</v>
      </c>
      <c r="AI27" t="s">
        <v>1614</v>
      </c>
      <c r="AJ27" t="s">
        <v>2131</v>
      </c>
      <c r="AK27" t="s">
        <v>60</v>
      </c>
      <c r="AL27" t="s">
        <v>2132</v>
      </c>
      <c r="AM27" t="s">
        <v>60</v>
      </c>
      <c r="AN27" t="s">
        <v>281</v>
      </c>
      <c r="AO27" t="s">
        <v>715</v>
      </c>
      <c r="AP27" t="s">
        <v>402</v>
      </c>
      <c r="AQ27" t="s">
        <v>1655</v>
      </c>
      <c r="AR27" t="s">
        <v>2133</v>
      </c>
      <c r="AS27" t="s">
        <v>2134</v>
      </c>
      <c r="AT27" t="s">
        <v>2135</v>
      </c>
      <c r="AU27" t="s">
        <v>1307</v>
      </c>
      <c r="AV27" t="s">
        <v>2136</v>
      </c>
      <c r="AW27" t="s">
        <v>2137</v>
      </c>
      <c r="AX27" t="s">
        <v>850</v>
      </c>
      <c r="AY27" t="s">
        <v>1101</v>
      </c>
      <c r="AZ27" t="s">
        <v>704</v>
      </c>
      <c r="BA27" t="s">
        <v>374</v>
      </c>
      <c r="BB27" t="s">
        <v>776</v>
      </c>
      <c r="BC27" t="s">
        <v>2138</v>
      </c>
      <c r="BD27" t="s">
        <v>1102</v>
      </c>
      <c r="BE27" t="s">
        <v>438</v>
      </c>
      <c r="BF27" t="s">
        <v>232</v>
      </c>
      <c r="BG27" t="s">
        <v>778</v>
      </c>
      <c r="BH27" t="s">
        <v>2139</v>
      </c>
      <c r="BI27" t="s">
        <v>215</v>
      </c>
      <c r="BJ27" t="s">
        <v>850</v>
      </c>
      <c r="BK27" t="s">
        <v>1605</v>
      </c>
      <c r="BL27" t="s">
        <v>3586</v>
      </c>
      <c r="BM27" t="s">
        <v>2138</v>
      </c>
      <c r="BN27" t="s">
        <v>60</v>
      </c>
      <c r="BO27">
        <v>2.59</v>
      </c>
      <c r="BP27">
        <v>3.21</v>
      </c>
      <c r="BQ27">
        <v>2.66</v>
      </c>
      <c r="BR27">
        <v>2</v>
      </c>
      <c r="BS27">
        <v>2.85</v>
      </c>
      <c r="BT27" t="s">
        <v>1343</v>
      </c>
      <c r="BU27" t="s">
        <v>1166</v>
      </c>
      <c r="BV27">
        <v>17.010000000000002</v>
      </c>
      <c r="BW27">
        <v>26.4</v>
      </c>
      <c r="BX27">
        <v>25.64</v>
      </c>
      <c r="BY27">
        <v>-20.18</v>
      </c>
      <c r="BZ27">
        <v>4.2</v>
      </c>
      <c r="CA27">
        <v>4.78</v>
      </c>
      <c r="CB27">
        <v>5.78</v>
      </c>
      <c r="CC27">
        <v>5.17</v>
      </c>
      <c r="CD27" t="s">
        <v>429</v>
      </c>
      <c r="CE27" t="s">
        <v>3587</v>
      </c>
      <c r="CF27" s="8">
        <v>-0.20819112627986358</v>
      </c>
      <c r="CG27" s="9">
        <v>-0.82590946726476488</v>
      </c>
      <c r="CH27" s="8">
        <v>-0.2748139500617981</v>
      </c>
      <c r="CI27" s="8">
        <v>-0.1940000057220459</v>
      </c>
      <c r="CJ27" s="8">
        <v>-6.4546301960945129E-2</v>
      </c>
      <c r="CK27" s="8">
        <v>2.7884615585207939E-2</v>
      </c>
      <c r="CL27" s="8">
        <v>-0.13800247013568878</v>
      </c>
      <c r="CM27" s="9">
        <v>-4.3716802597045898</v>
      </c>
      <c r="CN27" s="9">
        <v>-0.29878532886505127</v>
      </c>
      <c r="CO27" s="9">
        <v>-0.37358608841896057</v>
      </c>
      <c r="CP27" s="9">
        <v>5.3333334624767303E-2</v>
      </c>
      <c r="CQ27" s="9">
        <v>4.6723427772521973</v>
      </c>
      <c r="CR27">
        <v>32.458869924049296</v>
      </c>
      <c r="CS27">
        <v>2.5221425021178527</v>
      </c>
      <c r="CT27">
        <v>0</v>
      </c>
      <c r="CU27" s="8">
        <v>-0.128695622459054</v>
      </c>
      <c r="CV27" s="9">
        <v>-6.3675113022327423E-2</v>
      </c>
      <c r="CW27">
        <v>0.06</v>
      </c>
      <c r="CX27" t="s">
        <v>1712</v>
      </c>
      <c r="CY27" t="s">
        <v>1224</v>
      </c>
      <c r="CZ27">
        <v>-0.128695622459054</v>
      </c>
      <c r="DA27" t="s">
        <v>1712</v>
      </c>
      <c r="DB27" t="s">
        <v>1224</v>
      </c>
      <c r="DC27">
        <v>-0.12226084133610129</v>
      </c>
      <c r="DD27" t="s">
        <v>1712</v>
      </c>
      <c r="DE27" t="s">
        <v>1224</v>
      </c>
      <c r="DF27">
        <v>-0.11325214776396753</v>
      </c>
      <c r="DG27" t="s">
        <v>1712</v>
      </c>
      <c r="DH27" t="s">
        <v>1224</v>
      </c>
      <c r="DI27">
        <v>-0.10295649796724321</v>
      </c>
      <c r="DJ27" t="s">
        <v>1712</v>
      </c>
      <c r="DK27" t="s">
        <v>1224</v>
      </c>
      <c r="DL27">
        <v>-9.0086935721337788E-2</v>
      </c>
      <c r="DM27">
        <v>-234000000</v>
      </c>
      <c r="DN27">
        <v>-0.128695622459054</v>
      </c>
      <c r="DO27">
        <v>-60739300</v>
      </c>
      <c r="DP27">
        <v>2268158900</v>
      </c>
      <c r="DQ27">
        <v>1517</v>
      </c>
      <c r="DR27">
        <v>-7.9495503820809582E-2</v>
      </c>
      <c r="DS27">
        <v>-0.76223435424243746</v>
      </c>
      <c r="DT27" s="10">
        <v>-0.75666666666666671</v>
      </c>
      <c r="DU27">
        <v>-1.0766666666666669</v>
      </c>
      <c r="DV27">
        <v>-1.8333333333333335</v>
      </c>
      <c r="DW27">
        <v>4.8944636678200695</v>
      </c>
      <c r="DX27">
        <v>0.45103938483313416</v>
      </c>
      <c r="DY27">
        <v>4.0993206954303272</v>
      </c>
      <c r="DZ27">
        <v>4278</v>
      </c>
      <c r="EA27">
        <v>4.0161223529492345</v>
      </c>
      <c r="EB27">
        <v>4</v>
      </c>
      <c r="EC27">
        <v>0.21643987438081366</v>
      </c>
      <c r="ED27">
        <v>1.9492172407900019</v>
      </c>
      <c r="EE27" s="11">
        <v>9.3210000000000001E-2</v>
      </c>
      <c r="EF27">
        <v>3.5410000000000004E-2</v>
      </c>
      <c r="EG27">
        <v>34.111039384833134</v>
      </c>
      <c r="EH27">
        <v>-1</v>
      </c>
      <c r="EI27">
        <v>0</v>
      </c>
      <c r="EJ27">
        <v>0</v>
      </c>
      <c r="EK27" s="13">
        <v>45489</v>
      </c>
      <c r="EL27" s="14">
        <v>-3.24</v>
      </c>
      <c r="EM27" s="14">
        <v>3.55</v>
      </c>
      <c r="EN27" s="14">
        <v>1.71</v>
      </c>
      <c r="EO27" s="14">
        <v>-2.81</v>
      </c>
      <c r="EP27" s="14">
        <v>5.78</v>
      </c>
    </row>
    <row r="28" spans="1:146" ht="96" x14ac:dyDescent="0.25">
      <c r="A28" s="7"/>
      <c r="B28" s="7"/>
      <c r="C28" s="7" t="str">
        <f>""&amp;CHAR(10)&amp;Basic_Fundamental_Information_Constructure(F28)&amp;CHAR(10)&amp;Basic_Fundamental_Information_Concatenate("")</f>
        <v xml:space="preserve">
市值32.388055亿, 利润-1.61亿; PE; 平均PE-12.51; 平均PEG-.96, PB5.05; ROIC2.87%; ROE-18.3967%; 股利率0%; 毛利25.4567%; 净利-43.75%; 上一年度营收增16.06%, 利润增28.76%; 当季营收增7.8%, 利润增132.67%; 过往5年营收增-13.1%, 利润增-97.69%
Income profile:
</v>
      </c>
      <c r="D28" t="s">
        <v>91</v>
      </c>
      <c r="E28" t="s">
        <v>1252</v>
      </c>
      <c r="F28">
        <v>4.24</v>
      </c>
      <c r="G28">
        <v>0.95</v>
      </c>
      <c r="H28" t="s">
        <v>3588</v>
      </c>
      <c r="I28">
        <v>3238805500</v>
      </c>
      <c r="K28">
        <v>5.05</v>
      </c>
      <c r="L28" t="s">
        <v>1166</v>
      </c>
      <c r="M28" t="s">
        <v>2140</v>
      </c>
      <c r="N28" t="s">
        <v>2141</v>
      </c>
      <c r="O28" t="s">
        <v>2142</v>
      </c>
      <c r="P28">
        <v>7.8</v>
      </c>
      <c r="Q28" t="s">
        <v>1644</v>
      </c>
      <c r="R28">
        <v>6391241</v>
      </c>
      <c r="S28" s="5">
        <v>1.327</v>
      </c>
      <c r="T28" t="s">
        <v>2158</v>
      </c>
      <c r="U28">
        <v>763773440</v>
      </c>
      <c r="V28">
        <v>763869230</v>
      </c>
      <c r="W28">
        <v>2.5</v>
      </c>
      <c r="X28">
        <v>0.05</v>
      </c>
      <c r="Y28">
        <v>5.98</v>
      </c>
      <c r="Z28" t="s">
        <v>2143</v>
      </c>
      <c r="AA28" t="s">
        <v>2144</v>
      </c>
      <c r="AB28" t="s">
        <v>2145</v>
      </c>
      <c r="AC28" t="s">
        <v>2146</v>
      </c>
      <c r="AD28" t="s">
        <v>60</v>
      </c>
      <c r="AE28">
        <v>5909976</v>
      </c>
      <c r="AF28" t="s">
        <v>2147</v>
      </c>
      <c r="AG28" t="s">
        <v>2148</v>
      </c>
      <c r="AH28" t="s">
        <v>2149</v>
      </c>
      <c r="AI28" t="s">
        <v>2150</v>
      </c>
      <c r="AJ28" t="s">
        <v>2151</v>
      </c>
      <c r="AK28" t="s">
        <v>60</v>
      </c>
      <c r="AL28" t="s">
        <v>2152</v>
      </c>
      <c r="AM28" t="s">
        <v>60</v>
      </c>
      <c r="AN28">
        <v>0</v>
      </c>
      <c r="AO28" t="s">
        <v>2153</v>
      </c>
      <c r="AP28" t="s">
        <v>2154</v>
      </c>
      <c r="AQ28" t="s">
        <v>422</v>
      </c>
      <c r="AR28" t="s">
        <v>1631</v>
      </c>
      <c r="AS28" t="s">
        <v>1028</v>
      </c>
      <c r="AT28" t="s">
        <v>538</v>
      </c>
      <c r="AU28" t="s">
        <v>2155</v>
      </c>
      <c r="AV28" t="s">
        <v>2156</v>
      </c>
      <c r="AW28" t="s">
        <v>2157</v>
      </c>
      <c r="AX28" t="s">
        <v>348</v>
      </c>
      <c r="AY28" t="s">
        <v>883</v>
      </c>
      <c r="AZ28" t="s">
        <v>1035</v>
      </c>
      <c r="BA28" t="s">
        <v>863</v>
      </c>
      <c r="BB28" t="s">
        <v>787</v>
      </c>
      <c r="BC28" t="s">
        <v>915</v>
      </c>
      <c r="BD28" t="s">
        <v>1089</v>
      </c>
      <c r="BE28" t="s">
        <v>1017</v>
      </c>
      <c r="BF28" t="s">
        <v>1253</v>
      </c>
      <c r="BG28" t="s">
        <v>177</v>
      </c>
      <c r="BH28" t="s">
        <v>1644</v>
      </c>
      <c r="BI28" t="s">
        <v>3589</v>
      </c>
      <c r="BJ28" t="s">
        <v>348</v>
      </c>
      <c r="BK28" t="s">
        <v>2158</v>
      </c>
      <c r="BL28" t="s">
        <v>3590</v>
      </c>
      <c r="BM28" t="s">
        <v>915</v>
      </c>
      <c r="BN28">
        <v>2.87</v>
      </c>
      <c r="BO28" t="s">
        <v>60</v>
      </c>
      <c r="BP28" t="s">
        <v>60</v>
      </c>
      <c r="BQ28">
        <v>2.15</v>
      </c>
      <c r="BR28">
        <v>-24.59</v>
      </c>
      <c r="BS28">
        <v>-32.75</v>
      </c>
      <c r="BT28" t="s">
        <v>1343</v>
      </c>
      <c r="BU28" t="s">
        <v>1166</v>
      </c>
      <c r="BV28">
        <v>31.26</v>
      </c>
      <c r="BW28">
        <v>23.64</v>
      </c>
      <c r="BX28">
        <v>21.47</v>
      </c>
      <c r="BY28">
        <v>-37.119999999999997</v>
      </c>
      <c r="BZ28">
        <v>-59.76</v>
      </c>
      <c r="CA28">
        <v>-34.369999999999997</v>
      </c>
      <c r="CB28">
        <v>5.21</v>
      </c>
      <c r="CC28">
        <v>5.21</v>
      </c>
      <c r="CD28" t="s">
        <v>197</v>
      </c>
      <c r="CE28" t="s">
        <v>3591</v>
      </c>
      <c r="CF28" s="8">
        <v>7.7986277747002591E-2</v>
      </c>
      <c r="CG28" s="9">
        <v>1.3266570409289773</v>
      </c>
      <c r="CH28" s="8">
        <v>0.1606217622756958</v>
      </c>
      <c r="CI28" s="8">
        <v>-0.62596899271011353</v>
      </c>
      <c r="CJ28" s="8">
        <v>-0.2383764237165451</v>
      </c>
      <c r="CK28" s="8">
        <v>7.9681269824504852E-2</v>
      </c>
      <c r="CL28" s="8">
        <v>-3.088802844285965E-2</v>
      </c>
      <c r="CM28" s="9">
        <v>0.28761062026023865</v>
      </c>
      <c r="CN28" s="9">
        <v>0.35243552923202515</v>
      </c>
      <c r="CO28" s="9">
        <v>0.18837209045886993</v>
      </c>
      <c r="CP28" s="9">
        <v>0.11885245889425278</v>
      </c>
      <c r="CQ28" s="9">
        <v>-5.8316831588745117</v>
      </c>
      <c r="CR28">
        <v>-12.513092723760463</v>
      </c>
      <c r="CS28">
        <v>-0.95529940889826104</v>
      </c>
      <c r="CT28">
        <v>0</v>
      </c>
      <c r="CU28" s="8">
        <v>-0.13098608255386351</v>
      </c>
      <c r="CV28" s="9">
        <v>-0.976882492005825</v>
      </c>
      <c r="CW28">
        <v>0.06</v>
      </c>
      <c r="CX28" t="e">
        <v>#VALUE!</v>
      </c>
      <c r="CY28" t="s">
        <v>1224</v>
      </c>
      <c r="CZ28">
        <v>-0.13098608255386351</v>
      </c>
      <c r="DA28" t="e">
        <v>#VALUE!</v>
      </c>
      <c r="DB28" t="s">
        <v>1224</v>
      </c>
      <c r="DC28">
        <v>-0.12443677842617033</v>
      </c>
      <c r="DD28" t="e">
        <v>#VALUE!</v>
      </c>
      <c r="DE28" t="s">
        <v>1224</v>
      </c>
      <c r="DF28">
        <v>-0.1152677526473999</v>
      </c>
      <c r="DG28" t="e">
        <v>#VALUE!</v>
      </c>
      <c r="DH28" t="s">
        <v>1224</v>
      </c>
      <c r="DI28">
        <v>-0.10478886604309082</v>
      </c>
      <c r="DJ28" t="e">
        <v>#VALUE!</v>
      </c>
      <c r="DK28" t="s">
        <v>1224</v>
      </c>
      <c r="DL28">
        <v>-9.1690257787704454E-2</v>
      </c>
      <c r="DM28">
        <v>-161000000</v>
      </c>
      <c r="DN28">
        <v>-0.13098608255386351</v>
      </c>
      <c r="DO28">
        <v>3594805500</v>
      </c>
      <c r="DP28">
        <v>325260180</v>
      </c>
      <c r="DQ28">
        <v>1538</v>
      </c>
      <c r="DR28">
        <v>0.20897236030086611</v>
      </c>
      <c r="DS28">
        <v>2.3035395329348023</v>
      </c>
      <c r="DT28" s="10">
        <v>-0.70666666666666667</v>
      </c>
      <c r="DU28">
        <v>-1.3933333333333329</v>
      </c>
      <c r="DV28">
        <v>-2.0999999999999996</v>
      </c>
      <c r="DW28">
        <v>4.9999000000000002</v>
      </c>
      <c r="DX28">
        <v>0.34086614173228302</v>
      </c>
      <c r="DY28">
        <v>4.1708490551181105</v>
      </c>
      <c r="DZ28">
        <v>4438</v>
      </c>
      <c r="EA28">
        <v>4.0223806575042129</v>
      </c>
      <c r="EB28">
        <v>4</v>
      </c>
      <c r="EC28">
        <v>0.28408003814998545</v>
      </c>
      <c r="ED28">
        <v>1.6625882417072881</v>
      </c>
      <c r="EE28" s="11">
        <v>-1.0691999999999999</v>
      </c>
      <c r="EF28">
        <v>-1.0787</v>
      </c>
      <c r="EG28">
        <v>17.170866141732283</v>
      </c>
      <c r="EH28" t="s">
        <v>1225</v>
      </c>
      <c r="EI28">
        <v>0</v>
      </c>
      <c r="EJ28">
        <v>0</v>
      </c>
      <c r="EK28" s="13">
        <v>45489</v>
      </c>
      <c r="EL28" s="14">
        <v>-4.47</v>
      </c>
      <c r="EM28" s="14">
        <v>5</v>
      </c>
      <c r="EN28" s="14">
        <v>2.14</v>
      </c>
      <c r="EO28" s="14">
        <v>-2.1</v>
      </c>
      <c r="EP28" s="14">
        <v>0.95</v>
      </c>
    </row>
    <row r="29" spans="1:146" ht="132" x14ac:dyDescent="0.25">
      <c r="A29" s="7" t="s">
        <v>666</v>
      </c>
      <c r="B29" s="7" t="s">
        <v>1336</v>
      </c>
      <c r="C29" s="7" t="str">
        <f>"公司的主营业务为EAS、RFID相关产品的研发、制造和销售，以及行业应用解决方案的开发、实施和服务。公司的主要产品为商业智能、智慧医疗。"&amp;CHAR(10)&amp;Basic_Fundamental_Information_Constructure(F29)&amp;CHAR(10)&amp;Basic_Fundamental_Information_Concatenate("智慧医疗 3.71亿 52.79% 66.75% 45.30%
商业智能 3.32亿 47.21% 33.25% 25.24%")</f>
        <v>公司的主营业务为EAS、RFID相关产品的研发、制造和销售，以及行业应用解决方案的开发、实施和服务。公司的主要产品为商业智能、智慧医疗。
市值20.291751亿, 利润-8.74亿; PE; 平均PE-5.62; 平均PEG-1.79, PB5.23; ROIC0%; ROE-29.0167%; 股利率0%; 毛利18.4433%; 净利-79.3167%; 上一年度营收增-9.86%, 利润增.46%; 当季营收增-15.32%, 利润增11.61%; 过往5年营收增-3.15%, 利润增-953.57%
Income profile:
智慧医疗 3.71亿 52.79% 66.75% 45.30%
商业智能 3.32亿 47.21% 33.25% 25.24%</v>
      </c>
      <c r="D29" t="s">
        <v>663</v>
      </c>
      <c r="E29" t="s">
        <v>664</v>
      </c>
      <c r="F29">
        <v>2.2400000000000002</v>
      </c>
      <c r="G29">
        <v>-0.88</v>
      </c>
      <c r="H29" t="s">
        <v>3592</v>
      </c>
      <c r="I29">
        <v>2029175100</v>
      </c>
      <c r="K29">
        <v>5.23</v>
      </c>
      <c r="L29" t="s">
        <v>1166</v>
      </c>
      <c r="M29" t="s">
        <v>2159</v>
      </c>
      <c r="N29" t="s">
        <v>744</v>
      </c>
      <c r="O29" t="s">
        <v>1245</v>
      </c>
      <c r="P29">
        <v>-15.42</v>
      </c>
      <c r="Q29" t="s">
        <v>1702</v>
      </c>
      <c r="R29">
        <v>-67764977</v>
      </c>
      <c r="S29" s="5">
        <v>0.11609999999999999</v>
      </c>
      <c r="T29" t="s">
        <v>2173</v>
      </c>
      <c r="U29">
        <v>882919260</v>
      </c>
      <c r="V29">
        <v>905881750</v>
      </c>
      <c r="W29">
        <v>4.5</v>
      </c>
      <c r="X29">
        <v>0.08</v>
      </c>
      <c r="Y29">
        <v>-34.479999999999997</v>
      </c>
      <c r="Z29" t="s">
        <v>366</v>
      </c>
      <c r="AA29" t="s">
        <v>203</v>
      </c>
      <c r="AB29" t="s">
        <v>2160</v>
      </c>
      <c r="AC29" t="s">
        <v>2161</v>
      </c>
      <c r="AD29" t="s">
        <v>60</v>
      </c>
      <c r="AE29">
        <v>16999927</v>
      </c>
      <c r="AF29" t="s">
        <v>2162</v>
      </c>
      <c r="AG29" t="s">
        <v>2163</v>
      </c>
      <c r="AH29" t="s">
        <v>2164</v>
      </c>
      <c r="AI29" t="s">
        <v>530</v>
      </c>
      <c r="AJ29" t="s">
        <v>2165</v>
      </c>
      <c r="AK29" t="s">
        <v>60</v>
      </c>
      <c r="AL29" t="s">
        <v>2166</v>
      </c>
      <c r="AM29" t="s">
        <v>60</v>
      </c>
      <c r="AN29">
        <v>0</v>
      </c>
      <c r="AO29" t="s">
        <v>1405</v>
      </c>
      <c r="AP29" t="s">
        <v>60</v>
      </c>
      <c r="AQ29" t="s">
        <v>727</v>
      </c>
      <c r="AR29" t="s">
        <v>60</v>
      </c>
      <c r="AS29" t="s">
        <v>2167</v>
      </c>
      <c r="AT29" t="s">
        <v>263</v>
      </c>
      <c r="AU29" t="s">
        <v>2168</v>
      </c>
      <c r="AV29" t="s">
        <v>205</v>
      </c>
      <c r="AW29" t="s">
        <v>2169</v>
      </c>
      <c r="AX29" t="s">
        <v>1403</v>
      </c>
      <c r="AY29" t="s">
        <v>1317</v>
      </c>
      <c r="AZ29" t="s">
        <v>1706</v>
      </c>
      <c r="BA29" t="s">
        <v>943</v>
      </c>
      <c r="BB29" t="s">
        <v>787</v>
      </c>
      <c r="BC29" t="s">
        <v>2170</v>
      </c>
      <c r="BD29" t="s">
        <v>2171</v>
      </c>
      <c r="BE29" t="s">
        <v>2172</v>
      </c>
      <c r="BF29" t="s">
        <v>275</v>
      </c>
      <c r="BG29" t="s">
        <v>337</v>
      </c>
      <c r="BH29" t="s">
        <v>1702</v>
      </c>
      <c r="BI29" t="s">
        <v>213</v>
      </c>
      <c r="BJ29" t="s">
        <v>1403</v>
      </c>
      <c r="BK29" t="s">
        <v>2173</v>
      </c>
      <c r="BL29" t="s">
        <v>3593</v>
      </c>
      <c r="BM29" t="s">
        <v>2170</v>
      </c>
      <c r="BN29" t="s">
        <v>60</v>
      </c>
      <c r="BO29" t="s">
        <v>60</v>
      </c>
      <c r="BP29" t="s">
        <v>60</v>
      </c>
      <c r="BQ29">
        <v>-8.84</v>
      </c>
      <c r="BR29">
        <v>-50.57</v>
      </c>
      <c r="BS29">
        <v>-27.64</v>
      </c>
      <c r="BT29" t="s">
        <v>1343</v>
      </c>
      <c r="BU29" t="s">
        <v>1166</v>
      </c>
      <c r="BV29">
        <v>21.04</v>
      </c>
      <c r="BW29">
        <v>16.03</v>
      </c>
      <c r="BX29">
        <v>18.260000000000002</v>
      </c>
      <c r="BY29">
        <v>-87.03</v>
      </c>
      <c r="BZ29">
        <v>-79.09</v>
      </c>
      <c r="CA29">
        <v>-71.83</v>
      </c>
      <c r="CB29">
        <v>-1.75</v>
      </c>
      <c r="CC29">
        <v>-12.84</v>
      </c>
      <c r="CD29" t="s">
        <v>3594</v>
      </c>
      <c r="CE29" t="s">
        <v>628</v>
      </c>
      <c r="CF29" s="8">
        <v>-0.15319148936170213</v>
      </c>
      <c r="CG29" s="9">
        <v>0.11607594457879729</v>
      </c>
      <c r="CH29" s="8">
        <v>-9.8566308617591858E-2</v>
      </c>
      <c r="CI29" s="8">
        <v>0.15887850522994995</v>
      </c>
      <c r="CJ29" s="8">
        <v>-0.29963639378547668</v>
      </c>
      <c r="CK29" s="8">
        <v>-0.10656269639730453</v>
      </c>
      <c r="CL29" s="8">
        <v>0.1884169727563858</v>
      </c>
      <c r="CM29" s="9">
        <v>4.5558088459074497E-3</v>
      </c>
      <c r="CN29" s="9">
        <v>-0.28175181150436401</v>
      </c>
      <c r="CO29" s="9">
        <v>-46.331214904785156</v>
      </c>
      <c r="CP29" s="9">
        <v>-0.8674473762512207</v>
      </c>
      <c r="CQ29" s="9">
        <v>-0.20279720425605774</v>
      </c>
      <c r="CR29">
        <v>-5.623868290706822</v>
      </c>
      <c r="CS29">
        <v>-1.7856960432933342</v>
      </c>
      <c r="CT29">
        <v>0</v>
      </c>
      <c r="CU29" s="8">
        <v>-3.1493984162807465E-2</v>
      </c>
      <c r="CV29" s="9">
        <v>-9.5357310975901779</v>
      </c>
      <c r="CW29">
        <v>0.06</v>
      </c>
      <c r="CX29" t="e">
        <v>#VALUE!</v>
      </c>
      <c r="CY29" t="s">
        <v>1223</v>
      </c>
      <c r="CZ29">
        <v>-3.1493984162807465E-2</v>
      </c>
      <c r="DA29" t="e">
        <v>#VALUE!</v>
      </c>
      <c r="DB29" t="s">
        <v>1224</v>
      </c>
      <c r="DC29">
        <v>-2.9919284954667089E-2</v>
      </c>
      <c r="DD29" t="e">
        <v>#VALUE!</v>
      </c>
      <c r="DE29" t="s">
        <v>1224</v>
      </c>
      <c r="DF29">
        <v>-2.7714706063270568E-2</v>
      </c>
      <c r="DG29" t="e">
        <v>#VALUE!</v>
      </c>
      <c r="DH29" t="s">
        <v>1224</v>
      </c>
      <c r="DI29">
        <v>-2.5195187330245974E-2</v>
      </c>
      <c r="DJ29" t="e">
        <v>#VALUE!</v>
      </c>
      <c r="DK29" t="s">
        <v>1224</v>
      </c>
      <c r="DL29">
        <v>-2.2045788913965223E-2</v>
      </c>
      <c r="DM29">
        <v>-874000000</v>
      </c>
      <c r="DN29">
        <v>-3.1493984162807465E-2</v>
      </c>
      <c r="DO29">
        <v>3555175100</v>
      </c>
      <c r="DP29">
        <v>190047300</v>
      </c>
      <c r="DQ29">
        <v>1570</v>
      </c>
      <c r="DR29">
        <v>-0.12169750519889466</v>
      </c>
      <c r="DS29">
        <v>9.6518070421689757</v>
      </c>
      <c r="DT29" s="10">
        <v>-0.32333333333333336</v>
      </c>
      <c r="DU29">
        <v>-2.0183333333333331</v>
      </c>
      <c r="DV29">
        <v>-2.3416666666666663</v>
      </c>
      <c r="DW29">
        <v>-2.1284000000000001</v>
      </c>
      <c r="DX29">
        <v>0.27872761020881687</v>
      </c>
      <c r="DY29">
        <v>-2.013960625150812</v>
      </c>
      <c r="DZ29">
        <v>4582</v>
      </c>
      <c r="EA29">
        <v>-2.0014351533589538</v>
      </c>
      <c r="EB29">
        <v>2</v>
      </c>
      <c r="EC29">
        <v>5.1730372093267141E-2</v>
      </c>
      <c r="ED29">
        <v>0.47577953745066609</v>
      </c>
      <c r="EE29" s="11">
        <v>-6.1224100000000004</v>
      </c>
      <c r="EF29">
        <v>-6.1312100000000003</v>
      </c>
      <c r="EG29">
        <v>17.108727610208817</v>
      </c>
      <c r="EH29" t="s">
        <v>2174</v>
      </c>
      <c r="EI29">
        <v>0</v>
      </c>
      <c r="EJ29">
        <v>0</v>
      </c>
      <c r="EK29" s="13">
        <v>45489</v>
      </c>
      <c r="EL29" s="14">
        <v>-3.23</v>
      </c>
      <c r="EM29" s="14">
        <v>3.04</v>
      </c>
      <c r="EN29" s="14">
        <v>-1.27</v>
      </c>
      <c r="EO29" s="14">
        <v>-3.42</v>
      </c>
      <c r="EP29" s="14">
        <v>-0.88</v>
      </c>
    </row>
    <row r="30" spans="1:146" ht="96" x14ac:dyDescent="0.25">
      <c r="A30" s="7"/>
      <c r="B30" s="7"/>
      <c r="C30" s="7" t="str">
        <f>""&amp;CHAR(10)&amp;Basic_Fundamental_Information_Constructure(F30)&amp;CHAR(10)&amp;Basic_Fundamental_Information_Concatenate("")</f>
        <v xml:space="preserve">
市值56.957987亿, 利润1860.47万; PE364.5; 平均PE73.41; 平均PEG5.84, PB1.35; ROIC.8433%; ROE2.0633%; 股利率.2509%; 毛利49.0267%; 净利7.92%; 上一年度营收增-35.68%, 利润增-83.24%; 当季营收增-45.99%, 利润增-30.15%; 过往5年营收增-12.58%, 利润增-9.6%
Income profile:
</v>
      </c>
      <c r="D30" t="s">
        <v>80</v>
      </c>
      <c r="E30" t="s">
        <v>789</v>
      </c>
      <c r="F30">
        <v>3.99</v>
      </c>
      <c r="G30">
        <v>0.25</v>
      </c>
      <c r="H30" t="s">
        <v>3595</v>
      </c>
      <c r="I30">
        <v>5695798700</v>
      </c>
      <c r="J30">
        <v>364.5</v>
      </c>
      <c r="K30">
        <v>1.35</v>
      </c>
      <c r="L30" t="s">
        <v>1166</v>
      </c>
      <c r="M30" t="s">
        <v>575</v>
      </c>
      <c r="N30" t="s">
        <v>2175</v>
      </c>
      <c r="O30" t="s">
        <v>177</v>
      </c>
      <c r="P30">
        <v>-45.76</v>
      </c>
      <c r="Q30" t="s">
        <v>877</v>
      </c>
      <c r="R30">
        <v>6900283</v>
      </c>
      <c r="S30" s="5">
        <v>-0.30149999999999999</v>
      </c>
      <c r="T30" t="s">
        <v>2190</v>
      </c>
      <c r="U30">
        <v>1269057260</v>
      </c>
      <c r="V30">
        <v>1427518500</v>
      </c>
      <c r="W30">
        <v>1.07</v>
      </c>
      <c r="X30">
        <v>0.02</v>
      </c>
      <c r="Y30">
        <v>6.81</v>
      </c>
      <c r="Z30" t="s">
        <v>167</v>
      </c>
      <c r="AA30" t="s">
        <v>2176</v>
      </c>
      <c r="AB30" t="s">
        <v>2177</v>
      </c>
      <c r="AC30" t="s">
        <v>2178</v>
      </c>
      <c r="AD30" t="s">
        <v>60</v>
      </c>
      <c r="AE30">
        <v>-17700381</v>
      </c>
      <c r="AF30" t="s">
        <v>2179</v>
      </c>
      <c r="AG30" t="s">
        <v>2180</v>
      </c>
      <c r="AH30" t="s">
        <v>2181</v>
      </c>
      <c r="AI30" t="s">
        <v>1050</v>
      </c>
      <c r="AJ30" t="s">
        <v>2182</v>
      </c>
      <c r="AK30" t="s">
        <v>2183</v>
      </c>
      <c r="AL30" t="s">
        <v>2184</v>
      </c>
      <c r="AM30" t="s">
        <v>60</v>
      </c>
      <c r="AN30">
        <v>0</v>
      </c>
      <c r="AO30" t="s">
        <v>60</v>
      </c>
      <c r="AP30" t="s">
        <v>2185</v>
      </c>
      <c r="AQ30" t="s">
        <v>2186</v>
      </c>
      <c r="AR30" t="s">
        <v>2187</v>
      </c>
      <c r="AS30" t="s">
        <v>62</v>
      </c>
      <c r="AT30" t="s">
        <v>60</v>
      </c>
      <c r="AU30" t="s">
        <v>2188</v>
      </c>
      <c r="AV30" t="s">
        <v>2189</v>
      </c>
      <c r="AW30" t="s">
        <v>60</v>
      </c>
      <c r="AX30" t="s">
        <v>1310</v>
      </c>
      <c r="AY30" t="s">
        <v>1083</v>
      </c>
      <c r="AZ30" t="s">
        <v>790</v>
      </c>
      <c r="BA30" t="s">
        <v>280</v>
      </c>
      <c r="BB30" t="s">
        <v>792</v>
      </c>
      <c r="BC30" t="s">
        <v>465</v>
      </c>
      <c r="BD30" t="s">
        <v>402</v>
      </c>
      <c r="BE30" t="s">
        <v>791</v>
      </c>
      <c r="BF30" t="s">
        <v>392</v>
      </c>
      <c r="BG30" t="s">
        <v>794</v>
      </c>
      <c r="BH30" t="s">
        <v>877</v>
      </c>
      <c r="BI30" t="s">
        <v>444</v>
      </c>
      <c r="BJ30" t="s">
        <v>1310</v>
      </c>
      <c r="BK30" t="s">
        <v>2190</v>
      </c>
      <c r="BL30" t="s">
        <v>3596</v>
      </c>
      <c r="BM30" t="s">
        <v>465</v>
      </c>
      <c r="BN30">
        <v>-1.03</v>
      </c>
      <c r="BO30">
        <v>2.36</v>
      </c>
      <c r="BP30">
        <v>1.2</v>
      </c>
      <c r="BQ30">
        <v>0.83</v>
      </c>
      <c r="BR30">
        <v>2.71</v>
      </c>
      <c r="BS30">
        <v>2.65</v>
      </c>
      <c r="BT30" t="s">
        <v>2191</v>
      </c>
      <c r="BU30" t="s">
        <v>1166</v>
      </c>
      <c r="BV30">
        <v>48.2</v>
      </c>
      <c r="BW30">
        <v>49.69</v>
      </c>
      <c r="BX30">
        <v>49.19</v>
      </c>
      <c r="BY30">
        <v>1</v>
      </c>
      <c r="BZ30">
        <v>12.28</v>
      </c>
      <c r="CA30">
        <v>10.48</v>
      </c>
      <c r="CB30">
        <v>-0.25</v>
      </c>
      <c r="CC30">
        <v>-6.12</v>
      </c>
      <c r="CD30" t="s">
        <v>403</v>
      </c>
      <c r="CE30" t="s">
        <v>3597</v>
      </c>
      <c r="CF30" s="8">
        <v>-0.45989304812834225</v>
      </c>
      <c r="CG30" s="9">
        <v>-0.3014635257435565</v>
      </c>
      <c r="CH30" s="8">
        <v>-0.35675182938575745</v>
      </c>
      <c r="CI30" s="8">
        <v>6.6147856414318085E-2</v>
      </c>
      <c r="CJ30" s="8">
        <v>4.154001921415329E-2</v>
      </c>
      <c r="CK30" s="8">
        <v>-2.8543306514620781E-2</v>
      </c>
      <c r="CL30" s="8">
        <v>-0.35121327638626099</v>
      </c>
      <c r="CM30" s="9">
        <v>-0.83239006996154785</v>
      </c>
      <c r="CN30" s="9">
        <v>5.714285746216774E-2</v>
      </c>
      <c r="CO30" s="9">
        <v>0.36841878294944763</v>
      </c>
      <c r="CP30" s="9">
        <v>9.8165236413478851E-2</v>
      </c>
      <c r="CQ30" s="9">
        <v>-0.17139649391174316</v>
      </c>
      <c r="CR30">
        <v>73.410126126559618</v>
      </c>
      <c r="CS30">
        <v>5.8371285483688</v>
      </c>
      <c r="CT30">
        <v>0.25088721804511277</v>
      </c>
      <c r="CU30" s="8">
        <v>-0.12576410733163357</v>
      </c>
      <c r="CV30" s="9">
        <v>-9.6011937409639356E-2</v>
      </c>
      <c r="CW30">
        <v>0.06</v>
      </c>
      <c r="CX30">
        <v>96.040178019532704</v>
      </c>
      <c r="CY30" t="s">
        <v>3598</v>
      </c>
      <c r="CZ30">
        <v>-0.12576410733163357</v>
      </c>
      <c r="DA30">
        <v>32.013392673177563</v>
      </c>
      <c r="DB30" t="s">
        <v>3599</v>
      </c>
      <c r="DC30">
        <v>-0.11947590196505188</v>
      </c>
      <c r="DD30">
        <v>16.006696336588782</v>
      </c>
      <c r="DE30" t="s">
        <v>3600</v>
      </c>
      <c r="DF30">
        <v>-0.11067241445183754</v>
      </c>
      <c r="DG30">
        <v>9.6040178019532707</v>
      </c>
      <c r="DH30" t="s">
        <v>3601</v>
      </c>
      <c r="DI30">
        <v>-0.10061128586530686</v>
      </c>
      <c r="DJ30">
        <v>4.8020089009766354</v>
      </c>
      <c r="DK30" t="s">
        <v>3602</v>
      </c>
      <c r="DL30">
        <v>-8.8034875132143489E-2</v>
      </c>
      <c r="DM30">
        <v>18604700</v>
      </c>
      <c r="DN30">
        <v>-0.12576410733163357</v>
      </c>
      <c r="DO30">
        <v>1786798700</v>
      </c>
      <c r="DP30">
        <v>2398022100</v>
      </c>
      <c r="DQ30">
        <v>1571</v>
      </c>
      <c r="DR30">
        <v>-0.33412894079670868</v>
      </c>
      <c r="DS30">
        <v>-0.20545158833391713</v>
      </c>
      <c r="DT30" s="10">
        <v>-0.70666666666666667</v>
      </c>
      <c r="DU30">
        <v>-0.51999999999999991</v>
      </c>
      <c r="DV30">
        <v>-1.2266666666666666</v>
      </c>
      <c r="DW30">
        <v>-2.0611999999999999</v>
      </c>
      <c r="DX30">
        <v>0.31391304347826077</v>
      </c>
      <c r="DY30">
        <v>-2.0130914782608698</v>
      </c>
      <c r="DZ30">
        <v>3822</v>
      </c>
      <c r="EA30">
        <v>-2.0032940179293552</v>
      </c>
      <c r="EB30">
        <v>2</v>
      </c>
      <c r="EC30">
        <v>8.61635068126963E-2</v>
      </c>
      <c r="ED30">
        <v>0.40279688144146641</v>
      </c>
      <c r="EE30" s="11">
        <v>-6.1003100000000003</v>
      </c>
      <c r="EF30">
        <v>-6.09781</v>
      </c>
      <c r="EG30">
        <v>10.213913043478261</v>
      </c>
      <c r="EH30" t="s">
        <v>2174</v>
      </c>
      <c r="EI30">
        <v>0</v>
      </c>
      <c r="EJ30">
        <v>0</v>
      </c>
      <c r="EK30" s="13">
        <v>45489</v>
      </c>
      <c r="EL30" s="14">
        <v>-1.77</v>
      </c>
      <c r="EM30" s="14">
        <v>1.72</v>
      </c>
      <c r="EN30" s="14">
        <v>-2.42</v>
      </c>
      <c r="EO30" s="14">
        <v>-1.24</v>
      </c>
      <c r="EP30" s="14">
        <v>0.25</v>
      </c>
    </row>
    <row r="31" spans="1:146" ht="108" x14ac:dyDescent="0.25">
      <c r="A31" s="7"/>
      <c r="B31" s="7"/>
      <c r="C31" s="7" t="str">
        <f>""&amp;CHAR(10)&amp;Basic_Fundamental_Information_Constructure(F31)&amp;CHAR(10)&amp;Basic_Fundamental_Information_Concatenate("")</f>
        <v xml:space="preserve">
市值9.675亿, 利润3704.95万; PE23.84; 平均PE-16.34; 平均PEG-2.45, PB3.08; ROIC20.25%; ROE-17.25%; 股利率0%; 毛利52.53%; 净利-28.5833%; 上一年度营收增47.87%, 利润增111.58%; 当季营收增-64.07%, 利润增8.09%; 过往5年营收增6.67%, 利润增-230.18%
Income profile:
</v>
      </c>
      <c r="D31" t="s">
        <v>82</v>
      </c>
      <c r="E31" t="s">
        <v>1710</v>
      </c>
      <c r="F31">
        <v>2.25</v>
      </c>
      <c r="G31">
        <v>2.27</v>
      </c>
      <c r="H31" t="s">
        <v>3603</v>
      </c>
      <c r="I31">
        <v>967500000</v>
      </c>
      <c r="J31">
        <v>23.84</v>
      </c>
      <c r="K31">
        <v>3.08</v>
      </c>
      <c r="L31" t="s">
        <v>1166</v>
      </c>
      <c r="M31" t="s">
        <v>637</v>
      </c>
      <c r="N31" t="s">
        <v>362</v>
      </c>
      <c r="O31" t="s">
        <v>2192</v>
      </c>
      <c r="P31">
        <v>-64.150000000000006</v>
      </c>
      <c r="Q31" t="s">
        <v>1339</v>
      </c>
      <c r="R31">
        <v>-40150465</v>
      </c>
      <c r="S31" s="5">
        <v>8.09E-2</v>
      </c>
      <c r="T31" t="s">
        <v>2204</v>
      </c>
      <c r="U31">
        <v>359095220</v>
      </c>
      <c r="V31">
        <v>430000000</v>
      </c>
      <c r="W31">
        <v>2.64</v>
      </c>
      <c r="X31">
        <v>0.05</v>
      </c>
      <c r="Y31">
        <v>-106.24</v>
      </c>
      <c r="Z31" t="s">
        <v>440</v>
      </c>
      <c r="AA31" t="s">
        <v>2193</v>
      </c>
      <c r="AB31" t="s">
        <v>2194</v>
      </c>
      <c r="AC31" t="s">
        <v>2195</v>
      </c>
      <c r="AD31" t="s">
        <v>60</v>
      </c>
      <c r="AE31">
        <v>-271826</v>
      </c>
      <c r="AF31" t="s">
        <v>2196</v>
      </c>
      <c r="AG31">
        <v>2055.65</v>
      </c>
      <c r="AH31" t="s">
        <v>2197</v>
      </c>
      <c r="AI31" t="s">
        <v>366</v>
      </c>
      <c r="AJ31" t="s">
        <v>2198</v>
      </c>
      <c r="AK31" t="s">
        <v>2199</v>
      </c>
      <c r="AL31" t="s">
        <v>2200</v>
      </c>
      <c r="AM31" t="s">
        <v>60</v>
      </c>
      <c r="AN31">
        <v>0</v>
      </c>
      <c r="AO31" t="s">
        <v>60</v>
      </c>
      <c r="AP31" t="s">
        <v>60</v>
      </c>
      <c r="AQ31" t="s">
        <v>444</v>
      </c>
      <c r="AR31" t="s">
        <v>60</v>
      </c>
      <c r="AS31" t="s">
        <v>521</v>
      </c>
      <c r="AT31" t="s">
        <v>2201</v>
      </c>
      <c r="AU31" t="s">
        <v>1333</v>
      </c>
      <c r="AV31" t="s">
        <v>2202</v>
      </c>
      <c r="AW31" t="s">
        <v>2203</v>
      </c>
      <c r="AX31" t="s">
        <v>304</v>
      </c>
      <c r="AY31" t="s">
        <v>1104</v>
      </c>
      <c r="AZ31" t="s">
        <v>798</v>
      </c>
      <c r="BA31" t="s">
        <v>397</v>
      </c>
      <c r="BB31" t="s">
        <v>747</v>
      </c>
      <c r="BC31" t="s">
        <v>1404</v>
      </c>
      <c r="BD31" t="s">
        <v>1006</v>
      </c>
      <c r="BE31" t="s">
        <v>799</v>
      </c>
      <c r="BF31" t="s">
        <v>398</v>
      </c>
      <c r="BG31" t="s">
        <v>800</v>
      </c>
      <c r="BH31" t="s">
        <v>1339</v>
      </c>
      <c r="BI31" t="s">
        <v>441</v>
      </c>
      <c r="BJ31" t="s">
        <v>304</v>
      </c>
      <c r="BK31" t="s">
        <v>2204</v>
      </c>
      <c r="BL31" t="s">
        <v>3604</v>
      </c>
      <c r="BM31" t="s">
        <v>1404</v>
      </c>
      <c r="BN31">
        <v>20.25</v>
      </c>
      <c r="BO31" t="s">
        <v>60</v>
      </c>
      <c r="BP31" t="s">
        <v>60</v>
      </c>
      <c r="BQ31">
        <v>34.61</v>
      </c>
      <c r="BR31">
        <v>-70.2</v>
      </c>
      <c r="BS31">
        <v>-16.16</v>
      </c>
      <c r="BT31" t="s">
        <v>1343</v>
      </c>
      <c r="BU31" t="s">
        <v>1166</v>
      </c>
      <c r="BV31">
        <v>50.15</v>
      </c>
      <c r="BW31">
        <v>57.68</v>
      </c>
      <c r="BX31">
        <v>49.76</v>
      </c>
      <c r="BY31">
        <v>3.4</v>
      </c>
      <c r="BZ31">
        <v>-74.150000000000006</v>
      </c>
      <c r="CA31">
        <v>-15</v>
      </c>
      <c r="CB31">
        <v>2.74</v>
      </c>
      <c r="CC31">
        <v>-4.66</v>
      </c>
      <c r="CD31" t="s">
        <v>3605</v>
      </c>
      <c r="CE31" t="s">
        <v>212</v>
      </c>
      <c r="CF31" s="8">
        <v>-0.64070955882352942</v>
      </c>
      <c r="CG31" s="9">
        <v>8.088854042670085E-2</v>
      </c>
      <c r="CH31" s="8">
        <v>0.47866418957710266</v>
      </c>
      <c r="CI31" s="8">
        <v>-0.38117107748985291</v>
      </c>
      <c r="CJ31" s="8">
        <v>-0.17126546800136566</v>
      </c>
      <c r="CK31" s="8">
        <v>0.10748156160116196</v>
      </c>
      <c r="CL31" s="8">
        <v>0.30000001192092896</v>
      </c>
      <c r="CM31" s="9">
        <v>1.1157797574996948</v>
      </c>
      <c r="CN31" s="9">
        <v>-1.9357798099517822</v>
      </c>
      <c r="CO31" s="9">
        <v>-10.497835159301758</v>
      </c>
      <c r="CP31" s="9">
        <v>9.2387944459915161E-2</v>
      </c>
      <c r="CQ31" s="9">
        <v>-0.28361108899116516</v>
      </c>
      <c r="CR31">
        <v>-16.338135516179538</v>
      </c>
      <c r="CS31">
        <v>-2.4479598785570205</v>
      </c>
      <c r="CT31">
        <v>0</v>
      </c>
      <c r="CU31" s="8">
        <v>6.6741843521594998E-2</v>
      </c>
      <c r="CV31" s="9">
        <v>-2.3018116712570191</v>
      </c>
      <c r="CW31">
        <v>0.06</v>
      </c>
      <c r="CX31">
        <v>34.289797108399149</v>
      </c>
      <c r="CY31">
        <v>37285143.331654087</v>
      </c>
      <c r="CZ31">
        <v>6.6741843521594998E-2</v>
      </c>
      <c r="DA31">
        <v>11.429051118572907</v>
      </c>
      <c r="DB31">
        <v>111864054.74399877</v>
      </c>
      <c r="DC31">
        <v>6.3404751345515251E-2</v>
      </c>
      <c r="DD31">
        <v>5.7754314453374098</v>
      </c>
      <c r="DE31">
        <v>221368743.11479393</v>
      </c>
      <c r="DF31">
        <v>5.8732822299003597E-2</v>
      </c>
      <c r="DG31">
        <v>3.5709369791432435</v>
      </c>
      <c r="DH31">
        <v>358029281.24112231</v>
      </c>
      <c r="DI31">
        <v>5.3393474817276E-2</v>
      </c>
      <c r="DJ31">
        <v>1.9644249291131384</v>
      </c>
      <c r="DK31">
        <v>650826601.23703134</v>
      </c>
      <c r="DL31">
        <v>4.6719290465116498E-2</v>
      </c>
      <c r="DM31">
        <v>37049500</v>
      </c>
      <c r="DN31">
        <v>6.6741843521594998E-2</v>
      </c>
      <c r="DO31">
        <v>1278500000</v>
      </c>
      <c r="DP31">
        <v>244181210</v>
      </c>
      <c r="DQ31">
        <v>1586</v>
      </c>
      <c r="DR31">
        <v>-0.70745140234512438</v>
      </c>
      <c r="DS31">
        <v>2.3827002116837201</v>
      </c>
      <c r="DT31" s="10">
        <v>-0.45666666666666672</v>
      </c>
      <c r="DU31">
        <v>-2.0649999999999999</v>
      </c>
      <c r="DV31">
        <v>-2.5216666666666665</v>
      </c>
      <c r="DW31">
        <v>6.3702702702702698</v>
      </c>
      <c r="DX31">
        <v>0.35287583547557899</v>
      </c>
      <c r="DY31">
        <v>6.0454972688112276</v>
      </c>
      <c r="DZ31">
        <v>4669</v>
      </c>
      <c r="EA31">
        <v>6.0039020567337609</v>
      </c>
      <c r="EB31">
        <v>6</v>
      </c>
      <c r="EC31">
        <v>0.11115976744186047</v>
      </c>
      <c r="ED31">
        <v>0.90465116279069768</v>
      </c>
      <c r="EE31" s="11">
        <v>-2.0531999999999999</v>
      </c>
      <c r="EF31">
        <v>-2.0758999999999999</v>
      </c>
      <c r="EG31">
        <v>23.122875835475579</v>
      </c>
      <c r="EH31" t="s">
        <v>1363</v>
      </c>
      <c r="EI31">
        <v>0</v>
      </c>
      <c r="EJ31">
        <v>0</v>
      </c>
      <c r="EK31" s="13">
        <v>45489</v>
      </c>
      <c r="EL31" s="14">
        <v>-2.35</v>
      </c>
      <c r="EM31" s="14">
        <v>3.69</v>
      </c>
      <c r="EN31" s="14">
        <v>2.2200000000000002</v>
      </c>
      <c r="EO31" s="14">
        <v>-4.3499999999999996</v>
      </c>
      <c r="EP31" s="14">
        <v>2.27</v>
      </c>
    </row>
    <row r="32" spans="1:146" ht="96" x14ac:dyDescent="0.25">
      <c r="A32" s="7"/>
      <c r="B32" s="7"/>
      <c r="C32" s="7" t="str">
        <f>""&amp;CHAR(10)&amp;Basic_Fundamental_Information_Constructure(F32)&amp;CHAR(10)&amp;Basic_Fundamental_Information_Concatenate("")</f>
        <v xml:space="preserve">
市值14.042545亿, 利润-1749.82万; PE; 平均PE-29.94; 平均PEG-5.03, PB.944; ROIC1.32%; ROE-6.6833%; 股利率0%; 毛利35.9033%; 净利-18.49%; 上一年度营收增14.04%, 利润增95.57%; 当季营收增-25.14%, 利润增-1442.93%; 过往5年营收增5.95%, 利润增-284.4%
Income profile:
</v>
      </c>
      <c r="D32" t="s">
        <v>140</v>
      </c>
      <c r="E32" t="s">
        <v>45</v>
      </c>
      <c r="F32">
        <v>2.4</v>
      </c>
      <c r="G32">
        <v>-0.41</v>
      </c>
      <c r="H32" t="s">
        <v>3606</v>
      </c>
      <c r="I32">
        <v>1404254500</v>
      </c>
      <c r="K32">
        <v>0.94399999999999995</v>
      </c>
      <c r="L32" t="s">
        <v>1166</v>
      </c>
      <c r="M32" t="s">
        <v>660</v>
      </c>
      <c r="N32" t="s">
        <v>2205</v>
      </c>
      <c r="O32" t="s">
        <v>2206</v>
      </c>
      <c r="P32">
        <v>-24.87</v>
      </c>
      <c r="Q32" t="s">
        <v>498</v>
      </c>
      <c r="R32">
        <v>-13062688</v>
      </c>
      <c r="S32" s="5">
        <v>-14.43</v>
      </c>
      <c r="T32" t="s">
        <v>2222</v>
      </c>
      <c r="U32">
        <v>514733940</v>
      </c>
      <c r="V32">
        <v>585106050</v>
      </c>
      <c r="W32">
        <v>1.33</v>
      </c>
      <c r="X32">
        <v>0.04</v>
      </c>
      <c r="Y32">
        <v>-16.010000000000002</v>
      </c>
      <c r="Z32" t="s">
        <v>171</v>
      </c>
      <c r="AA32" t="s">
        <v>2207</v>
      </c>
      <c r="AB32" t="s">
        <v>2208</v>
      </c>
      <c r="AC32" t="s">
        <v>2209</v>
      </c>
      <c r="AD32" t="s">
        <v>60</v>
      </c>
      <c r="AE32">
        <v>857462</v>
      </c>
      <c r="AF32" t="s">
        <v>2210</v>
      </c>
      <c r="AG32" t="s">
        <v>2211</v>
      </c>
      <c r="AH32" t="s">
        <v>2212</v>
      </c>
      <c r="AI32" t="s">
        <v>553</v>
      </c>
      <c r="AJ32" t="s">
        <v>2213</v>
      </c>
      <c r="AK32" t="s">
        <v>2214</v>
      </c>
      <c r="AL32" t="s">
        <v>2215</v>
      </c>
      <c r="AM32" t="s">
        <v>60</v>
      </c>
      <c r="AN32" t="s">
        <v>1637</v>
      </c>
      <c r="AO32" t="s">
        <v>2216</v>
      </c>
      <c r="AP32" t="s">
        <v>2217</v>
      </c>
      <c r="AQ32" t="s">
        <v>502</v>
      </c>
      <c r="AR32" t="s">
        <v>1407</v>
      </c>
      <c r="AS32" t="s">
        <v>2218</v>
      </c>
      <c r="AT32" t="s">
        <v>60</v>
      </c>
      <c r="AU32" t="s">
        <v>2219</v>
      </c>
      <c r="AV32" t="s">
        <v>2220</v>
      </c>
      <c r="AW32" t="s">
        <v>2221</v>
      </c>
      <c r="AX32" t="s">
        <v>877</v>
      </c>
      <c r="AY32" t="s">
        <v>978</v>
      </c>
      <c r="AZ32" t="s">
        <v>517</v>
      </c>
      <c r="BA32" t="s">
        <v>401</v>
      </c>
      <c r="BB32" t="s">
        <v>527</v>
      </c>
      <c r="BC32" t="s">
        <v>1406</v>
      </c>
      <c r="BD32" t="s">
        <v>1105</v>
      </c>
      <c r="BE32" t="s">
        <v>801</v>
      </c>
      <c r="BF32" t="s">
        <v>402</v>
      </c>
      <c r="BG32" t="s">
        <v>803</v>
      </c>
      <c r="BH32" t="s">
        <v>498</v>
      </c>
      <c r="BI32" t="s">
        <v>196</v>
      </c>
      <c r="BJ32" t="s">
        <v>877</v>
      </c>
      <c r="BK32" t="s">
        <v>2222</v>
      </c>
      <c r="BL32" t="s">
        <v>3607</v>
      </c>
      <c r="BM32" t="s">
        <v>1406</v>
      </c>
      <c r="BN32">
        <v>1.23</v>
      </c>
      <c r="BO32" t="s">
        <v>60</v>
      </c>
      <c r="BP32">
        <v>1.41</v>
      </c>
      <c r="BQ32">
        <v>1.4</v>
      </c>
      <c r="BR32">
        <v>-22.95</v>
      </c>
      <c r="BS32">
        <v>1.5</v>
      </c>
      <c r="BT32" t="s">
        <v>1343</v>
      </c>
      <c r="BU32" t="s">
        <v>1166</v>
      </c>
      <c r="BV32">
        <v>35.72</v>
      </c>
      <c r="BW32">
        <v>38.26</v>
      </c>
      <c r="BX32">
        <v>33.729999999999997</v>
      </c>
      <c r="BY32">
        <v>-2.2599999999999998</v>
      </c>
      <c r="BZ32">
        <v>-56.22</v>
      </c>
      <c r="CA32">
        <v>3.01</v>
      </c>
      <c r="CB32">
        <v>-2.83</v>
      </c>
      <c r="CC32">
        <v>-16.670000000000002</v>
      </c>
      <c r="CD32" t="s">
        <v>3608</v>
      </c>
      <c r="CE32" t="s">
        <v>256</v>
      </c>
      <c r="CF32" s="8">
        <v>-0.25137826086956511</v>
      </c>
      <c r="CG32" s="9">
        <v>-14.429308111442376</v>
      </c>
      <c r="CH32" s="8">
        <v>0.14042553305625916</v>
      </c>
      <c r="CI32" s="8">
        <v>-0.25</v>
      </c>
      <c r="CJ32" s="8">
        <v>0.209781214594841</v>
      </c>
      <c r="CK32" s="8">
        <v>-0.13087248802185059</v>
      </c>
      <c r="CL32" s="8">
        <v>0.32838037610054016</v>
      </c>
      <c r="CM32" s="9">
        <v>0.95570075511932373</v>
      </c>
      <c r="CN32" s="9">
        <v>-14.816744804382324</v>
      </c>
      <c r="CO32" s="9">
        <v>1.3150671720504761</v>
      </c>
      <c r="CP32" s="9">
        <v>-1.8641694784164429</v>
      </c>
      <c r="CQ32" s="9">
        <v>0.18994462490081787</v>
      </c>
      <c r="CR32">
        <v>-29.940598724770183</v>
      </c>
      <c r="CS32">
        <v>-5.0284055823081397</v>
      </c>
      <c r="CT32">
        <v>0</v>
      </c>
      <c r="CU32" s="8">
        <v>5.954292714595795E-2</v>
      </c>
      <c r="CV32" s="9">
        <v>-2.8440403461456301</v>
      </c>
      <c r="CW32">
        <v>0.06</v>
      </c>
      <c r="CX32" t="e">
        <v>#VALUE!</v>
      </c>
      <c r="CY32" t="s">
        <v>1223</v>
      </c>
      <c r="CZ32">
        <v>5.954292714595795E-2</v>
      </c>
      <c r="DA32" t="e">
        <v>#VALUE!</v>
      </c>
      <c r="DB32" t="s">
        <v>1224</v>
      </c>
      <c r="DC32">
        <v>5.656578078866005E-2</v>
      </c>
      <c r="DD32" t="e">
        <v>#VALUE!</v>
      </c>
      <c r="DE32" t="s">
        <v>1224</v>
      </c>
      <c r="DF32">
        <v>5.2397775888442993E-2</v>
      </c>
      <c r="DG32" t="e">
        <v>#VALUE!</v>
      </c>
      <c r="DH32" t="s">
        <v>1224</v>
      </c>
      <c r="DI32">
        <v>4.7634341716766365E-2</v>
      </c>
      <c r="DJ32" t="e">
        <v>#VALUE!</v>
      </c>
      <c r="DK32" t="s">
        <v>1224</v>
      </c>
      <c r="DL32">
        <v>4.1680049002170559E-2</v>
      </c>
      <c r="DM32">
        <v>-17498200</v>
      </c>
      <c r="DN32">
        <v>5.954292714595795E-2</v>
      </c>
      <c r="DO32">
        <v>452254500</v>
      </c>
      <c r="DP32">
        <v>1179710500</v>
      </c>
      <c r="DQ32">
        <v>1639</v>
      </c>
      <c r="DR32">
        <v>-0.31092118801552304</v>
      </c>
      <c r="DS32">
        <v>-11.585267765296745</v>
      </c>
      <c r="DT32" s="10">
        <v>-0.35666666666666669</v>
      </c>
      <c r="DU32">
        <v>-1.9816666666666667</v>
      </c>
      <c r="DV32">
        <v>-2.3383333333333334</v>
      </c>
      <c r="DW32">
        <v>-8.1697660467906417</v>
      </c>
      <c r="DX32">
        <v>0.31230421052631574</v>
      </c>
      <c r="DY32">
        <v>-8.0241584232627154</v>
      </c>
      <c r="DZ32">
        <v>4580</v>
      </c>
      <c r="EA32">
        <v>-8.0024929487095076</v>
      </c>
      <c r="EB32">
        <v>8</v>
      </c>
      <c r="EC32">
        <v>6.9315126719335748E-2</v>
      </c>
      <c r="ED32">
        <v>0.48709118629007508</v>
      </c>
      <c r="EE32" s="11">
        <v>-4.0479099999999999</v>
      </c>
      <c r="EF32">
        <v>-4.0520100000000001</v>
      </c>
      <c r="EG32">
        <v>17.142304210526316</v>
      </c>
      <c r="EH32" t="s">
        <v>1709</v>
      </c>
      <c r="EI32">
        <v>0</v>
      </c>
      <c r="EJ32">
        <v>0</v>
      </c>
      <c r="EK32" s="13">
        <v>45489</v>
      </c>
      <c r="EL32" s="14">
        <v>-2.17</v>
      </c>
      <c r="EM32" s="14">
        <v>5.39</v>
      </c>
      <c r="EN32" s="14">
        <v>-0.79</v>
      </c>
      <c r="EO32" s="14">
        <v>-4.37</v>
      </c>
      <c r="EP32" s="14">
        <v>-0.41</v>
      </c>
    </row>
    <row r="33" spans="1:146" ht="96" x14ac:dyDescent="0.25">
      <c r="A33" s="7"/>
      <c r="B33" s="7"/>
      <c r="C33" s="7" t="str">
        <f>""&amp;CHAR(10)&amp;Basic_Fundamental_Information_Constructure(F33)&amp;CHAR(10)&amp;Basic_Fundamental_Information_Concatenate("")</f>
        <v xml:space="preserve">
市值68.797172亿, 利润-3.86亿; PE; 平均PE47.01; 平均PEG11.81, PB1.14; ROIC3.175%; ROE.33%; 股利率0%; 毛利31.6167%; 净利-6.5867%; 上一年度营收增4.11%, 利润增-6.93%; 当季营收增5.59%, 利润增-90.91%; 过往5年营收增3.98%, 利润增-53.86%
Income profile:
</v>
      </c>
      <c r="D33" t="s">
        <v>126</v>
      </c>
      <c r="E33" t="s">
        <v>26</v>
      </c>
      <c r="F33">
        <v>5.97</v>
      </c>
      <c r="G33">
        <v>0.67</v>
      </c>
      <c r="H33" t="s">
        <v>3609</v>
      </c>
      <c r="I33">
        <v>6879717200</v>
      </c>
      <c r="K33">
        <v>1.1399999999999999</v>
      </c>
      <c r="L33" t="s">
        <v>1166</v>
      </c>
      <c r="M33" t="s">
        <v>1641</v>
      </c>
      <c r="N33" t="s">
        <v>2223</v>
      </c>
      <c r="O33" t="s">
        <v>1609</v>
      </c>
      <c r="P33">
        <v>5.59</v>
      </c>
      <c r="Q33" t="s">
        <v>1622</v>
      </c>
      <c r="R33">
        <v>4177813</v>
      </c>
      <c r="S33" s="5">
        <v>-0.90910000000000002</v>
      </c>
      <c r="T33" t="s">
        <v>861</v>
      </c>
      <c r="U33">
        <v>919291150</v>
      </c>
      <c r="V33">
        <v>1152381440</v>
      </c>
      <c r="W33">
        <v>1.27</v>
      </c>
      <c r="X33">
        <v>7.0000000000000007E-2</v>
      </c>
      <c r="Y33">
        <v>0.68</v>
      </c>
      <c r="Z33" t="s">
        <v>268</v>
      </c>
      <c r="AA33" t="s">
        <v>547</v>
      </c>
      <c r="AB33" t="s">
        <v>2224</v>
      </c>
      <c r="AC33" t="s">
        <v>2225</v>
      </c>
      <c r="AD33" t="s">
        <v>60</v>
      </c>
      <c r="AE33">
        <v>2065118</v>
      </c>
      <c r="AF33" t="s">
        <v>2226</v>
      </c>
      <c r="AG33" t="s">
        <v>2227</v>
      </c>
      <c r="AH33" t="s">
        <v>2228</v>
      </c>
      <c r="AI33" t="s">
        <v>661</v>
      </c>
      <c r="AJ33" t="s">
        <v>2229</v>
      </c>
      <c r="AK33" t="s">
        <v>2230</v>
      </c>
      <c r="AL33" t="s">
        <v>2231</v>
      </c>
      <c r="AM33" t="s">
        <v>60</v>
      </c>
      <c r="AN33" t="s">
        <v>434</v>
      </c>
      <c r="AO33" t="s">
        <v>950</v>
      </c>
      <c r="AP33" t="s">
        <v>2232</v>
      </c>
      <c r="AQ33" t="s">
        <v>336</v>
      </c>
      <c r="AR33" t="s">
        <v>60</v>
      </c>
      <c r="AS33" t="s">
        <v>1707</v>
      </c>
      <c r="AT33" t="s">
        <v>513</v>
      </c>
      <c r="AU33" t="s">
        <v>2233</v>
      </c>
      <c r="AV33" t="s">
        <v>2234</v>
      </c>
      <c r="AW33" t="s">
        <v>2235</v>
      </c>
      <c r="AX33" t="s">
        <v>1375</v>
      </c>
      <c r="AY33" t="s">
        <v>1106</v>
      </c>
      <c r="AZ33" t="s">
        <v>804</v>
      </c>
      <c r="BA33" t="s">
        <v>405</v>
      </c>
      <c r="BB33" t="s">
        <v>806</v>
      </c>
      <c r="BC33" t="s">
        <v>1272</v>
      </c>
      <c r="BD33" t="s">
        <v>225</v>
      </c>
      <c r="BE33" t="s">
        <v>225</v>
      </c>
      <c r="BF33" t="s">
        <v>406</v>
      </c>
      <c r="BG33" t="s">
        <v>493</v>
      </c>
      <c r="BH33" t="s">
        <v>1622</v>
      </c>
      <c r="BI33" t="s">
        <v>1131</v>
      </c>
      <c r="BJ33" t="s">
        <v>1375</v>
      </c>
      <c r="BK33" t="s">
        <v>861</v>
      </c>
      <c r="BL33" t="s">
        <v>3610</v>
      </c>
      <c r="BM33" t="s">
        <v>1272</v>
      </c>
      <c r="BN33">
        <v>1.82</v>
      </c>
      <c r="BO33" t="s">
        <v>60</v>
      </c>
      <c r="BP33">
        <v>4.53</v>
      </c>
      <c r="BQ33">
        <v>1.68</v>
      </c>
      <c r="BR33">
        <v>-5.4</v>
      </c>
      <c r="BS33">
        <v>4.71</v>
      </c>
      <c r="BT33" t="s">
        <v>1343</v>
      </c>
      <c r="BU33" t="s">
        <v>1166</v>
      </c>
      <c r="BV33">
        <v>23.42</v>
      </c>
      <c r="BW33">
        <v>31.07</v>
      </c>
      <c r="BX33">
        <v>40.36</v>
      </c>
      <c r="BY33">
        <v>-16.170000000000002</v>
      </c>
      <c r="BZ33">
        <v>-16.010000000000002</v>
      </c>
      <c r="CA33">
        <v>12.42</v>
      </c>
      <c r="CB33">
        <v>-0.83</v>
      </c>
      <c r="CC33">
        <v>-9.1300000000000008</v>
      </c>
      <c r="CD33" t="s">
        <v>3611</v>
      </c>
      <c r="CE33" t="s">
        <v>568</v>
      </c>
      <c r="CF33" s="8">
        <v>5.588822355289421E-2</v>
      </c>
      <c r="CG33" s="9">
        <v>-0.90910723998242116</v>
      </c>
      <c r="CH33" s="8">
        <v>4.1066024452447891E-2</v>
      </c>
      <c r="CI33" s="8">
        <v>-7.3279425501823425E-2</v>
      </c>
      <c r="CJ33" s="8">
        <v>0.18295025825500488</v>
      </c>
      <c r="CK33" s="8">
        <v>-2.8837267309427261E-2</v>
      </c>
      <c r="CL33" s="8">
        <v>7.7154375612735748E-2</v>
      </c>
      <c r="CM33" s="9">
        <v>-6.9252081215381622E-2</v>
      </c>
      <c r="CN33" s="9">
        <v>-2.195364236831665</v>
      </c>
      <c r="CO33" s="9">
        <v>0</v>
      </c>
      <c r="CP33" s="9">
        <v>-0.39960238337516785</v>
      </c>
      <c r="CQ33" s="9">
        <v>-2.8957528993487358E-2</v>
      </c>
      <c r="CR33">
        <v>47.014012756264236</v>
      </c>
      <c r="CS33">
        <v>11.809363515079843</v>
      </c>
      <c r="CT33">
        <v>0</v>
      </c>
      <c r="CU33" s="8">
        <v>3.9810793101787569E-2</v>
      </c>
      <c r="CV33" s="9">
        <v>-0.5386352460831404</v>
      </c>
      <c r="CW33">
        <v>0.06</v>
      </c>
      <c r="CX33" t="e">
        <v>#VALUE!</v>
      </c>
      <c r="CY33" t="s">
        <v>1224</v>
      </c>
      <c r="CZ33">
        <v>3.9810793101787569E-2</v>
      </c>
      <c r="DA33" t="e">
        <v>#VALUE!</v>
      </c>
      <c r="DB33" t="s">
        <v>1224</v>
      </c>
      <c r="DC33">
        <v>3.782025344669819E-2</v>
      </c>
      <c r="DD33" t="e">
        <v>#VALUE!</v>
      </c>
      <c r="DE33" t="s">
        <v>1224</v>
      </c>
      <c r="DF33">
        <v>3.5033497929573061E-2</v>
      </c>
      <c r="DG33" t="e">
        <v>#VALUE!</v>
      </c>
      <c r="DH33" t="s">
        <v>1224</v>
      </c>
      <c r="DI33">
        <v>3.1848634481430056E-2</v>
      </c>
      <c r="DJ33" t="e">
        <v>#VALUE!</v>
      </c>
      <c r="DK33" t="s">
        <v>1224</v>
      </c>
      <c r="DL33">
        <v>2.7867555171251297E-2</v>
      </c>
      <c r="DM33">
        <v>-386000000</v>
      </c>
      <c r="DN33">
        <v>3.9810793101787569E-2</v>
      </c>
      <c r="DO33">
        <v>2431717200</v>
      </c>
      <c r="DP33">
        <v>2524593100</v>
      </c>
      <c r="DQ33">
        <v>1654</v>
      </c>
      <c r="DR33">
        <v>1.6077430451106642E-2</v>
      </c>
      <c r="DS33">
        <v>-0.37047199389928076</v>
      </c>
      <c r="DT33" s="10">
        <v>-0.3066666666666667</v>
      </c>
      <c r="DU33">
        <v>-1.47</v>
      </c>
      <c r="DV33">
        <v>-1.7766666666666666</v>
      </c>
      <c r="DW33">
        <v>-2.0912999999999999</v>
      </c>
      <c r="DX33">
        <v>0.35210186480186589</v>
      </c>
      <c r="DY33">
        <v>-2.0129739002564104</v>
      </c>
      <c r="DZ33">
        <v>4235</v>
      </c>
      <c r="EA33">
        <v>-2.0022152420253749</v>
      </c>
      <c r="EB33">
        <v>2</v>
      </c>
      <c r="EC33">
        <v>5.2900626375933305E-2</v>
      </c>
      <c r="ED33">
        <v>0.37227256974912754</v>
      </c>
      <c r="EE33" s="11">
        <v>-8.0622100000000003</v>
      </c>
      <c r="EF33">
        <v>-8.0555099999999999</v>
      </c>
      <c r="EG33">
        <v>21.142101864801866</v>
      </c>
      <c r="EH33" t="s">
        <v>3344</v>
      </c>
      <c r="EI33">
        <v>0</v>
      </c>
      <c r="EJ33">
        <v>0</v>
      </c>
      <c r="EK33" s="13">
        <v>45489</v>
      </c>
      <c r="EL33" s="14">
        <v>-0.92</v>
      </c>
      <c r="EM33" s="14">
        <v>3.36</v>
      </c>
      <c r="EN33" s="14">
        <v>-1.62</v>
      </c>
      <c r="EO33" s="14">
        <v>-2.15</v>
      </c>
      <c r="EP33" s="14">
        <v>0.67</v>
      </c>
    </row>
    <row r="34" spans="1:146" ht="96" x14ac:dyDescent="0.25">
      <c r="A34" s="7"/>
      <c r="B34" s="7"/>
      <c r="C34" s="7" t="str">
        <f>""&amp;CHAR(10)&amp;Basic_Fundamental_Information_Constructure(F34)&amp;CHAR(10)&amp;Basic_Fundamental_Information_Concatenate("")</f>
        <v xml:space="preserve">
市值5.98513亿, 利润-2.31亿; PE; 平均PE-3.72; 平均PEG-.16, PB; ROIC0%; ROE-109.6667%; 股利率0%; 毛利17.5967%; 净利-55.75%; 上一年度营收增-4.8%, 利润增18.37%; 当季营收增106.25%, 利润增82.26%; 过往5年营收增23.23%, 利润增-149.75%
Income profile:
</v>
      </c>
      <c r="D34" t="s">
        <v>141</v>
      </c>
      <c r="E34" t="s">
        <v>2236</v>
      </c>
      <c r="F34">
        <v>1.66</v>
      </c>
      <c r="G34">
        <v>-3.49</v>
      </c>
      <c r="H34" t="s">
        <v>3612</v>
      </c>
      <c r="I34">
        <v>598513000</v>
      </c>
      <c r="L34" t="s">
        <v>1166</v>
      </c>
      <c r="M34" t="s">
        <v>215</v>
      </c>
      <c r="N34" t="s">
        <v>2237</v>
      </c>
      <c r="O34" t="s">
        <v>226</v>
      </c>
      <c r="P34">
        <v>107.07</v>
      </c>
      <c r="Q34" t="s">
        <v>462</v>
      </c>
      <c r="R34">
        <v>-8986155</v>
      </c>
      <c r="S34" s="5">
        <v>0.8226</v>
      </c>
      <c r="T34" t="s">
        <v>1666</v>
      </c>
      <c r="U34">
        <v>343262500</v>
      </c>
      <c r="V34">
        <v>360550000</v>
      </c>
      <c r="W34">
        <v>17.489999999999998</v>
      </c>
      <c r="X34">
        <v>0.16</v>
      </c>
      <c r="Y34">
        <v>-8.17</v>
      </c>
      <c r="Z34" t="s">
        <v>297</v>
      </c>
      <c r="AA34" t="s">
        <v>2238</v>
      </c>
      <c r="AB34" t="s">
        <v>1693</v>
      </c>
      <c r="AC34" t="s">
        <v>2239</v>
      </c>
      <c r="AD34" t="s">
        <v>60</v>
      </c>
      <c r="AE34">
        <v>487849</v>
      </c>
      <c r="AF34" t="s">
        <v>2240</v>
      </c>
      <c r="AG34" t="s">
        <v>2241</v>
      </c>
      <c r="AH34" t="s">
        <v>2242</v>
      </c>
      <c r="AI34" t="s">
        <v>2243</v>
      </c>
      <c r="AJ34" t="s">
        <v>2244</v>
      </c>
      <c r="AK34" t="s">
        <v>60</v>
      </c>
      <c r="AL34" t="s">
        <v>2245</v>
      </c>
      <c r="AM34" t="s">
        <v>60</v>
      </c>
      <c r="AN34">
        <v>0</v>
      </c>
      <c r="AO34" t="s">
        <v>2246</v>
      </c>
      <c r="AP34" t="s">
        <v>60</v>
      </c>
      <c r="AQ34" t="s">
        <v>301</v>
      </c>
      <c r="AR34" t="s">
        <v>60</v>
      </c>
      <c r="AS34" t="s">
        <v>1651</v>
      </c>
      <c r="AT34" t="s">
        <v>60</v>
      </c>
      <c r="AU34" t="s">
        <v>2247</v>
      </c>
      <c r="AV34" t="s">
        <v>2248</v>
      </c>
      <c r="AW34" t="s">
        <v>2249</v>
      </c>
      <c r="AX34" t="s">
        <v>629</v>
      </c>
      <c r="AY34" t="s">
        <v>400</v>
      </c>
      <c r="AZ34" t="s">
        <v>327</v>
      </c>
      <c r="BA34" t="s">
        <v>412</v>
      </c>
      <c r="BB34" t="s">
        <v>366</v>
      </c>
      <c r="BC34" t="s">
        <v>766</v>
      </c>
      <c r="BD34" t="s">
        <v>720</v>
      </c>
      <c r="BE34" t="s">
        <v>741</v>
      </c>
      <c r="BF34" t="s">
        <v>413</v>
      </c>
      <c r="BG34" t="s">
        <v>807</v>
      </c>
      <c r="BH34" t="s">
        <v>462</v>
      </c>
      <c r="BI34" t="s">
        <v>3613</v>
      </c>
      <c r="BJ34" t="s">
        <v>629</v>
      </c>
      <c r="BK34" t="s">
        <v>1666</v>
      </c>
      <c r="BL34" t="s">
        <v>3614</v>
      </c>
      <c r="BM34" t="s">
        <v>766</v>
      </c>
      <c r="BN34" t="s">
        <v>60</v>
      </c>
      <c r="BO34" t="s">
        <v>60</v>
      </c>
      <c r="BP34" t="s">
        <v>60</v>
      </c>
      <c r="BQ34">
        <v>-46.87</v>
      </c>
      <c r="BR34">
        <v>-232.04</v>
      </c>
      <c r="BS34">
        <v>-50.09</v>
      </c>
      <c r="BT34" t="s">
        <v>1343</v>
      </c>
      <c r="BU34" t="s">
        <v>1166</v>
      </c>
      <c r="BV34">
        <v>16.55</v>
      </c>
      <c r="BW34">
        <v>18.899999999999999</v>
      </c>
      <c r="BX34">
        <v>17.34</v>
      </c>
      <c r="BY34">
        <v>-51.59</v>
      </c>
      <c r="BZ34">
        <v>-62.07</v>
      </c>
      <c r="CA34">
        <v>-53.59</v>
      </c>
      <c r="CB34">
        <v>18.57</v>
      </c>
      <c r="CC34">
        <v>39.5</v>
      </c>
      <c r="CD34" t="s">
        <v>336</v>
      </c>
      <c r="CE34" t="s">
        <v>853</v>
      </c>
      <c r="CF34" s="8">
        <v>1.06252337205223</v>
      </c>
      <c r="CG34" s="9">
        <v>0.82259592605461407</v>
      </c>
      <c r="CH34" s="8">
        <v>-4.8034936189651489E-2</v>
      </c>
      <c r="CI34" s="8">
        <v>0.44479495286941528</v>
      </c>
      <c r="CJ34" s="8">
        <v>0.2579365074634552</v>
      </c>
      <c r="CK34" s="8">
        <v>-0.51999998092651367</v>
      </c>
      <c r="CL34" s="8">
        <v>1.0270270109176636</v>
      </c>
      <c r="CM34" s="9">
        <v>0.18374557793140411</v>
      </c>
      <c r="CN34" s="9">
        <v>-0.64534884691238403</v>
      </c>
      <c r="CO34" s="9">
        <v>-0.44537815451622009</v>
      </c>
      <c r="CP34" s="9">
        <v>-7.6800270080566406</v>
      </c>
      <c r="CQ34" s="9">
        <v>1.099521279335022</v>
      </c>
      <c r="CR34">
        <v>-3.7167575549917578</v>
      </c>
      <c r="CS34">
        <v>-0.15996738388252843</v>
      </c>
      <c r="CT34">
        <v>0</v>
      </c>
      <c r="CU34" s="8">
        <v>0.23234471082687377</v>
      </c>
      <c r="CV34" s="9">
        <v>-1.4974974304437638</v>
      </c>
      <c r="CW34">
        <v>0.06</v>
      </c>
      <c r="CX34" t="e">
        <v>#VALUE!</v>
      </c>
      <c r="CY34" t="s">
        <v>1223</v>
      </c>
      <c r="CZ34">
        <v>0.23234471082687377</v>
      </c>
      <c r="DA34" t="e">
        <v>#VALUE!</v>
      </c>
      <c r="DB34" t="s">
        <v>1224</v>
      </c>
      <c r="DC34">
        <v>0.22072747528553008</v>
      </c>
      <c r="DD34" t="e">
        <v>#VALUE!</v>
      </c>
      <c r="DE34" t="s">
        <v>1224</v>
      </c>
      <c r="DF34">
        <v>0.20446334552764892</v>
      </c>
      <c r="DG34" t="e">
        <v>#VALUE!</v>
      </c>
      <c r="DH34" t="s">
        <v>1224</v>
      </c>
      <c r="DI34">
        <v>0.18587576866149902</v>
      </c>
      <c r="DJ34" t="e">
        <v>#VALUE!</v>
      </c>
      <c r="DK34" t="s">
        <v>1224</v>
      </c>
      <c r="DL34">
        <v>0.16264129757881163</v>
      </c>
      <c r="DM34">
        <v>-231000000</v>
      </c>
      <c r="DN34">
        <v>0.23234471082687377</v>
      </c>
      <c r="DO34">
        <v>1144346200</v>
      </c>
      <c r="DP34">
        <v>-33661820</v>
      </c>
      <c r="DQ34">
        <v>1655</v>
      </c>
      <c r="DR34">
        <v>0.83017866122535622</v>
      </c>
      <c r="DS34">
        <v>2.3200933564983779</v>
      </c>
      <c r="DT34" s="10">
        <v>-7.333333333333332E-2</v>
      </c>
      <c r="DU34">
        <v>-1.9850000000000001</v>
      </c>
      <c r="DV34">
        <v>-2.0583333333333336</v>
      </c>
      <c r="DW34">
        <v>9.4701265822784819</v>
      </c>
      <c r="DX34">
        <v>0.51601279317697379</v>
      </c>
      <c r="DY34">
        <v>9.1062546220075031</v>
      </c>
      <c r="DZ34">
        <v>4410</v>
      </c>
      <c r="EA34">
        <v>9.0145015609044901</v>
      </c>
      <c r="EB34">
        <v>9</v>
      </c>
      <c r="EC34">
        <v>0.29399528498127858</v>
      </c>
      <c r="ED34">
        <v>1.3007904590209405</v>
      </c>
      <c r="EE34" s="11">
        <v>6.8100000000000001E-3</v>
      </c>
      <c r="EF34">
        <v>4.1710000000000004E-2</v>
      </c>
      <c r="EG34">
        <v>29.226012793176974</v>
      </c>
      <c r="EH34">
        <v>-1</v>
      </c>
      <c r="EI34">
        <v>1</v>
      </c>
      <c r="EJ34">
        <v>0</v>
      </c>
      <c r="EK34" s="13">
        <v>45489</v>
      </c>
      <c r="EL34" s="14">
        <v>-2.5099999999999998</v>
      </c>
      <c r="EM34" s="14">
        <v>4.93</v>
      </c>
      <c r="EN34" s="14">
        <v>20.13</v>
      </c>
      <c r="EO34" s="14">
        <v>-3.91</v>
      </c>
      <c r="EP34" s="14">
        <v>-3.49</v>
      </c>
    </row>
    <row r="35" spans="1:146" ht="96" x14ac:dyDescent="0.25">
      <c r="A35" s="7"/>
      <c r="B35" s="7"/>
      <c r="C35" s="7" t="str">
        <f>""&amp;CHAR(10)&amp;Basic_Fundamental_Information_Constructure(F35)&amp;CHAR(10)&amp;Basic_Fundamental_Information_Concatenate("")</f>
        <v xml:space="preserve">
市值67.107344亿, 利润-8.99亿; PE; 平均PE-11.26; 平均PEG-2.47, PB3.17; ROIC3%; ROE-8.9867%; 股利率0%; 毛利26.5833%; 净利-15.0333%; 上一年度营收增-23.73%, 利润增-210%; 当季营收增-47.21%, 利润增-392.41%; 过往5年营收增4.55%, 利润增-263.62%
Income profile:
</v>
      </c>
      <c r="D35" t="s">
        <v>78</v>
      </c>
      <c r="E35" t="s">
        <v>21</v>
      </c>
      <c r="F35">
        <v>4.6500000000000004</v>
      </c>
      <c r="G35">
        <v>0.87</v>
      </c>
      <c r="H35" t="s">
        <v>3615</v>
      </c>
      <c r="I35">
        <v>6710734400</v>
      </c>
      <c r="K35">
        <v>3.17</v>
      </c>
      <c r="L35" t="s">
        <v>1166</v>
      </c>
      <c r="M35" t="s">
        <v>2250</v>
      </c>
      <c r="N35" t="s">
        <v>2251</v>
      </c>
      <c r="O35" t="s">
        <v>684</v>
      </c>
      <c r="P35">
        <v>-47.28</v>
      </c>
      <c r="Q35" t="s">
        <v>2263</v>
      </c>
      <c r="R35">
        <v>-211699810</v>
      </c>
      <c r="S35" s="5">
        <v>-3.9239999999999999</v>
      </c>
      <c r="T35" t="s">
        <v>2264</v>
      </c>
      <c r="U35">
        <v>1361663200</v>
      </c>
      <c r="V35">
        <v>1443168700</v>
      </c>
      <c r="W35">
        <v>3.22</v>
      </c>
      <c r="X35">
        <v>0.05</v>
      </c>
      <c r="Y35">
        <v>-61.65</v>
      </c>
      <c r="Z35" t="s">
        <v>1013</v>
      </c>
      <c r="AA35" t="s">
        <v>532</v>
      </c>
      <c r="AB35" t="s">
        <v>2252</v>
      </c>
      <c r="AC35" t="s">
        <v>2253</v>
      </c>
      <c r="AD35" t="s">
        <v>60</v>
      </c>
      <c r="AE35">
        <v>16749857</v>
      </c>
      <c r="AF35" t="s">
        <v>2254</v>
      </c>
      <c r="AG35" t="s">
        <v>2255</v>
      </c>
      <c r="AH35" t="s">
        <v>2256</v>
      </c>
      <c r="AI35" t="s">
        <v>1878</v>
      </c>
      <c r="AJ35" t="s">
        <v>2257</v>
      </c>
      <c r="AK35" t="s">
        <v>1246</v>
      </c>
      <c r="AL35" t="s">
        <v>2258</v>
      </c>
      <c r="AM35" t="s">
        <v>60</v>
      </c>
      <c r="AN35">
        <v>0</v>
      </c>
      <c r="AO35" t="s">
        <v>2259</v>
      </c>
      <c r="AP35" t="s">
        <v>60</v>
      </c>
      <c r="AQ35" t="s">
        <v>170</v>
      </c>
      <c r="AR35" t="s">
        <v>60</v>
      </c>
      <c r="AS35" t="s">
        <v>2260</v>
      </c>
      <c r="AT35" t="s">
        <v>1439</v>
      </c>
      <c r="AU35" t="s">
        <v>1623</v>
      </c>
      <c r="AV35" t="s">
        <v>2261</v>
      </c>
      <c r="AW35" t="s">
        <v>2262</v>
      </c>
      <c r="AX35" t="s">
        <v>862</v>
      </c>
      <c r="AY35" t="s">
        <v>1107</v>
      </c>
      <c r="AZ35" t="s">
        <v>808</v>
      </c>
      <c r="BA35" t="s">
        <v>416</v>
      </c>
      <c r="BB35" t="s">
        <v>810</v>
      </c>
      <c r="BC35" t="s">
        <v>1316</v>
      </c>
      <c r="BD35" t="s">
        <v>1108</v>
      </c>
      <c r="BE35" t="s">
        <v>809</v>
      </c>
      <c r="BF35" t="s">
        <v>417</v>
      </c>
      <c r="BG35" t="s">
        <v>382</v>
      </c>
      <c r="BH35" t="s">
        <v>2263</v>
      </c>
      <c r="BI35" t="s">
        <v>3181</v>
      </c>
      <c r="BJ35" t="s">
        <v>862</v>
      </c>
      <c r="BK35" t="s">
        <v>2264</v>
      </c>
      <c r="BL35" t="s">
        <v>3616</v>
      </c>
      <c r="BM35" t="s">
        <v>1316</v>
      </c>
      <c r="BN35" t="s">
        <v>60</v>
      </c>
      <c r="BO35" t="s">
        <v>60</v>
      </c>
      <c r="BP35">
        <v>3</v>
      </c>
      <c r="BQ35">
        <v>-11.05</v>
      </c>
      <c r="BR35">
        <v>-20.53</v>
      </c>
      <c r="BS35">
        <v>4.62</v>
      </c>
      <c r="BT35" t="s">
        <v>1343</v>
      </c>
      <c r="BU35" t="s">
        <v>1166</v>
      </c>
      <c r="BV35">
        <v>19.850000000000001</v>
      </c>
      <c r="BW35">
        <v>26.41</v>
      </c>
      <c r="BX35">
        <v>33.49</v>
      </c>
      <c r="BY35">
        <v>-36.56</v>
      </c>
      <c r="BZ35">
        <v>-9.77</v>
      </c>
      <c r="CA35">
        <v>1.23</v>
      </c>
      <c r="CB35">
        <v>0.87</v>
      </c>
      <c r="CC35">
        <v>-12.43</v>
      </c>
      <c r="CD35" t="s">
        <v>3617</v>
      </c>
      <c r="CE35" t="s">
        <v>218</v>
      </c>
      <c r="CF35" s="8">
        <v>-0.47209653092006032</v>
      </c>
      <c r="CG35" s="9">
        <v>-3.9240873450609048</v>
      </c>
      <c r="CH35" s="8">
        <v>-0.23728285729885101</v>
      </c>
      <c r="CI35" s="8">
        <v>-8.2265853881835938E-2</v>
      </c>
      <c r="CJ35" s="8">
        <v>0.16788561642169952</v>
      </c>
      <c r="CK35" s="8">
        <v>0.41552945971488953</v>
      </c>
      <c r="CL35" s="8">
        <v>-3.6281179636716843E-2</v>
      </c>
      <c r="CM35" s="9">
        <v>-2.0999999046325684</v>
      </c>
      <c r="CN35" s="9">
        <v>-5.1882338523864746</v>
      </c>
      <c r="CO35" s="9">
        <v>1.0535925626754761</v>
      </c>
      <c r="CP35" s="9">
        <v>7.516101747751236E-2</v>
      </c>
      <c r="CQ35" s="9">
        <v>-7.0215516090393066</v>
      </c>
      <c r="CR35">
        <v>-11.257234036271502</v>
      </c>
      <c r="CS35">
        <v>-2.4731913064735251</v>
      </c>
      <c r="CT35">
        <v>0</v>
      </c>
      <c r="CU35" s="8">
        <v>4.551703706383705E-2</v>
      </c>
      <c r="CV35" s="9">
        <v>-2.6362063571810723</v>
      </c>
      <c r="CW35">
        <v>0.06</v>
      </c>
      <c r="CX35" t="e">
        <v>#VALUE!</v>
      </c>
      <c r="CY35" t="s">
        <v>1223</v>
      </c>
      <c r="CZ35">
        <v>4.551703706383705E-2</v>
      </c>
      <c r="DA35" t="e">
        <v>#VALUE!</v>
      </c>
      <c r="DB35" t="s">
        <v>1224</v>
      </c>
      <c r="DC35">
        <v>4.3241185210645197E-2</v>
      </c>
      <c r="DD35" t="e">
        <v>#VALUE!</v>
      </c>
      <c r="DE35" t="s">
        <v>1224</v>
      </c>
      <c r="DF35">
        <v>4.0054992616176607E-2</v>
      </c>
      <c r="DG35" t="e">
        <v>#VALUE!</v>
      </c>
      <c r="DH35" t="s">
        <v>1224</v>
      </c>
      <c r="DI35">
        <v>3.6413629651069639E-2</v>
      </c>
      <c r="DJ35" t="e">
        <v>#VALUE!</v>
      </c>
      <c r="DK35" t="s">
        <v>1224</v>
      </c>
      <c r="DL35">
        <v>3.1861925944685933E-2</v>
      </c>
      <c r="DM35">
        <v>-899000000</v>
      </c>
      <c r="DN35">
        <v>4.551703706383705E-2</v>
      </c>
      <c r="DO35">
        <v>9310734400</v>
      </c>
      <c r="DP35">
        <v>-263343900</v>
      </c>
      <c r="DQ35">
        <v>1656</v>
      </c>
      <c r="DR35">
        <v>-0.51761356798389735</v>
      </c>
      <c r="DS35">
        <v>-1.2878809878798325</v>
      </c>
      <c r="DT35" s="10">
        <v>-0.35666666666666669</v>
      </c>
      <c r="DU35">
        <v>-3.1316666666666673</v>
      </c>
      <c r="DV35">
        <v>-3.4883333333333342</v>
      </c>
      <c r="DW35">
        <v>-2.1242999999999999</v>
      </c>
      <c r="DX35">
        <v>0.33997236842105327</v>
      </c>
      <c r="DY35">
        <v>-2.0211275653947367</v>
      </c>
      <c r="DZ35">
        <v>5032</v>
      </c>
      <c r="EA35">
        <v>-2.0003102736253386</v>
      </c>
      <c r="EB35">
        <v>2</v>
      </c>
      <c r="EC35">
        <v>3.5804268759431934E-2</v>
      </c>
      <c r="ED35">
        <v>0.21064758402811812</v>
      </c>
      <c r="EE35" s="11">
        <v>-3.03891</v>
      </c>
      <c r="EF35">
        <v>-3.0302099999999998</v>
      </c>
      <c r="EG35">
        <v>17.169972368421053</v>
      </c>
      <c r="EH35" t="s">
        <v>1368</v>
      </c>
      <c r="EI35">
        <v>0</v>
      </c>
      <c r="EJ35">
        <v>0</v>
      </c>
      <c r="EK35" s="13">
        <v>45489</v>
      </c>
      <c r="EL35" s="14">
        <v>-0.77</v>
      </c>
      <c r="EM35" s="14">
        <v>6.87</v>
      </c>
      <c r="EN35" s="14">
        <v>-2.0699999999999998</v>
      </c>
      <c r="EO35" s="14">
        <v>-2.33</v>
      </c>
      <c r="EP35" s="14">
        <v>0.87</v>
      </c>
    </row>
    <row r="36" spans="1:146" ht="96" x14ac:dyDescent="0.25">
      <c r="A36" s="7"/>
      <c r="B36" s="7"/>
      <c r="C36" s="7" t="str">
        <f>""&amp;CHAR(10)&amp;Basic_Fundamental_Information_Constructure(F36)&amp;CHAR(10)&amp;Basic_Fundamental_Information_Concatenate("")</f>
        <v xml:space="preserve">
市值60.075588亿, 利润-2538.03万; PE; 平均PE31.39; 平均PEG28.91, PB1.23; ROIC4.9533%; ROE6.1733%; 股利率.1639%; 毛利27.3833%; 净利6.7833%; 上一年度营收增-.9%, 利润增-105.79%; 当季营收增1.67%, 利润增59.53%; 过往5年营收增1.09%, 利润增22.98%
Income profile:
</v>
      </c>
      <c r="D36" t="s">
        <v>110</v>
      </c>
      <c r="E36" t="s">
        <v>49</v>
      </c>
      <c r="F36">
        <v>6.1</v>
      </c>
      <c r="G36">
        <v>1.1599999999999999</v>
      </c>
      <c r="H36" t="s">
        <v>3618</v>
      </c>
      <c r="I36">
        <v>6007558800</v>
      </c>
      <c r="K36">
        <v>1.23</v>
      </c>
      <c r="L36" t="s">
        <v>1166</v>
      </c>
      <c r="M36" t="s">
        <v>2265</v>
      </c>
      <c r="N36" t="s">
        <v>2266</v>
      </c>
      <c r="O36" t="s">
        <v>552</v>
      </c>
      <c r="P36">
        <v>1.63</v>
      </c>
      <c r="Q36" t="s">
        <v>1692</v>
      </c>
      <c r="R36">
        <v>50445624</v>
      </c>
      <c r="S36" s="6">
        <v>0.59530000000000005</v>
      </c>
      <c r="T36" t="s">
        <v>2278</v>
      </c>
      <c r="U36">
        <v>943995870</v>
      </c>
      <c r="V36">
        <v>984845710</v>
      </c>
      <c r="W36">
        <v>1.22</v>
      </c>
      <c r="X36">
        <v>0.12</v>
      </c>
      <c r="Y36">
        <v>6.78</v>
      </c>
      <c r="Z36" t="s">
        <v>624</v>
      </c>
      <c r="AA36" t="s">
        <v>497</v>
      </c>
      <c r="AB36" t="s">
        <v>2267</v>
      </c>
      <c r="AC36" t="s">
        <v>2268</v>
      </c>
      <c r="AD36" t="s">
        <v>60</v>
      </c>
      <c r="AE36">
        <v>-197465</v>
      </c>
      <c r="AF36" t="s">
        <v>2269</v>
      </c>
      <c r="AG36" t="s">
        <v>2270</v>
      </c>
      <c r="AH36" t="s">
        <v>2271</v>
      </c>
      <c r="AI36" t="s">
        <v>2272</v>
      </c>
      <c r="AJ36" t="s">
        <v>2273</v>
      </c>
      <c r="AK36" t="s">
        <v>2274</v>
      </c>
      <c r="AL36" t="s">
        <v>2275</v>
      </c>
      <c r="AM36" t="s">
        <v>60</v>
      </c>
      <c r="AN36">
        <v>0</v>
      </c>
      <c r="AO36" t="s">
        <v>317</v>
      </c>
      <c r="AP36" t="s">
        <v>60</v>
      </c>
      <c r="AQ36" t="s">
        <v>2276</v>
      </c>
      <c r="AR36" t="s">
        <v>60</v>
      </c>
      <c r="AS36" t="s">
        <v>736</v>
      </c>
      <c r="AT36" t="s">
        <v>60</v>
      </c>
      <c r="AU36" t="s">
        <v>1300</v>
      </c>
      <c r="AV36" t="s">
        <v>1663</v>
      </c>
      <c r="AW36" t="s">
        <v>2277</v>
      </c>
      <c r="AX36" t="s">
        <v>1305</v>
      </c>
      <c r="AY36" t="s">
        <v>1109</v>
      </c>
      <c r="AZ36" t="s">
        <v>811</v>
      </c>
      <c r="BA36" t="s">
        <v>419</v>
      </c>
      <c r="BB36" t="s">
        <v>813</v>
      </c>
      <c r="BC36" t="s">
        <v>1283</v>
      </c>
      <c r="BD36" t="s">
        <v>542</v>
      </c>
      <c r="BE36" t="s">
        <v>812</v>
      </c>
      <c r="BF36" t="s">
        <v>420</v>
      </c>
      <c r="BG36" t="s">
        <v>335</v>
      </c>
      <c r="BH36" t="s">
        <v>1692</v>
      </c>
      <c r="BI36" t="s">
        <v>1648</v>
      </c>
      <c r="BJ36" t="s">
        <v>1305</v>
      </c>
      <c r="BK36" t="s">
        <v>2278</v>
      </c>
      <c r="BL36" t="s">
        <v>3619</v>
      </c>
      <c r="BM36" t="s">
        <v>1283</v>
      </c>
      <c r="BN36">
        <v>0.5</v>
      </c>
      <c r="BO36">
        <v>9.5</v>
      </c>
      <c r="BP36">
        <v>4.8600000000000003</v>
      </c>
      <c r="BQ36">
        <v>0.89</v>
      </c>
      <c r="BR36">
        <v>11.84</v>
      </c>
      <c r="BS36">
        <v>5.79</v>
      </c>
      <c r="BT36" t="s">
        <v>1350</v>
      </c>
      <c r="BU36" t="s">
        <v>1166</v>
      </c>
      <c r="BV36">
        <v>26.8</v>
      </c>
      <c r="BW36">
        <v>29.61</v>
      </c>
      <c r="BX36">
        <v>25.74</v>
      </c>
      <c r="BY36">
        <v>-0.81</v>
      </c>
      <c r="BZ36">
        <v>14.4</v>
      </c>
      <c r="CA36">
        <v>6.76</v>
      </c>
      <c r="CB36">
        <v>1.33</v>
      </c>
      <c r="CC36">
        <v>-3.63</v>
      </c>
      <c r="CD36" t="s">
        <v>3620</v>
      </c>
      <c r="CE36" t="s">
        <v>224</v>
      </c>
      <c r="CF36" s="8">
        <v>1.6666666666666666E-2</v>
      </c>
      <c r="CG36" s="9">
        <v>0.5953253702456287</v>
      </c>
      <c r="CH36" s="8">
        <v>-8.9790700003504753E-3</v>
      </c>
      <c r="CI36" s="8">
        <v>6.9726072251796722E-2</v>
      </c>
      <c r="CJ36" s="8">
        <v>0.12755721807479858</v>
      </c>
      <c r="CK36" s="8">
        <v>-8.446570485830307E-2</v>
      </c>
      <c r="CL36" s="8">
        <v>-4.9563657492399216E-2</v>
      </c>
      <c r="CM36" s="9">
        <v>-1.0579458475112915</v>
      </c>
      <c r="CN36" s="9">
        <v>1.2233502864837646</v>
      </c>
      <c r="CO36" s="9">
        <v>1.9980443716049194</v>
      </c>
      <c r="CP36" s="9">
        <v>-0.23694930970668793</v>
      </c>
      <c r="CQ36" s="9">
        <v>-0.77748268842697144</v>
      </c>
      <c r="CR36">
        <v>31.386268404694562</v>
      </c>
      <c r="CS36">
        <v>28.914187503574777</v>
      </c>
      <c r="CT36">
        <v>0.16393442622950821</v>
      </c>
      <c r="CU36" s="8">
        <v>1.0854971595108509E-2</v>
      </c>
      <c r="CV36" s="9">
        <v>0.22980336248874664</v>
      </c>
      <c r="CW36">
        <v>0.06</v>
      </c>
      <c r="CX36" t="e">
        <v>#VALUE!</v>
      </c>
      <c r="CY36" t="s">
        <v>1224</v>
      </c>
      <c r="CZ36">
        <v>1.0854971595108509E-2</v>
      </c>
      <c r="DA36" t="e">
        <v>#VALUE!</v>
      </c>
      <c r="DB36" t="s">
        <v>1224</v>
      </c>
      <c r="DC36">
        <v>1.0312223015353084E-2</v>
      </c>
      <c r="DD36" t="e">
        <v>#VALUE!</v>
      </c>
      <c r="DE36" t="s">
        <v>1224</v>
      </c>
      <c r="DF36">
        <v>9.5523750036954885E-3</v>
      </c>
      <c r="DG36" t="e">
        <v>#VALUE!</v>
      </c>
      <c r="DH36" t="s">
        <v>1224</v>
      </c>
      <c r="DI36">
        <v>8.6839772760868069E-3</v>
      </c>
      <c r="DJ36" t="e">
        <v>#VALUE!</v>
      </c>
      <c r="DK36" t="s">
        <v>1224</v>
      </c>
      <c r="DL36">
        <v>7.5984801165759558E-3</v>
      </c>
      <c r="DM36">
        <v>-25380300.000000004</v>
      </c>
      <c r="DN36">
        <v>1.0854971595108509E-2</v>
      </c>
      <c r="DO36">
        <v>2199558800</v>
      </c>
      <c r="DP36">
        <v>2467861900</v>
      </c>
      <c r="DQ36">
        <v>1658</v>
      </c>
      <c r="DR36">
        <v>5.8116950715581574E-3</v>
      </c>
      <c r="DS36">
        <v>0.36552200775688204</v>
      </c>
      <c r="DT36" s="10">
        <v>-0.44</v>
      </c>
      <c r="DU36">
        <v>-0.19166666666666662</v>
      </c>
      <c r="DV36">
        <v>-0.6316666666666666</v>
      </c>
      <c r="DW36">
        <v>-1.0363</v>
      </c>
      <c r="DX36">
        <v>0.31802595978062331</v>
      </c>
      <c r="DY36">
        <v>-1.0057363423400365</v>
      </c>
      <c r="DZ36">
        <v>3148</v>
      </c>
      <c r="EA36">
        <v>-1.0022004101515825</v>
      </c>
      <c r="EB36">
        <v>1</v>
      </c>
      <c r="EC36">
        <v>8.7770296526955477E-2</v>
      </c>
      <c r="ED36">
        <v>0.55541694952400211</v>
      </c>
      <c r="EE36" s="11">
        <v>4.0839100000000004</v>
      </c>
      <c r="EF36">
        <v>4.0723099999999999</v>
      </c>
      <c r="EG36">
        <v>16.158025959780623</v>
      </c>
      <c r="EH36" t="s">
        <v>1489</v>
      </c>
      <c r="EI36">
        <v>0</v>
      </c>
      <c r="EJ36">
        <v>0</v>
      </c>
      <c r="EK36" s="13">
        <v>45489</v>
      </c>
      <c r="EL36" s="14">
        <v>-3.7</v>
      </c>
      <c r="EM36" s="14">
        <v>3.98</v>
      </c>
      <c r="EN36" s="14">
        <v>-1.1200000000000001</v>
      </c>
      <c r="EO36" s="14">
        <v>-2.74</v>
      </c>
      <c r="EP36" s="14">
        <v>1.1599999999999999</v>
      </c>
    </row>
    <row r="37" spans="1:146" ht="96" x14ac:dyDescent="0.25">
      <c r="A37" s="7"/>
      <c r="B37" s="7"/>
      <c r="C37" s="7" t="str">
        <f>""&amp;CHAR(10)&amp;Basic_Fundamental_Information_Constructure(F37)&amp;CHAR(10)&amp;Basic_Fundamental_Information_Concatenate("")</f>
        <v xml:space="preserve">
市值122.233206亿, 利润-18.90亿; PE; 平均PE-91.85; 平均PEG-4.64, PB3.59; ROIC2.43%; ROE-6.3%; 股利率0%; 毛利28.3933%; 净利-83.61%; 上一年度营收增-52.31%, 利润增-16477.82%; 当季营收增-47.43%, 利润增-259.35%; 过往5年营收增-19.81%, 利润增-3285.49%
Income profile:
</v>
      </c>
      <c r="D37" t="s">
        <v>106</v>
      </c>
      <c r="E37" t="s">
        <v>47</v>
      </c>
      <c r="F37">
        <v>16.899999999999999</v>
      </c>
      <c r="G37">
        <v>3.87</v>
      </c>
      <c r="H37" t="s">
        <v>3621</v>
      </c>
      <c r="I37">
        <v>12223320600</v>
      </c>
      <c r="K37">
        <v>3.59</v>
      </c>
      <c r="L37" t="s">
        <v>1166</v>
      </c>
      <c r="M37" t="s">
        <v>2279</v>
      </c>
      <c r="N37" t="s">
        <v>2280</v>
      </c>
      <c r="O37" t="s">
        <v>466</v>
      </c>
      <c r="P37">
        <v>-47.41</v>
      </c>
      <c r="Q37" t="s">
        <v>874</v>
      </c>
      <c r="R37">
        <v>-186347570</v>
      </c>
      <c r="S37" s="5">
        <v>-2.5939999999999999</v>
      </c>
      <c r="T37" t="s">
        <v>2294</v>
      </c>
      <c r="U37">
        <v>698182190</v>
      </c>
      <c r="V37">
        <v>723273410</v>
      </c>
      <c r="W37">
        <v>3.34</v>
      </c>
      <c r="X37">
        <v>0.01</v>
      </c>
      <c r="Y37">
        <v>-95.55</v>
      </c>
      <c r="Z37" t="s">
        <v>225</v>
      </c>
      <c r="AA37" t="s">
        <v>185</v>
      </c>
      <c r="AB37" t="s">
        <v>2281</v>
      </c>
      <c r="AC37" t="s">
        <v>2282</v>
      </c>
      <c r="AD37" t="s">
        <v>60</v>
      </c>
      <c r="AE37">
        <v>62105859</v>
      </c>
      <c r="AF37" t="s">
        <v>2283</v>
      </c>
      <c r="AG37" t="s">
        <v>2284</v>
      </c>
      <c r="AH37" t="s">
        <v>2285</v>
      </c>
      <c r="AI37" t="s">
        <v>1665</v>
      </c>
      <c r="AJ37" t="s">
        <v>2286</v>
      </c>
      <c r="AK37" t="s">
        <v>2287</v>
      </c>
      <c r="AL37" t="s">
        <v>2288</v>
      </c>
      <c r="AM37" t="s">
        <v>60</v>
      </c>
      <c r="AN37" t="s">
        <v>204</v>
      </c>
      <c r="AO37" t="s">
        <v>2289</v>
      </c>
      <c r="AP37" t="s">
        <v>2290</v>
      </c>
      <c r="AQ37" t="s">
        <v>810</v>
      </c>
      <c r="AR37" t="s">
        <v>2102</v>
      </c>
      <c r="AS37" t="s">
        <v>2291</v>
      </c>
      <c r="AT37" t="s">
        <v>1648</v>
      </c>
      <c r="AU37" t="s">
        <v>2058</v>
      </c>
      <c r="AV37" t="s">
        <v>2292</v>
      </c>
      <c r="AW37" t="s">
        <v>236</v>
      </c>
      <c r="AX37" t="s">
        <v>1412</v>
      </c>
      <c r="AY37" t="s">
        <v>1009</v>
      </c>
      <c r="AZ37" t="s">
        <v>1073</v>
      </c>
      <c r="BA37" t="s">
        <v>425</v>
      </c>
      <c r="BB37" t="s">
        <v>815</v>
      </c>
      <c r="BC37" t="s">
        <v>2293</v>
      </c>
      <c r="BD37" t="s">
        <v>1111</v>
      </c>
      <c r="BE37" t="s">
        <v>886</v>
      </c>
      <c r="BF37" t="s">
        <v>399</v>
      </c>
      <c r="BG37" t="s">
        <v>225</v>
      </c>
      <c r="BH37" t="s">
        <v>874</v>
      </c>
      <c r="BI37" t="s">
        <v>495</v>
      </c>
      <c r="BJ37" t="s">
        <v>1412</v>
      </c>
      <c r="BK37" t="s">
        <v>2294</v>
      </c>
      <c r="BL37" t="s">
        <v>3622</v>
      </c>
      <c r="BM37" t="s">
        <v>2293</v>
      </c>
      <c r="BN37" t="s">
        <v>60</v>
      </c>
      <c r="BO37">
        <v>2.4300000000000002</v>
      </c>
      <c r="BP37" t="s">
        <v>60</v>
      </c>
      <c r="BQ37">
        <v>-14.8</v>
      </c>
      <c r="BR37">
        <v>0.28999999999999998</v>
      </c>
      <c r="BS37">
        <v>-4.3899999999999997</v>
      </c>
      <c r="BT37" t="s">
        <v>1343</v>
      </c>
      <c r="BU37" t="s">
        <v>1166</v>
      </c>
      <c r="BV37">
        <v>0.88</v>
      </c>
      <c r="BW37">
        <v>45.8</v>
      </c>
      <c r="BX37">
        <v>38.5</v>
      </c>
      <c r="BY37">
        <v>-245.75</v>
      </c>
      <c r="BZ37">
        <v>2</v>
      </c>
      <c r="CA37">
        <v>-7.08</v>
      </c>
      <c r="CB37">
        <v>4.32</v>
      </c>
      <c r="CC37">
        <v>-8.15</v>
      </c>
      <c r="CD37" t="s">
        <v>196</v>
      </c>
      <c r="CE37" t="s">
        <v>242</v>
      </c>
      <c r="CF37" s="8">
        <v>-0.4742547425474255</v>
      </c>
      <c r="CG37" s="9">
        <v>-2.5935238591112011</v>
      </c>
      <c r="CH37" s="8">
        <v>-0.52306735515594482</v>
      </c>
      <c r="CI37" s="8">
        <v>-0.20594058930873871</v>
      </c>
      <c r="CJ37" s="8">
        <v>-0.21917280554771423</v>
      </c>
      <c r="CK37" s="8">
        <v>-0.30902776122093201</v>
      </c>
      <c r="CL37" s="8">
        <v>0.26657646894454956</v>
      </c>
      <c r="CM37" s="9">
        <v>-164.77816772460937</v>
      </c>
      <c r="CN37" s="9">
        <v>1.0691018104553223</v>
      </c>
      <c r="CO37" s="9">
        <v>-1.2976827621459961</v>
      </c>
      <c r="CP37" s="9">
        <v>0.4609375</v>
      </c>
      <c r="CQ37" s="9">
        <v>0.27152317762374878</v>
      </c>
      <c r="CR37">
        <v>-91.851719059188966</v>
      </c>
      <c r="CS37">
        <v>-4.6360159543685127</v>
      </c>
      <c r="CT37">
        <v>0</v>
      </c>
      <c r="CU37" s="8">
        <v>-0.19812640845775603</v>
      </c>
      <c r="CV37" s="9">
        <v>-32.854857599735261</v>
      </c>
      <c r="CW37">
        <v>0.06</v>
      </c>
      <c r="CX37" t="e">
        <v>#VALUE!</v>
      </c>
      <c r="CY37" t="s">
        <v>1223</v>
      </c>
      <c r="CZ37">
        <v>-0.19812640845775603</v>
      </c>
      <c r="DA37" t="e">
        <v>#VALUE!</v>
      </c>
      <c r="DB37" t="s">
        <v>1224</v>
      </c>
      <c r="DC37">
        <v>-0.18822008803486823</v>
      </c>
      <c r="DD37" t="e">
        <v>#VALUE!</v>
      </c>
      <c r="DE37" t="s">
        <v>1224</v>
      </c>
      <c r="DF37">
        <v>-0.1743512394428253</v>
      </c>
      <c r="DG37" t="e">
        <v>#VALUE!</v>
      </c>
      <c r="DH37" t="s">
        <v>1224</v>
      </c>
      <c r="DI37">
        <v>-0.15850112676620484</v>
      </c>
      <c r="DJ37" t="e">
        <v>#VALUE!</v>
      </c>
      <c r="DK37" t="s">
        <v>1224</v>
      </c>
      <c r="DL37">
        <v>-0.13868848592042921</v>
      </c>
      <c r="DM37">
        <v>-1889999999.9999998</v>
      </c>
      <c r="DN37">
        <v>-0.19812640845775603</v>
      </c>
      <c r="DO37">
        <v>17501320600</v>
      </c>
      <c r="DP37">
        <v>553267400</v>
      </c>
      <c r="DQ37">
        <v>1697</v>
      </c>
      <c r="DR37">
        <v>-0.27612833408966947</v>
      </c>
      <c r="DS37">
        <v>30.26133374062406</v>
      </c>
      <c r="DT37" s="10">
        <v>-0.90666666666666662</v>
      </c>
      <c r="DU37">
        <v>-1.8150000000000002</v>
      </c>
      <c r="DV37">
        <v>-2.7216666666666667</v>
      </c>
      <c r="DW37">
        <v>6.3464314354450684</v>
      </c>
      <c r="DX37">
        <v>0.45232323232323179</v>
      </c>
      <c r="DY37">
        <v>6.0804840708609751</v>
      </c>
      <c r="DZ37">
        <v>4777</v>
      </c>
      <c r="EA37">
        <v>6.0052006546669512</v>
      </c>
      <c r="EB37">
        <v>6</v>
      </c>
      <c r="EC37">
        <v>0.15899934714868058</v>
      </c>
      <c r="ED37">
        <v>0.68438849424866866</v>
      </c>
      <c r="EE37" s="11">
        <v>4.6199999999999998E-2</v>
      </c>
      <c r="EF37">
        <v>8.4900000000000003E-2</v>
      </c>
      <c r="EG37">
        <v>22.232323232323232</v>
      </c>
      <c r="EH37" t="s">
        <v>1060</v>
      </c>
      <c r="EI37">
        <v>0</v>
      </c>
      <c r="EJ37">
        <v>0</v>
      </c>
      <c r="EK37" s="13">
        <v>45489</v>
      </c>
      <c r="EL37" s="14">
        <v>-1.1200000000000001</v>
      </c>
      <c r="EM37" s="14">
        <v>2.16</v>
      </c>
      <c r="EN37" s="14">
        <v>1.41</v>
      </c>
      <c r="EO37" s="14">
        <v>-5.68</v>
      </c>
      <c r="EP37" s="14">
        <v>3.87</v>
      </c>
    </row>
    <row r="38" spans="1:146" ht="108" x14ac:dyDescent="0.25">
      <c r="A38" s="7"/>
      <c r="B38" s="7"/>
      <c r="C38" s="7" t="str">
        <f>""&amp;CHAR(10)&amp;Basic_Fundamental_Information_Constructure(F38)&amp;CHAR(10)&amp;Basic_Fundamental_Information_Concatenate("")</f>
        <v xml:space="preserve">
市值29.289152亿, 利润1.06亿; PE28.8; 平均PE20.41; 平均PEG1.63, PB1.89; ROIC7.76%; ROE10.2%; 股利率2.8612%; 毛利22.32%; 净利6.5967%; 上一年度营收增-18.45%, 利润增-39.08%; 当季营收增-19.27%, 利润增-21%; 过往5年营收增12.55%, 利润增1.56%
Income profile:
</v>
      </c>
      <c r="D38" t="s">
        <v>125</v>
      </c>
      <c r="E38" t="s">
        <v>51</v>
      </c>
      <c r="F38">
        <v>6.99</v>
      </c>
      <c r="G38">
        <v>0.28999999999999998</v>
      </c>
      <c r="H38" t="s">
        <v>3623</v>
      </c>
      <c r="I38">
        <v>2928915200</v>
      </c>
      <c r="J38">
        <v>28.8</v>
      </c>
      <c r="K38">
        <v>1.89</v>
      </c>
      <c r="L38" t="s">
        <v>1166</v>
      </c>
      <c r="M38" t="s">
        <v>756</v>
      </c>
      <c r="N38" t="s">
        <v>2295</v>
      </c>
      <c r="O38" t="s">
        <v>849</v>
      </c>
      <c r="P38">
        <v>-19.29</v>
      </c>
      <c r="Q38" t="s">
        <v>2308</v>
      </c>
      <c r="R38">
        <v>16646109</v>
      </c>
      <c r="S38" s="5">
        <v>-0.21</v>
      </c>
      <c r="T38" t="s">
        <v>336</v>
      </c>
      <c r="U38">
        <v>349921500</v>
      </c>
      <c r="V38">
        <v>419015060</v>
      </c>
      <c r="W38">
        <v>1.46</v>
      </c>
      <c r="X38">
        <v>0.15</v>
      </c>
      <c r="Y38">
        <v>4.42</v>
      </c>
      <c r="Z38" t="s">
        <v>554</v>
      </c>
      <c r="AA38" t="s">
        <v>62</v>
      </c>
      <c r="AB38" t="s">
        <v>2296</v>
      </c>
      <c r="AC38" t="s">
        <v>2297</v>
      </c>
      <c r="AD38" t="s">
        <v>60</v>
      </c>
      <c r="AE38">
        <v>4319535</v>
      </c>
      <c r="AF38" t="s">
        <v>168</v>
      </c>
      <c r="AG38" t="s">
        <v>2298</v>
      </c>
      <c r="AH38" t="s">
        <v>2299</v>
      </c>
      <c r="AI38" t="s">
        <v>399</v>
      </c>
      <c r="AJ38" t="s">
        <v>2300</v>
      </c>
      <c r="AK38" t="s">
        <v>2301</v>
      </c>
      <c r="AL38" t="s">
        <v>2302</v>
      </c>
      <c r="AM38" t="s">
        <v>60</v>
      </c>
      <c r="AN38" t="s">
        <v>2303</v>
      </c>
      <c r="AO38" t="s">
        <v>2304</v>
      </c>
      <c r="AP38" t="s">
        <v>2305</v>
      </c>
      <c r="AQ38" t="s">
        <v>464</v>
      </c>
      <c r="AR38" t="s">
        <v>60</v>
      </c>
      <c r="AS38" t="s">
        <v>578</v>
      </c>
      <c r="AT38" t="s">
        <v>60</v>
      </c>
      <c r="AU38" t="s">
        <v>1226</v>
      </c>
      <c r="AV38" t="s">
        <v>2306</v>
      </c>
      <c r="AW38" t="s">
        <v>2307</v>
      </c>
      <c r="AX38" t="s">
        <v>1413</v>
      </c>
      <c r="AY38" t="s">
        <v>1112</v>
      </c>
      <c r="AZ38" t="s">
        <v>819</v>
      </c>
      <c r="BA38" t="s">
        <v>431</v>
      </c>
      <c r="BB38" t="s">
        <v>820</v>
      </c>
      <c r="BC38" t="s">
        <v>641</v>
      </c>
      <c r="BD38" t="s">
        <v>205</v>
      </c>
      <c r="BE38" t="s">
        <v>546</v>
      </c>
      <c r="BF38" t="s">
        <v>432</v>
      </c>
      <c r="BG38" t="s">
        <v>296</v>
      </c>
      <c r="BH38" t="s">
        <v>2308</v>
      </c>
      <c r="BI38" t="s">
        <v>659</v>
      </c>
      <c r="BJ38" t="s">
        <v>1413</v>
      </c>
      <c r="BK38" t="s">
        <v>336</v>
      </c>
      <c r="BL38" t="s">
        <v>3624</v>
      </c>
      <c r="BM38" t="s">
        <v>641</v>
      </c>
      <c r="BN38">
        <v>5.87</v>
      </c>
      <c r="BO38">
        <v>8.58</v>
      </c>
      <c r="BP38">
        <v>8.83</v>
      </c>
      <c r="BQ38">
        <v>7.43</v>
      </c>
      <c r="BR38">
        <v>11.31</v>
      </c>
      <c r="BS38">
        <v>11.86</v>
      </c>
      <c r="BT38" t="s">
        <v>1347</v>
      </c>
      <c r="BU38" t="s">
        <v>1166</v>
      </c>
      <c r="BV38">
        <v>23.19</v>
      </c>
      <c r="BW38">
        <v>20.78</v>
      </c>
      <c r="BX38">
        <v>22.99</v>
      </c>
      <c r="BY38">
        <v>5.37</v>
      </c>
      <c r="BZ38">
        <v>7.17</v>
      </c>
      <c r="CA38">
        <v>7.25</v>
      </c>
      <c r="CB38">
        <v>-1.41</v>
      </c>
      <c r="CC38">
        <v>-11.29</v>
      </c>
      <c r="CD38" t="s">
        <v>3625</v>
      </c>
      <c r="CE38" t="s">
        <v>220</v>
      </c>
      <c r="CF38" s="8">
        <v>-0.19271948608137046</v>
      </c>
      <c r="CG38" s="9">
        <v>-0.20995410492743169</v>
      </c>
      <c r="CH38" s="8">
        <v>-0.18448206782341003</v>
      </c>
      <c r="CI38" s="8">
        <v>3.1502824276685715E-2</v>
      </c>
      <c r="CJ38" s="8">
        <v>1.3810962438583374E-2</v>
      </c>
      <c r="CK38" s="8">
        <v>0.502593994140625</v>
      </c>
      <c r="CL38" s="8">
        <v>0.2639344334602356</v>
      </c>
      <c r="CM38" s="9">
        <v>-0.39080458879470825</v>
      </c>
      <c r="CN38" s="9">
        <v>2.3529412224888802E-2</v>
      </c>
      <c r="CO38" s="9">
        <v>4.2944785207509995E-2</v>
      </c>
      <c r="CP38" s="9">
        <v>0.2074074000120163</v>
      </c>
      <c r="CQ38" s="9">
        <v>0.1946902722120285</v>
      </c>
      <c r="CR38">
        <v>20.410558885017423</v>
      </c>
      <c r="CS38">
        <v>1.6267019031351779</v>
      </c>
      <c r="CT38">
        <v>2.8612303290414878</v>
      </c>
      <c r="CU38" s="8">
        <v>0.12547202929854392</v>
      </c>
      <c r="CV38" s="9">
        <v>1.5553456172347069E-2</v>
      </c>
      <c r="CW38">
        <v>0.06</v>
      </c>
      <c r="CX38">
        <v>19.662107474845119</v>
      </c>
      <c r="CY38">
        <v>112547202.92985436</v>
      </c>
      <c r="CZ38">
        <v>0.12547202929854392</v>
      </c>
      <c r="DA38">
        <v>6.2360239967990205</v>
      </c>
      <c r="DB38">
        <v>354859955.82055157</v>
      </c>
      <c r="DC38">
        <v>0.11919842783361673</v>
      </c>
      <c r="DD38">
        <v>2.9478985895076848</v>
      </c>
      <c r="DE38">
        <v>750675483.84341431</v>
      </c>
      <c r="DF38">
        <v>0.11041538578271866</v>
      </c>
      <c r="DG38">
        <v>1.6898989035690717</v>
      </c>
      <c r="DH38">
        <v>1309495612.6229305</v>
      </c>
      <c r="DI38">
        <v>0.10037762343883515</v>
      </c>
      <c r="DJ38">
        <v>0.78633801547445659</v>
      </c>
      <c r="DK38">
        <v>2814203505.9373069</v>
      </c>
      <c r="DL38">
        <v>8.7830420508980739E-2</v>
      </c>
      <c r="DM38">
        <v>106000000</v>
      </c>
      <c r="DN38">
        <v>0.12547202929854392</v>
      </c>
      <c r="DO38">
        <v>2212915200</v>
      </c>
      <c r="DP38">
        <v>1232767000</v>
      </c>
      <c r="DQ38">
        <v>1715</v>
      </c>
      <c r="DR38">
        <v>-0.31819151537991441</v>
      </c>
      <c r="DS38">
        <v>-0.22550756109977876</v>
      </c>
      <c r="DT38" s="10">
        <v>-0.39000000000000007</v>
      </c>
      <c r="DU38">
        <v>-0.17000000000000004</v>
      </c>
      <c r="DV38">
        <v>-0.56000000000000005</v>
      </c>
      <c r="DW38">
        <v>-2.1128999999999998</v>
      </c>
      <c r="DX38">
        <v>0.32114450000000133</v>
      </c>
      <c r="DY38">
        <v>-2.01480621405</v>
      </c>
      <c r="DZ38">
        <v>3038</v>
      </c>
      <c r="EA38">
        <v>-2.0059984446582044</v>
      </c>
      <c r="EB38">
        <v>2</v>
      </c>
      <c r="EC38">
        <v>6.259655679201602E-2</v>
      </c>
      <c r="ED38">
        <v>0.47730981316041482</v>
      </c>
      <c r="EE38" s="11">
        <v>8.1509999999999999E-2</v>
      </c>
      <c r="EF38">
        <v>7.8609999999999999E-2</v>
      </c>
      <c r="EG38">
        <v>19.131144500000001</v>
      </c>
      <c r="EH38">
        <v>-1</v>
      </c>
      <c r="EI38">
        <v>0</v>
      </c>
      <c r="EJ38">
        <v>0</v>
      </c>
      <c r="EK38" s="13">
        <v>45489</v>
      </c>
      <c r="EL38" s="14">
        <v>-1.19</v>
      </c>
      <c r="EM38" s="14">
        <v>3.26</v>
      </c>
      <c r="EN38" s="14">
        <v>-1.78</v>
      </c>
      <c r="EO38" s="14">
        <v>-2.65</v>
      </c>
      <c r="EP38" s="14">
        <v>0.28999999999999998</v>
      </c>
    </row>
    <row r="39" spans="1:146" ht="96" x14ac:dyDescent="0.25">
      <c r="A39" s="7"/>
      <c r="B39" s="7"/>
      <c r="C39" s="7" t="str">
        <f>""&amp;CHAR(10)&amp;Basic_Fundamental_Information_Constructure(F39)&amp;CHAR(10)&amp;Basic_Fundamental_Information_Concatenate("")</f>
        <v xml:space="preserve">
市值19.183599亿, 利润-7105.05万; PE; 平均PE124.86; 平均PEG42.35, PB1.42; ROIC1.65%; ROE-.15%; 股利率0%; 毛利25.5833%; 净利-3.8833%; 上一年度营收增-31.1%, 利润增-2204.59%; 当季营收增-28.05%, 利润增181.78%; 过往5年营收增2.95%, 利润增-465.2%
Income profile:
</v>
      </c>
      <c r="D39" t="s">
        <v>92</v>
      </c>
      <c r="E39" t="s">
        <v>34</v>
      </c>
      <c r="F39">
        <v>6.12</v>
      </c>
      <c r="G39">
        <v>-2.39</v>
      </c>
      <c r="H39" t="s">
        <v>3626</v>
      </c>
      <c r="I39">
        <v>1918359900</v>
      </c>
      <c r="K39">
        <v>1.42</v>
      </c>
      <c r="L39" t="s">
        <v>1166</v>
      </c>
      <c r="M39" t="s">
        <v>330</v>
      </c>
      <c r="N39" t="s">
        <v>1638</v>
      </c>
      <c r="O39" t="s">
        <v>2309</v>
      </c>
      <c r="P39">
        <v>-28.05</v>
      </c>
      <c r="Q39" t="s">
        <v>569</v>
      </c>
      <c r="R39">
        <v>3299969</v>
      </c>
      <c r="S39" s="5">
        <v>1.8180000000000001</v>
      </c>
      <c r="T39" t="s">
        <v>2323</v>
      </c>
      <c r="U39">
        <v>311276530</v>
      </c>
      <c r="V39">
        <v>313457490</v>
      </c>
      <c r="W39">
        <v>1.1499999999999999</v>
      </c>
      <c r="X39">
        <v>0.04</v>
      </c>
      <c r="Y39">
        <v>3.12</v>
      </c>
      <c r="Z39" t="s">
        <v>2310</v>
      </c>
      <c r="AA39" t="s">
        <v>2311</v>
      </c>
      <c r="AB39" t="s">
        <v>2312</v>
      </c>
      <c r="AC39" t="s">
        <v>2313</v>
      </c>
      <c r="AD39" t="s">
        <v>60</v>
      </c>
      <c r="AE39">
        <v>-1857144</v>
      </c>
      <c r="AF39" t="s">
        <v>2314</v>
      </c>
      <c r="AG39">
        <v>4802.32</v>
      </c>
      <c r="AH39" t="s">
        <v>2315</v>
      </c>
      <c r="AI39" t="s">
        <v>225</v>
      </c>
      <c r="AJ39" t="s">
        <v>2316</v>
      </c>
      <c r="AK39" t="s">
        <v>2317</v>
      </c>
      <c r="AL39" t="s">
        <v>2318</v>
      </c>
      <c r="AM39" t="s">
        <v>60</v>
      </c>
      <c r="AN39">
        <v>0</v>
      </c>
      <c r="AO39" t="s">
        <v>60</v>
      </c>
      <c r="AP39" t="s">
        <v>60</v>
      </c>
      <c r="AQ39" t="s">
        <v>206</v>
      </c>
      <c r="AR39" t="s">
        <v>2319</v>
      </c>
      <c r="AS39" t="s">
        <v>235</v>
      </c>
      <c r="AT39" t="s">
        <v>60</v>
      </c>
      <c r="AU39" t="s">
        <v>2320</v>
      </c>
      <c r="AV39" t="s">
        <v>2321</v>
      </c>
      <c r="AW39" t="s">
        <v>2322</v>
      </c>
      <c r="AX39" t="s">
        <v>619</v>
      </c>
      <c r="AY39" t="s">
        <v>467</v>
      </c>
      <c r="AZ39" t="s">
        <v>559</v>
      </c>
      <c r="BA39" t="s">
        <v>435</v>
      </c>
      <c r="BB39" t="s">
        <v>817</v>
      </c>
      <c r="BC39" t="s">
        <v>1414</v>
      </c>
      <c r="BD39" t="s">
        <v>1113</v>
      </c>
      <c r="BE39" t="s">
        <v>822</v>
      </c>
      <c r="BF39" t="s">
        <v>823</v>
      </c>
      <c r="BG39" t="s">
        <v>979</v>
      </c>
      <c r="BH39" t="s">
        <v>569</v>
      </c>
      <c r="BI39" t="s">
        <v>3627</v>
      </c>
      <c r="BJ39" t="s">
        <v>619</v>
      </c>
      <c r="BK39" t="s">
        <v>2323</v>
      </c>
      <c r="BL39" t="s">
        <v>3628</v>
      </c>
      <c r="BM39" t="s">
        <v>1414</v>
      </c>
      <c r="BN39" t="s">
        <v>60</v>
      </c>
      <c r="BO39" t="s">
        <v>60</v>
      </c>
      <c r="BP39">
        <v>1.65</v>
      </c>
      <c r="BQ39">
        <v>-2.9</v>
      </c>
      <c r="BR39">
        <v>-0.21</v>
      </c>
      <c r="BS39">
        <v>2.66</v>
      </c>
      <c r="BT39" t="s">
        <v>1343</v>
      </c>
      <c r="BU39" t="s">
        <v>1166</v>
      </c>
      <c r="BV39">
        <v>19.649999999999999</v>
      </c>
      <c r="BW39">
        <v>24.82</v>
      </c>
      <c r="BX39">
        <v>32.28</v>
      </c>
      <c r="BY39">
        <v>-17.73</v>
      </c>
      <c r="BZ39">
        <v>-0.75</v>
      </c>
      <c r="CA39">
        <v>6.83</v>
      </c>
      <c r="CB39">
        <v>-10.26</v>
      </c>
      <c r="CC39">
        <v>14.39</v>
      </c>
      <c r="CD39" t="s">
        <v>492</v>
      </c>
      <c r="CE39" t="s">
        <v>3629</v>
      </c>
      <c r="CF39" s="8">
        <v>-0.28046172006145192</v>
      </c>
      <c r="CG39" s="9">
        <v>1.8178159153428664</v>
      </c>
      <c r="CH39" s="8">
        <v>-0.31103679537773132</v>
      </c>
      <c r="CI39" s="8">
        <v>0.10332103073596954</v>
      </c>
      <c r="CJ39" s="8">
        <v>0.10162601619958878</v>
      </c>
      <c r="CK39" s="8">
        <v>0.16587677597999573</v>
      </c>
      <c r="CL39" s="8">
        <v>8.7628863751888275E-2</v>
      </c>
      <c r="CM39" s="9">
        <v>-22.045894622802734</v>
      </c>
      <c r="CN39" s="9">
        <v>-1.0769420862197876</v>
      </c>
      <c r="CO39" s="9">
        <v>2.7707956731319427E-2</v>
      </c>
      <c r="CP39" s="9">
        <v>0.32841789722442627</v>
      </c>
      <c r="CQ39" s="9">
        <v>-0.49315363168716431</v>
      </c>
      <c r="CR39">
        <v>124.86490585359873</v>
      </c>
      <c r="CS39">
        <v>42.351236614038562</v>
      </c>
      <c r="CT39">
        <v>0</v>
      </c>
      <c r="CU39" s="8">
        <v>2.9483178257942201E-2</v>
      </c>
      <c r="CV39" s="9">
        <v>-4.6519728973507881</v>
      </c>
      <c r="CW39">
        <v>0.06</v>
      </c>
      <c r="CX39" t="e">
        <v>#VALUE!</v>
      </c>
      <c r="CY39" t="s">
        <v>1224</v>
      </c>
      <c r="CZ39">
        <v>2.9483178257942201E-2</v>
      </c>
      <c r="DA39" t="e">
        <v>#VALUE!</v>
      </c>
      <c r="DB39" t="s">
        <v>1224</v>
      </c>
      <c r="DC39">
        <v>2.8009019345045089E-2</v>
      </c>
      <c r="DD39" t="e">
        <v>#VALUE!</v>
      </c>
      <c r="DE39" t="s">
        <v>1224</v>
      </c>
      <c r="DF39">
        <v>2.5945196866989137E-2</v>
      </c>
      <c r="DG39" t="e">
        <v>#VALUE!</v>
      </c>
      <c r="DH39" t="s">
        <v>1224</v>
      </c>
      <c r="DI39">
        <v>2.3586542606353761E-2</v>
      </c>
      <c r="DJ39" t="e">
        <v>#VALUE!</v>
      </c>
      <c r="DK39" t="s">
        <v>1224</v>
      </c>
      <c r="DL39">
        <v>2.0638224780559541E-2</v>
      </c>
      <c r="DM39">
        <v>-71050500</v>
      </c>
      <c r="DN39">
        <v>2.9483178257942201E-2</v>
      </c>
      <c r="DO39">
        <v>816359900</v>
      </c>
      <c r="DP39">
        <v>851470850</v>
      </c>
      <c r="DQ39">
        <v>1729</v>
      </c>
      <c r="DR39">
        <v>-0.30994489831939415</v>
      </c>
      <c r="DS39">
        <v>6.469788812693654</v>
      </c>
      <c r="DT39" s="10">
        <v>-0.49</v>
      </c>
      <c r="DU39">
        <v>-0.85</v>
      </c>
      <c r="DV39">
        <v>-1.3399999999999999</v>
      </c>
      <c r="DW39">
        <v>-7.4162271805273834</v>
      </c>
      <c r="DX39">
        <v>0.47020344287949933</v>
      </c>
      <c r="DY39">
        <v>-7.1374396480301687</v>
      </c>
      <c r="DZ39">
        <v>3912</v>
      </c>
      <c r="EA39">
        <v>-7.0321598549825834</v>
      </c>
      <c r="EB39">
        <v>7</v>
      </c>
      <c r="EC39">
        <v>0.67313752815413663</v>
      </c>
      <c r="ED39">
        <v>2.0385539359739018</v>
      </c>
      <c r="EE39" s="11">
        <v>-3.0228100000000002</v>
      </c>
      <c r="EF39">
        <v>-3.04671</v>
      </c>
      <c r="EG39">
        <v>14.330203442879499</v>
      </c>
      <c r="EH39" t="s">
        <v>1368</v>
      </c>
      <c r="EI39">
        <v>0</v>
      </c>
      <c r="EJ39">
        <v>0</v>
      </c>
      <c r="EK39" s="13">
        <v>45489</v>
      </c>
      <c r="EL39" s="14">
        <v>-2.73</v>
      </c>
      <c r="EM39" s="14">
        <v>-1.8</v>
      </c>
      <c r="EN39" s="14">
        <v>-3.11</v>
      </c>
      <c r="EO39" s="14">
        <v>-8.6</v>
      </c>
      <c r="EP39" s="14">
        <v>-2.39</v>
      </c>
    </row>
    <row r="40" spans="1:146" ht="108" x14ac:dyDescent="0.25">
      <c r="A40" s="7"/>
      <c r="B40" s="7"/>
      <c r="C40" s="7" t="str">
        <f>""&amp;CHAR(10)&amp;Basic_Fundamental_Information_Constructure(F40)&amp;CHAR(10)&amp;Basic_Fundamental_Information_Concatenate("")</f>
        <v xml:space="preserve">
市值29.438331亿, 利润1.08亿; PE29.44; 平均PE21.62; 平均PEG4.3, PB1.42; ROIC6.595%; ROE4.5567%; 股利率1.2945%; 毛利58.43%; 净利12.5933%; 上一年度营收增-.84%, 利润增-3.57%; 当季营收增4.43%, 利润增-49.5%; 过往5年营收增5.02%, 利润增6.81%
Income profile:
</v>
      </c>
      <c r="D40" t="s">
        <v>118</v>
      </c>
      <c r="E40" t="s">
        <v>9</v>
      </c>
      <c r="F40">
        <v>6.18</v>
      </c>
      <c r="G40">
        <v>0.16</v>
      </c>
      <c r="H40" t="s">
        <v>3630</v>
      </c>
      <c r="I40">
        <v>2943833100</v>
      </c>
      <c r="J40">
        <v>29.44</v>
      </c>
      <c r="K40">
        <v>1.42</v>
      </c>
      <c r="L40" t="s">
        <v>1166</v>
      </c>
      <c r="M40" t="s">
        <v>461</v>
      </c>
      <c r="N40" t="s">
        <v>2324</v>
      </c>
      <c r="O40" t="s">
        <v>584</v>
      </c>
      <c r="P40">
        <v>4.45</v>
      </c>
      <c r="Q40" t="s">
        <v>1030</v>
      </c>
      <c r="R40">
        <v>-22703837</v>
      </c>
      <c r="S40" s="5">
        <v>-0.495</v>
      </c>
      <c r="T40" t="s">
        <v>167</v>
      </c>
      <c r="U40">
        <v>409154360</v>
      </c>
      <c r="V40">
        <v>476348390</v>
      </c>
      <c r="W40">
        <v>1.17</v>
      </c>
      <c r="X40">
        <v>0.06</v>
      </c>
      <c r="Y40">
        <v>-16.420000000000002</v>
      </c>
      <c r="Z40" t="s">
        <v>321</v>
      </c>
      <c r="AA40" t="s">
        <v>2325</v>
      </c>
      <c r="AB40" t="s">
        <v>2326</v>
      </c>
      <c r="AC40" t="s">
        <v>2327</v>
      </c>
      <c r="AD40" t="s">
        <v>60</v>
      </c>
      <c r="AE40">
        <v>-934056</v>
      </c>
      <c r="AF40" t="s">
        <v>2328</v>
      </c>
      <c r="AG40" t="s">
        <v>2329</v>
      </c>
      <c r="AH40" t="s">
        <v>2330</v>
      </c>
      <c r="AI40" t="s">
        <v>365</v>
      </c>
      <c r="AJ40" t="s">
        <v>2331</v>
      </c>
      <c r="AK40" t="s">
        <v>2332</v>
      </c>
      <c r="AL40" t="s">
        <v>2333</v>
      </c>
      <c r="AM40" t="s">
        <v>60</v>
      </c>
      <c r="AN40" t="s">
        <v>2334</v>
      </c>
      <c r="AO40" t="s">
        <v>2335</v>
      </c>
      <c r="AP40" t="s">
        <v>2336</v>
      </c>
      <c r="AQ40" t="s">
        <v>356</v>
      </c>
      <c r="AR40" t="s">
        <v>60</v>
      </c>
      <c r="AS40" t="s">
        <v>1597</v>
      </c>
      <c r="AT40" t="s">
        <v>2337</v>
      </c>
      <c r="AU40" t="s">
        <v>2338</v>
      </c>
      <c r="AV40" t="s">
        <v>1232</v>
      </c>
      <c r="AW40" t="s">
        <v>2339</v>
      </c>
      <c r="AX40" t="s">
        <v>1415</v>
      </c>
      <c r="AY40" t="s">
        <v>1100</v>
      </c>
      <c r="AZ40" t="s">
        <v>355</v>
      </c>
      <c r="BA40" t="s">
        <v>437</v>
      </c>
      <c r="BB40" t="s">
        <v>824</v>
      </c>
      <c r="BC40" t="s">
        <v>279</v>
      </c>
      <c r="BD40" t="s">
        <v>360</v>
      </c>
      <c r="BE40" t="s">
        <v>295</v>
      </c>
      <c r="BF40" t="s">
        <v>438</v>
      </c>
      <c r="BG40" t="s">
        <v>826</v>
      </c>
      <c r="BH40" t="s">
        <v>1030</v>
      </c>
      <c r="BI40" t="s">
        <v>438</v>
      </c>
      <c r="BJ40" t="s">
        <v>1415</v>
      </c>
      <c r="BK40" t="s">
        <v>167</v>
      </c>
      <c r="BL40" t="s">
        <v>3631</v>
      </c>
      <c r="BM40" t="s">
        <v>279</v>
      </c>
      <c r="BN40" t="s">
        <v>60</v>
      </c>
      <c r="BO40">
        <v>4.95</v>
      </c>
      <c r="BP40">
        <v>8.24</v>
      </c>
      <c r="BQ40">
        <v>0.2</v>
      </c>
      <c r="BR40">
        <v>5.21</v>
      </c>
      <c r="BS40">
        <v>8.26</v>
      </c>
      <c r="BT40" t="s">
        <v>1355</v>
      </c>
      <c r="BU40" t="s">
        <v>1166</v>
      </c>
      <c r="BV40">
        <v>57.94</v>
      </c>
      <c r="BW40">
        <v>56.24</v>
      </c>
      <c r="BX40">
        <v>61.11</v>
      </c>
      <c r="BY40">
        <v>9.9600000000000009</v>
      </c>
      <c r="BZ40">
        <v>10.94</v>
      </c>
      <c r="CA40">
        <v>16.88</v>
      </c>
      <c r="CB40">
        <v>-1.44</v>
      </c>
      <c r="CC40">
        <v>-7.76</v>
      </c>
      <c r="CD40" t="s">
        <v>3632</v>
      </c>
      <c r="CE40" t="s">
        <v>378</v>
      </c>
      <c r="CF40" s="8">
        <v>4.4303797468354431E-2</v>
      </c>
      <c r="CG40" s="9">
        <v>-0.49504066218449783</v>
      </c>
      <c r="CH40" s="8">
        <v>-8.4112146869301796E-3</v>
      </c>
      <c r="CI40" s="8">
        <v>5.2114062011241913E-2</v>
      </c>
      <c r="CJ40" s="8">
        <v>8.3067089319229126E-2</v>
      </c>
      <c r="CK40" s="8">
        <v>-2.5933610275387764E-2</v>
      </c>
      <c r="CL40" s="8">
        <v>0.15035799145698547</v>
      </c>
      <c r="CM40" s="9">
        <v>-3.5714287310838699E-2</v>
      </c>
      <c r="CN40" s="9">
        <v>-0.30434781312942505</v>
      </c>
      <c r="CO40" s="9">
        <v>-0.11538461595773697</v>
      </c>
      <c r="CP40" s="9">
        <v>0.15189872682094574</v>
      </c>
      <c r="CQ40" s="9">
        <v>0.6439051628112793</v>
      </c>
      <c r="CR40">
        <v>21.616358137177176</v>
      </c>
      <c r="CS40">
        <v>4.3027163839400142</v>
      </c>
      <c r="CT40">
        <v>1.2944983818770228</v>
      </c>
      <c r="CU40" s="8">
        <v>5.0238863565027714E-2</v>
      </c>
      <c r="CV40" s="9">
        <v>6.8071434646844869E-2</v>
      </c>
      <c r="CW40">
        <v>0.06</v>
      </c>
      <c r="CX40">
        <v>11.268892234572391</v>
      </c>
      <c r="CY40">
        <v>107005469.11794622</v>
      </c>
      <c r="CZ40">
        <v>5.0238863565027714E-2</v>
      </c>
      <c r="DA40">
        <v>3.8092377690107821</v>
      </c>
      <c r="DB40">
        <v>316554957.47989023</v>
      </c>
      <c r="DC40">
        <v>4.7726920386776325E-2</v>
      </c>
      <c r="DD40">
        <v>1.9605698413838391</v>
      </c>
      <c r="DE40">
        <v>615042154.86089528</v>
      </c>
      <c r="DF40">
        <v>4.4210199937224387E-2</v>
      </c>
      <c r="DG40">
        <v>1.2367620664516101</v>
      </c>
      <c r="DH40">
        <v>974991983.26776922</v>
      </c>
      <c r="DI40">
        <v>4.0191090852022174E-2</v>
      </c>
      <c r="DJ40">
        <v>0.70938959192147721</v>
      </c>
      <c r="DK40">
        <v>1699817862.7541442</v>
      </c>
      <c r="DL40">
        <v>3.5167204495519397E-2</v>
      </c>
      <c r="DM40">
        <v>108000000</v>
      </c>
      <c r="DN40">
        <v>5.0238863565027714E-2</v>
      </c>
      <c r="DO40">
        <v>1205833100</v>
      </c>
      <c r="DP40">
        <v>954167670</v>
      </c>
      <c r="DQ40">
        <v>1732</v>
      </c>
      <c r="DR40">
        <v>-5.9350660966732832E-3</v>
      </c>
      <c r="DS40">
        <v>-0.56311209683134267</v>
      </c>
      <c r="DT40" s="10">
        <v>-0.34</v>
      </c>
      <c r="DU40">
        <v>-0.51166666666666671</v>
      </c>
      <c r="DV40">
        <v>-0.85166666666666679</v>
      </c>
      <c r="DW40">
        <v>-2.0775999999999999</v>
      </c>
      <c r="DX40">
        <v>0.3173296875000014</v>
      </c>
      <c r="DY40">
        <v>-2.0098807837499999</v>
      </c>
      <c r="DZ40">
        <v>3467</v>
      </c>
      <c r="EA40">
        <v>-2.0031729949774819</v>
      </c>
      <c r="EB40">
        <v>2</v>
      </c>
      <c r="EC40">
        <v>3.4214873697799207E-2</v>
      </c>
      <c r="ED40">
        <v>0.26871089036324863</v>
      </c>
      <c r="EE40" s="11">
        <v>-2.069</v>
      </c>
      <c r="EF40">
        <v>-2.0706000000000002</v>
      </c>
      <c r="EG40">
        <v>19.127329687500001</v>
      </c>
      <c r="EH40" t="s">
        <v>1363</v>
      </c>
      <c r="EI40">
        <v>0</v>
      </c>
      <c r="EJ40">
        <v>0</v>
      </c>
      <c r="EK40" s="13">
        <v>45489</v>
      </c>
      <c r="EL40" s="14">
        <v>-2.8</v>
      </c>
      <c r="EM40" s="14">
        <v>3.7</v>
      </c>
      <c r="EN40" s="14">
        <v>-1.4</v>
      </c>
      <c r="EO40" s="14">
        <v>-2.83</v>
      </c>
      <c r="EP40" s="14">
        <v>0.16</v>
      </c>
    </row>
    <row r="41" spans="1:146" ht="96" x14ac:dyDescent="0.25">
      <c r="A41" s="7"/>
      <c r="B41" s="7"/>
      <c r="C41" s="7" t="str">
        <f>""&amp;CHAR(10)&amp;Basic_Fundamental_Information_Constructure(F41)&amp;CHAR(10)&amp;Basic_Fundamental_Information_Concatenate("")</f>
        <v xml:space="preserve">
市值24.532133亿, 利润2550.28万; PE73.21; 平均PE-23.16; 平均PEG-13.18, PB4.11; ROIC5.92%; ROE-1.14%; 股利率0%; 毛利49.0967%; 净利-3.9967%; 上一年度营收增-1.94%, 利润增122.57%; 当季营收增53.73%, 利润增123.03%; 过往5年营收增-1.76%, 利润增-153.45%
Income profile:
</v>
      </c>
      <c r="D41" t="s">
        <v>142</v>
      </c>
      <c r="E41" t="s">
        <v>31</v>
      </c>
      <c r="F41">
        <v>11.46</v>
      </c>
      <c r="G41">
        <v>0.7</v>
      </c>
      <c r="H41" t="s">
        <v>3633</v>
      </c>
      <c r="I41">
        <v>2453213300</v>
      </c>
      <c r="J41">
        <v>73.209999999999994</v>
      </c>
      <c r="K41">
        <v>4.1100000000000003</v>
      </c>
      <c r="L41" t="s">
        <v>1166</v>
      </c>
      <c r="M41" t="s">
        <v>739</v>
      </c>
      <c r="N41" t="s">
        <v>250</v>
      </c>
      <c r="O41" t="s">
        <v>2340</v>
      </c>
      <c r="P41">
        <v>53.73</v>
      </c>
      <c r="Q41" t="s">
        <v>496</v>
      </c>
      <c r="R41">
        <v>1498565</v>
      </c>
      <c r="S41" s="5">
        <v>1.23</v>
      </c>
      <c r="T41" t="s">
        <v>2357</v>
      </c>
      <c r="U41">
        <v>157616520</v>
      </c>
      <c r="V41">
        <v>214067480</v>
      </c>
      <c r="W41">
        <v>1.29</v>
      </c>
      <c r="X41">
        <v>0.1</v>
      </c>
      <c r="Y41">
        <v>1.77</v>
      </c>
      <c r="Z41" t="s">
        <v>2341</v>
      </c>
      <c r="AA41" t="s">
        <v>2342</v>
      </c>
      <c r="AB41" t="s">
        <v>2343</v>
      </c>
      <c r="AC41" t="s">
        <v>2344</v>
      </c>
      <c r="AD41" t="s">
        <v>60</v>
      </c>
      <c r="AE41">
        <v>-1112252</v>
      </c>
      <c r="AF41" t="s">
        <v>2345</v>
      </c>
      <c r="AG41" t="s">
        <v>2346</v>
      </c>
      <c r="AH41" t="s">
        <v>2347</v>
      </c>
      <c r="AI41" t="s">
        <v>529</v>
      </c>
      <c r="AJ41" t="s">
        <v>2348</v>
      </c>
      <c r="AK41" t="s">
        <v>60</v>
      </c>
      <c r="AL41" t="s">
        <v>2349</v>
      </c>
      <c r="AM41" t="s">
        <v>60</v>
      </c>
      <c r="AN41">
        <v>0</v>
      </c>
      <c r="AO41" t="s">
        <v>2350</v>
      </c>
      <c r="AP41" t="s">
        <v>2351</v>
      </c>
      <c r="AQ41" t="s">
        <v>2352</v>
      </c>
      <c r="AR41" t="s">
        <v>2353</v>
      </c>
      <c r="AS41" t="s">
        <v>429</v>
      </c>
      <c r="AT41" t="s">
        <v>60</v>
      </c>
      <c r="AU41" t="s">
        <v>2354</v>
      </c>
      <c r="AV41" t="s">
        <v>2355</v>
      </c>
      <c r="AW41" t="s">
        <v>2356</v>
      </c>
      <c r="AX41" t="s">
        <v>539</v>
      </c>
      <c r="AY41" t="s">
        <v>583</v>
      </c>
      <c r="AZ41" t="s">
        <v>408</v>
      </c>
      <c r="BA41" t="s">
        <v>352</v>
      </c>
      <c r="BB41" t="s">
        <v>478</v>
      </c>
      <c r="BC41" t="s">
        <v>1298</v>
      </c>
      <c r="BD41" t="s">
        <v>1114</v>
      </c>
      <c r="BE41" t="s">
        <v>829</v>
      </c>
      <c r="BF41" t="s">
        <v>446</v>
      </c>
      <c r="BG41" t="s">
        <v>831</v>
      </c>
      <c r="BH41" t="s">
        <v>496</v>
      </c>
      <c r="BI41" t="s">
        <v>3634</v>
      </c>
      <c r="BJ41" t="s">
        <v>539</v>
      </c>
      <c r="BK41" t="s">
        <v>2357</v>
      </c>
      <c r="BL41" t="s">
        <v>3635</v>
      </c>
      <c r="BM41" t="s">
        <v>1298</v>
      </c>
      <c r="BN41">
        <v>1.58</v>
      </c>
      <c r="BO41" t="s">
        <v>60</v>
      </c>
      <c r="BP41">
        <v>10.26</v>
      </c>
      <c r="BQ41">
        <v>3.05</v>
      </c>
      <c r="BR41">
        <v>-17.88</v>
      </c>
      <c r="BS41">
        <v>11.41</v>
      </c>
      <c r="BT41" t="s">
        <v>1343</v>
      </c>
      <c r="BU41" t="s">
        <v>1166</v>
      </c>
      <c r="BV41">
        <v>52.5</v>
      </c>
      <c r="BW41">
        <v>40.520000000000003</v>
      </c>
      <c r="BX41">
        <v>54.27</v>
      </c>
      <c r="BY41">
        <v>5.23</v>
      </c>
      <c r="BZ41">
        <v>-33.270000000000003</v>
      </c>
      <c r="CA41">
        <v>16.05</v>
      </c>
      <c r="CB41">
        <v>-7.95</v>
      </c>
      <c r="CC41">
        <v>1.24</v>
      </c>
      <c r="CD41" t="s">
        <v>3636</v>
      </c>
      <c r="CE41" t="s">
        <v>319</v>
      </c>
      <c r="CF41" s="8">
        <v>0.53731737386547285</v>
      </c>
      <c r="CG41" s="9">
        <v>1.2302685966287128</v>
      </c>
      <c r="CH41" s="8">
        <v>-1.9390581175684929E-2</v>
      </c>
      <c r="CI41" s="8">
        <v>-0.25872689485549927</v>
      </c>
      <c r="CJ41" s="8">
        <v>0.19362744688987732</v>
      </c>
      <c r="CK41" s="8">
        <v>-0.16049382090568542</v>
      </c>
      <c r="CL41" s="8">
        <v>0.15714286267757416</v>
      </c>
      <c r="CM41" s="9">
        <v>1.2256884574890137</v>
      </c>
      <c r="CN41" s="9">
        <v>-2.4330315589904785</v>
      </c>
      <c r="CO41" s="9">
        <v>1.2136958837509155</v>
      </c>
      <c r="CP41" s="9">
        <v>-8.8333635330200195</v>
      </c>
      <c r="CQ41" s="9">
        <v>1.1544466018676758</v>
      </c>
      <c r="CR41">
        <v>-23.160374876561118</v>
      </c>
      <c r="CS41">
        <v>-13.183125309805209</v>
      </c>
      <c r="CT41">
        <v>0</v>
      </c>
      <c r="CU41" s="8">
        <v>-1.7568197473883627E-2</v>
      </c>
      <c r="CV41" s="9">
        <v>-1.5345128297805786</v>
      </c>
      <c r="CW41">
        <v>0.06</v>
      </c>
      <c r="CX41">
        <v>80.274060103204349</v>
      </c>
      <c r="CY41" t="s">
        <v>3637</v>
      </c>
      <c r="CZ41">
        <v>-1.7568197473883627E-2</v>
      </c>
      <c r="DA41">
        <v>26.758020034401451</v>
      </c>
      <c r="DB41" t="s">
        <v>3638</v>
      </c>
      <c r="DC41">
        <v>-1.6689787600189444E-2</v>
      </c>
      <c r="DD41">
        <v>13.379010017200725</v>
      </c>
      <c r="DE41" t="s">
        <v>3639</v>
      </c>
      <c r="DF41">
        <v>-1.5460013777017593E-2</v>
      </c>
      <c r="DG41">
        <v>8.0274060103204352</v>
      </c>
      <c r="DH41" t="s">
        <v>3640</v>
      </c>
      <c r="DI41">
        <v>-1.4054557979106902E-2</v>
      </c>
      <c r="DJ41">
        <v>4.0137030051602176</v>
      </c>
      <c r="DK41" t="s">
        <v>3641</v>
      </c>
      <c r="DL41">
        <v>-1.2297738231718539E-2</v>
      </c>
      <c r="DM41">
        <v>25502800.000000004</v>
      </c>
      <c r="DN41">
        <v>-1.7568197473883627E-2</v>
      </c>
      <c r="DO41">
        <v>2047213300</v>
      </c>
      <c r="DP41">
        <v>328871810</v>
      </c>
      <c r="DQ41">
        <v>1734</v>
      </c>
      <c r="DR41">
        <v>0.55488557133935645</v>
      </c>
      <c r="DS41">
        <v>2.7647814264092911</v>
      </c>
      <c r="DT41" s="10">
        <v>-0.47333333333333333</v>
      </c>
      <c r="DU41">
        <v>-1.0066666666666666</v>
      </c>
      <c r="DV41">
        <v>-1.48</v>
      </c>
      <c r="DW41">
        <v>-5.1559748427672956</v>
      </c>
      <c r="DX41">
        <v>0.38188368794326155</v>
      </c>
      <c r="DY41">
        <v>-5.0346082733395781</v>
      </c>
      <c r="DZ41">
        <v>4011</v>
      </c>
      <c r="EA41">
        <v>-5.0074271916154647</v>
      </c>
      <c r="EB41">
        <v>5</v>
      </c>
      <c r="EC41">
        <v>0.29229661600164586</v>
      </c>
      <c r="ED41">
        <v>1.3173416158306717</v>
      </c>
      <c r="EE41" s="11">
        <v>-5.0623100000000001</v>
      </c>
      <c r="EF41">
        <v>-5.0553100000000004</v>
      </c>
      <c r="EG41">
        <v>16.221883687943262</v>
      </c>
      <c r="EH41" t="s">
        <v>1708</v>
      </c>
      <c r="EI41">
        <v>0</v>
      </c>
      <c r="EJ41">
        <v>0</v>
      </c>
      <c r="EK41" s="13">
        <v>45489</v>
      </c>
      <c r="EL41" s="14">
        <v>-1.07</v>
      </c>
      <c r="EM41" s="14">
        <v>1.75</v>
      </c>
      <c r="EN41" s="14">
        <v>-5.16</v>
      </c>
      <c r="EO41" s="14">
        <v>-1.81</v>
      </c>
      <c r="EP41" s="14">
        <v>0.7</v>
      </c>
    </row>
    <row r="42" spans="1:146" ht="96" x14ac:dyDescent="0.25">
      <c r="A42" s="7"/>
      <c r="B42" s="7"/>
      <c r="C42" s="7" t="str">
        <f>""&amp;CHAR(10)&amp;Basic_Fundamental_Information_Constructure(F42)&amp;CHAR(10)&amp;Basic_Fundamental_Information_Concatenate("")</f>
        <v xml:space="preserve">
市值20.07796亿, 利润-6661.95万; PE; 平均PE-27.07; 平均PEG-2.01, PB27.51; ROIC0%; ROE-54.33%; 股利率0%; 毛利27.94%; 净利-61.29%; 上一年度营收增-10.88%, 利润增13.58%; 当季营收增-48.94%, 利润增-1.69%; 过往5年营收增-13.44%, 利润增-319.28%
Income profile:
</v>
      </c>
      <c r="D42" t="s">
        <v>143</v>
      </c>
      <c r="E42" t="s">
        <v>57</v>
      </c>
      <c r="F42">
        <v>4.66</v>
      </c>
      <c r="G42">
        <v>1.75</v>
      </c>
      <c r="H42" t="s">
        <v>3642</v>
      </c>
      <c r="I42">
        <v>2007796000</v>
      </c>
      <c r="K42">
        <v>27.51</v>
      </c>
      <c r="L42" t="s">
        <v>1166</v>
      </c>
      <c r="M42" t="s">
        <v>256</v>
      </c>
      <c r="N42" t="s">
        <v>2358</v>
      </c>
      <c r="O42" t="s">
        <v>2359</v>
      </c>
      <c r="P42">
        <v>-48.94</v>
      </c>
      <c r="Q42" t="s">
        <v>356</v>
      </c>
      <c r="R42">
        <v>-12238836</v>
      </c>
      <c r="S42" s="5">
        <v>-1.6899999999999998E-2</v>
      </c>
      <c r="T42" t="s">
        <v>2376</v>
      </c>
      <c r="U42">
        <v>368959110</v>
      </c>
      <c r="V42">
        <v>430857520</v>
      </c>
      <c r="W42">
        <v>5.1100000000000003</v>
      </c>
      <c r="X42">
        <v>0.05</v>
      </c>
      <c r="Y42">
        <v>-67.069999999999993</v>
      </c>
      <c r="Z42" t="s">
        <v>2360</v>
      </c>
      <c r="AA42" t="s">
        <v>2361</v>
      </c>
      <c r="AB42" t="s">
        <v>2362</v>
      </c>
      <c r="AC42" t="s">
        <v>2363</v>
      </c>
      <c r="AD42" t="s">
        <v>60</v>
      </c>
      <c r="AE42">
        <v>644870</v>
      </c>
      <c r="AF42" t="s">
        <v>2364</v>
      </c>
      <c r="AG42" t="s">
        <v>1409</v>
      </c>
      <c r="AH42" t="s">
        <v>2365</v>
      </c>
      <c r="AI42" t="s">
        <v>2366</v>
      </c>
      <c r="AJ42" t="s">
        <v>2367</v>
      </c>
      <c r="AK42" t="s">
        <v>2368</v>
      </c>
      <c r="AL42" t="s">
        <v>2369</v>
      </c>
      <c r="AM42" t="s">
        <v>60</v>
      </c>
      <c r="AN42">
        <v>0</v>
      </c>
      <c r="AO42" t="s">
        <v>2370</v>
      </c>
      <c r="AP42" t="s">
        <v>2371</v>
      </c>
      <c r="AQ42" t="s">
        <v>2372</v>
      </c>
      <c r="AR42" t="s">
        <v>60</v>
      </c>
      <c r="AS42" t="s">
        <v>447</v>
      </c>
      <c r="AT42" t="s">
        <v>60</v>
      </c>
      <c r="AU42" t="s">
        <v>2373</v>
      </c>
      <c r="AV42" t="s">
        <v>2374</v>
      </c>
      <c r="AW42" t="s">
        <v>2375</v>
      </c>
      <c r="AX42" t="s">
        <v>387</v>
      </c>
      <c r="AY42" t="s">
        <v>441</v>
      </c>
      <c r="AZ42" t="s">
        <v>207</v>
      </c>
      <c r="BA42" t="s">
        <v>283</v>
      </c>
      <c r="BB42" t="s">
        <v>540</v>
      </c>
      <c r="BC42" t="s">
        <v>1416</v>
      </c>
      <c r="BD42" t="s">
        <v>652</v>
      </c>
      <c r="BE42" t="s">
        <v>833</v>
      </c>
      <c r="BF42" t="s">
        <v>453</v>
      </c>
      <c r="BG42" t="s">
        <v>834</v>
      </c>
      <c r="BH42" t="s">
        <v>356</v>
      </c>
      <c r="BI42" t="s">
        <v>3643</v>
      </c>
      <c r="BJ42" t="s">
        <v>387</v>
      </c>
      <c r="BK42" t="s">
        <v>2376</v>
      </c>
      <c r="BL42" t="s">
        <v>3644</v>
      </c>
      <c r="BM42" t="s">
        <v>1416</v>
      </c>
      <c r="BN42" t="s">
        <v>60</v>
      </c>
      <c r="BO42" t="s">
        <v>60</v>
      </c>
      <c r="BP42" t="s">
        <v>60</v>
      </c>
      <c r="BQ42">
        <v>-35.65</v>
      </c>
      <c r="BR42">
        <v>-72.64</v>
      </c>
      <c r="BS42">
        <v>-54.7</v>
      </c>
      <c r="BT42" t="s">
        <v>1343</v>
      </c>
      <c r="BU42" t="s">
        <v>1166</v>
      </c>
      <c r="BV42">
        <v>28.83</v>
      </c>
      <c r="BW42">
        <v>24.06</v>
      </c>
      <c r="BX42">
        <v>30.93</v>
      </c>
      <c r="BY42">
        <v>-53.03</v>
      </c>
      <c r="BZ42">
        <v>-53.34</v>
      </c>
      <c r="CA42">
        <v>-77.5</v>
      </c>
      <c r="CB42">
        <v>11.22</v>
      </c>
      <c r="CC42">
        <v>8.1199999999999992</v>
      </c>
      <c r="CD42" t="s">
        <v>554</v>
      </c>
      <c r="CE42" t="s">
        <v>324</v>
      </c>
      <c r="CF42" s="8">
        <v>-0.48938306829466144</v>
      </c>
      <c r="CG42" s="9">
        <v>-1.6869339802921286E-2</v>
      </c>
      <c r="CH42" s="8">
        <v>-0.10884353518486023</v>
      </c>
      <c r="CI42" s="8">
        <v>8.0882355570793152E-2</v>
      </c>
      <c r="CJ42" s="8">
        <v>7.0866145193576813E-2</v>
      </c>
      <c r="CK42" s="8">
        <v>-0.22560974955558777</v>
      </c>
      <c r="CL42" s="8">
        <v>-0.48909658193588257</v>
      </c>
      <c r="CM42" s="9">
        <v>0.13578696548938751</v>
      </c>
      <c r="CN42" s="9">
        <v>0.2658390998840332</v>
      </c>
      <c r="CO42" s="9">
        <v>-1.1460280418395996</v>
      </c>
      <c r="CP42" s="9">
        <v>0.69033163785934448</v>
      </c>
      <c r="CQ42" s="9">
        <v>-15.910161972045898</v>
      </c>
      <c r="CR42">
        <v>-27.069143882803502</v>
      </c>
      <c r="CS42">
        <v>-2.0146687143198592</v>
      </c>
      <c r="CT42">
        <v>0</v>
      </c>
      <c r="CU42" s="8">
        <v>-0.13436027318239213</v>
      </c>
      <c r="CV42" s="9">
        <v>-3.1928464621305466</v>
      </c>
      <c r="CW42">
        <v>0.06</v>
      </c>
      <c r="CX42" t="e">
        <v>#VALUE!</v>
      </c>
      <c r="CY42" t="s">
        <v>1223</v>
      </c>
      <c r="CZ42">
        <v>-0.13436027318239213</v>
      </c>
      <c r="DA42" t="e">
        <v>#VALUE!</v>
      </c>
      <c r="DB42" t="s">
        <v>1224</v>
      </c>
      <c r="DC42">
        <v>-0.12764225952327252</v>
      </c>
      <c r="DD42" t="e">
        <v>#VALUE!</v>
      </c>
      <c r="DE42" t="s">
        <v>1224</v>
      </c>
      <c r="DF42">
        <v>-0.11823704040050508</v>
      </c>
      <c r="DG42" t="e">
        <v>#VALUE!</v>
      </c>
      <c r="DH42" t="s">
        <v>1224</v>
      </c>
      <c r="DI42">
        <v>-0.10748821854591371</v>
      </c>
      <c r="DJ42" t="e">
        <v>#VALUE!</v>
      </c>
      <c r="DK42" t="s">
        <v>1224</v>
      </c>
      <c r="DL42">
        <v>-9.4052191227674484E-2</v>
      </c>
      <c r="DM42">
        <v>-66619500</v>
      </c>
      <c r="DN42">
        <v>-0.13436027318239213</v>
      </c>
      <c r="DO42">
        <v>2221338600</v>
      </c>
      <c r="DP42">
        <v>42130780</v>
      </c>
      <c r="DQ42">
        <v>1748</v>
      </c>
      <c r="DR42">
        <v>-0.35502279511226931</v>
      </c>
      <c r="DS42">
        <v>3.1759771223276254</v>
      </c>
      <c r="DT42" s="10">
        <v>-0.65666666666666662</v>
      </c>
      <c r="DU42">
        <v>-3.0649999999999999</v>
      </c>
      <c r="DV42">
        <v>-3.7216666666666667</v>
      </c>
      <c r="DW42">
        <v>5.7237076648841354</v>
      </c>
      <c r="DX42">
        <v>0.62243466299862427</v>
      </c>
      <c r="DY42">
        <v>5.3563787400667406</v>
      </c>
      <c r="DZ42">
        <v>5056</v>
      </c>
      <c r="EA42">
        <v>5.0035589026323484</v>
      </c>
      <c r="EB42">
        <v>5</v>
      </c>
      <c r="EC42">
        <v>0.83090112944993977</v>
      </c>
      <c r="ED42">
        <v>1.6873327405310228</v>
      </c>
      <c r="EE42" s="11">
        <v>0.11381000000000001</v>
      </c>
      <c r="EF42">
        <v>9.6309999999999993E-2</v>
      </c>
      <c r="EG42">
        <v>13.492434662998624</v>
      </c>
      <c r="EH42">
        <v>-1</v>
      </c>
      <c r="EI42">
        <v>1</v>
      </c>
      <c r="EJ42">
        <v>0</v>
      </c>
      <c r="EK42" s="13">
        <v>45489</v>
      </c>
      <c r="EL42" s="14">
        <v>-3.32</v>
      </c>
      <c r="EM42" s="14">
        <v>-1.39</v>
      </c>
      <c r="EN42" s="14">
        <v>-6.05</v>
      </c>
      <c r="EO42" s="14">
        <v>-1.72</v>
      </c>
      <c r="EP42" s="14">
        <v>1.75</v>
      </c>
    </row>
    <row r="43" spans="1:146" ht="96" x14ac:dyDescent="0.25">
      <c r="A43" s="7"/>
      <c r="B43" s="7"/>
      <c r="C43" s="7" t="str">
        <f>""&amp;CHAR(10)&amp;Basic_Fundamental_Information_Constructure(F43)&amp;CHAR(10)&amp;Basic_Fundamental_Information_Concatenate("")</f>
        <v xml:space="preserve">
市值20.971亿, 利润1080.93万; PE193.5; 平均PE158.92; 平均PEG74.91, PB4.28; ROIC3.1033%; ROE2.17%; 股利率.3195%; 毛利20.8967%; 净利7.8567%; 上一年度营收增-14.73%, 利润增4.84%; 当季营收增41.39%, 利润增26.71%; 过往5年营收增-2.12%, 利润增19.89%
Income profile:
</v>
      </c>
      <c r="D43" t="s">
        <v>79</v>
      </c>
      <c r="E43" t="s">
        <v>56</v>
      </c>
      <c r="F43">
        <v>6.26</v>
      </c>
      <c r="G43">
        <v>-0.95</v>
      </c>
      <c r="H43" t="s">
        <v>3645</v>
      </c>
      <c r="I43">
        <v>2097100000</v>
      </c>
      <c r="J43">
        <v>193.5</v>
      </c>
      <c r="K43">
        <v>4.28</v>
      </c>
      <c r="L43" t="s">
        <v>1166</v>
      </c>
      <c r="M43" t="s">
        <v>210</v>
      </c>
      <c r="N43" t="s">
        <v>947</v>
      </c>
      <c r="O43" t="s">
        <v>2377</v>
      </c>
      <c r="P43">
        <v>41.39</v>
      </c>
      <c r="Q43" t="s">
        <v>202</v>
      </c>
      <c r="R43">
        <v>128742</v>
      </c>
      <c r="S43" s="5">
        <v>0.26700000000000002</v>
      </c>
      <c r="T43" t="s">
        <v>2392</v>
      </c>
      <c r="U43">
        <v>334434800</v>
      </c>
      <c r="V43">
        <v>335000000</v>
      </c>
      <c r="W43">
        <v>1.41</v>
      </c>
      <c r="X43">
        <v>0.04</v>
      </c>
      <c r="Y43">
        <v>-2.79</v>
      </c>
      <c r="Z43" t="s">
        <v>2378</v>
      </c>
      <c r="AA43" t="s">
        <v>2379</v>
      </c>
      <c r="AB43" t="s">
        <v>2380</v>
      </c>
      <c r="AC43" t="s">
        <v>2381</v>
      </c>
      <c r="AD43" t="s">
        <v>60</v>
      </c>
      <c r="AE43">
        <v>-45236</v>
      </c>
      <c r="AF43" t="s">
        <v>2382</v>
      </c>
      <c r="AG43">
        <v>0.09</v>
      </c>
      <c r="AH43" t="s">
        <v>2383</v>
      </c>
      <c r="AI43" t="s">
        <v>2384</v>
      </c>
      <c r="AJ43" t="s">
        <v>2385</v>
      </c>
      <c r="AK43" t="s">
        <v>60</v>
      </c>
      <c r="AL43" t="s">
        <v>2386</v>
      </c>
      <c r="AM43" t="s">
        <v>60</v>
      </c>
      <c r="AN43">
        <v>0</v>
      </c>
      <c r="AO43" t="s">
        <v>60</v>
      </c>
      <c r="AP43" t="s">
        <v>60</v>
      </c>
      <c r="AQ43" t="s">
        <v>2387</v>
      </c>
      <c r="AR43" t="s">
        <v>60</v>
      </c>
      <c r="AS43" t="s">
        <v>349</v>
      </c>
      <c r="AT43" t="s">
        <v>60</v>
      </c>
      <c r="AU43" t="s">
        <v>2388</v>
      </c>
      <c r="AV43" t="s">
        <v>2389</v>
      </c>
      <c r="AW43" t="s">
        <v>2390</v>
      </c>
      <c r="AX43" t="s">
        <v>330</v>
      </c>
      <c r="AY43" t="s">
        <v>330</v>
      </c>
      <c r="AZ43" t="s">
        <v>520</v>
      </c>
      <c r="BA43" t="s">
        <v>354</v>
      </c>
      <c r="BB43" t="s">
        <v>263</v>
      </c>
      <c r="BC43" t="s">
        <v>2391</v>
      </c>
      <c r="BD43" t="s">
        <v>1115</v>
      </c>
      <c r="BE43" t="s">
        <v>835</v>
      </c>
      <c r="BF43" t="s">
        <v>456</v>
      </c>
      <c r="BG43" t="s">
        <v>836</v>
      </c>
      <c r="BH43" t="s">
        <v>202</v>
      </c>
      <c r="BI43" t="s">
        <v>3646</v>
      </c>
      <c r="BJ43" t="s">
        <v>330</v>
      </c>
      <c r="BK43" t="s">
        <v>2392</v>
      </c>
      <c r="BL43" t="s">
        <v>3647</v>
      </c>
      <c r="BM43" t="s">
        <v>2391</v>
      </c>
      <c r="BN43">
        <v>1.57</v>
      </c>
      <c r="BO43">
        <v>3.43</v>
      </c>
      <c r="BP43">
        <v>4.3099999999999996</v>
      </c>
      <c r="BQ43">
        <v>1.44</v>
      </c>
      <c r="BR43">
        <v>2.12</v>
      </c>
      <c r="BS43">
        <v>2.95</v>
      </c>
      <c r="BT43" t="s">
        <v>1346</v>
      </c>
      <c r="BU43" t="s">
        <v>1166</v>
      </c>
      <c r="BV43">
        <v>21.87</v>
      </c>
      <c r="BW43">
        <v>20.83</v>
      </c>
      <c r="BX43">
        <v>19.989999999999998</v>
      </c>
      <c r="BY43">
        <v>8.01</v>
      </c>
      <c r="BZ43">
        <v>6.91</v>
      </c>
      <c r="CA43">
        <v>8.65</v>
      </c>
      <c r="CB43">
        <v>-2.19</v>
      </c>
      <c r="CC43">
        <v>-9.14</v>
      </c>
      <c r="CD43" t="s">
        <v>3648</v>
      </c>
      <c r="CE43" t="s">
        <v>196</v>
      </c>
      <c r="CF43" s="8">
        <v>0.41393327861729351</v>
      </c>
      <c r="CG43" s="9">
        <v>0.26714566929133859</v>
      </c>
      <c r="CH43" s="8">
        <v>-0.14728681743144989</v>
      </c>
      <c r="CI43" s="8">
        <v>0</v>
      </c>
      <c r="CJ43" s="8">
        <v>-0.25</v>
      </c>
      <c r="CK43" s="8">
        <v>4.8780485987663269E-2</v>
      </c>
      <c r="CL43" s="8">
        <v>0.24242424964904785</v>
      </c>
      <c r="CM43" s="9">
        <v>4.8357531428337097E-2</v>
      </c>
      <c r="CN43" s="9">
        <v>-0.27803802490234375</v>
      </c>
      <c r="CO43" s="9">
        <v>-0.42688080668449402</v>
      </c>
      <c r="CP43" s="9">
        <v>1.2998311519622803</v>
      </c>
      <c r="CQ43" s="9">
        <v>0.35129639506340027</v>
      </c>
      <c r="CR43">
        <v>158.92378539365293</v>
      </c>
      <c r="CS43">
        <v>74.906045726534231</v>
      </c>
      <c r="CT43">
        <v>0.31948881789137384</v>
      </c>
      <c r="CU43" s="8">
        <v>-2.1216416358947755E-2</v>
      </c>
      <c r="CV43" s="9">
        <v>0.19891324937343596</v>
      </c>
      <c r="CW43">
        <v>0.06</v>
      </c>
      <c r="CX43">
        <v>163.94216091698814</v>
      </c>
      <c r="CY43" t="s">
        <v>3649</v>
      </c>
      <c r="CZ43">
        <v>-2.1216416358947755E-2</v>
      </c>
      <c r="DA43">
        <v>54.647386972329386</v>
      </c>
      <c r="DB43" t="s">
        <v>3650</v>
      </c>
      <c r="DC43">
        <v>-2.0155595541000368E-2</v>
      </c>
      <c r="DD43">
        <v>27.323693486164693</v>
      </c>
      <c r="DE43" t="s">
        <v>3651</v>
      </c>
      <c r="DF43">
        <v>-1.8670446395874025E-2</v>
      </c>
      <c r="DG43">
        <v>16.394216091698816</v>
      </c>
      <c r="DH43" t="s">
        <v>3652</v>
      </c>
      <c r="DI43">
        <v>-1.6973133087158206E-2</v>
      </c>
      <c r="DJ43">
        <v>8.1971080458494079</v>
      </c>
      <c r="DK43" t="s">
        <v>3653</v>
      </c>
      <c r="DL43">
        <v>-1.4851491451263427E-2</v>
      </c>
      <c r="DM43">
        <v>10809300</v>
      </c>
      <c r="DN43">
        <v>-2.1216416358947755E-2</v>
      </c>
      <c r="DO43">
        <v>1772100000</v>
      </c>
      <c r="DP43">
        <v>441480790</v>
      </c>
      <c r="DQ43">
        <v>1760</v>
      </c>
      <c r="DR43">
        <v>0.43514969497624129</v>
      </c>
      <c r="DS43">
        <v>6.8232419917902631E-2</v>
      </c>
      <c r="DT43" s="10">
        <v>-0.47333333333333338</v>
      </c>
      <c r="DU43">
        <v>0.26999999999999996</v>
      </c>
      <c r="DV43">
        <v>-0.20333333333333342</v>
      </c>
      <c r="DW43">
        <v>-2.0914000000000001</v>
      </c>
      <c r="DX43">
        <v>0.34129043478261023</v>
      </c>
      <c r="DY43">
        <v>-2.0101719457391303</v>
      </c>
      <c r="DZ43">
        <v>2289</v>
      </c>
      <c r="EA43">
        <v>-2.0056127948096472</v>
      </c>
      <c r="EB43">
        <v>2</v>
      </c>
      <c r="EC43">
        <v>3.8204179104477612E-2</v>
      </c>
      <c r="ED43">
        <v>0.34328358208955218</v>
      </c>
      <c r="EE43" s="11">
        <v>-3.0847099999999998</v>
      </c>
      <c r="EF43">
        <v>-3.0942099999999999</v>
      </c>
      <c r="EG43">
        <v>23.11129043478261</v>
      </c>
      <c r="EH43" t="s">
        <v>1368</v>
      </c>
      <c r="EI43">
        <v>0</v>
      </c>
      <c r="EJ43">
        <v>0</v>
      </c>
      <c r="EK43" s="13">
        <v>45489</v>
      </c>
      <c r="EL43" s="14">
        <v>0.28999999999999998</v>
      </c>
      <c r="EM43" s="14">
        <v>5.43</v>
      </c>
      <c r="EN43" s="14">
        <v>-1.52</v>
      </c>
      <c r="EO43" s="14">
        <v>-2.77</v>
      </c>
      <c r="EP43" s="14">
        <v>-0.95</v>
      </c>
    </row>
    <row r="44" spans="1:146" ht="96" x14ac:dyDescent="0.25">
      <c r="A44" s="7"/>
      <c r="B44" s="7"/>
      <c r="C44" s="7" t="str">
        <f>""&amp;CHAR(10)&amp;Basic_Fundamental_Information_Constructure(F44)&amp;CHAR(10)&amp;Basic_Fundamental_Information_Concatenate("")</f>
        <v xml:space="preserve">
市值26.696093亿, 利润-2.82亿; PE; 平均PE-3.77; 平均PEG-1.18, PB1.97; ROIC0%; ROE-14.9867%; 股利率0%; 毛利13.7267%; 净利-30.1467%; 上一年度营收增-28%, 利润增39.87%; 当季营收增-48.21%, 利润增-588.67%; 过往5年营收增-3.19%, 利润增-812.31%
Income profile:
</v>
      </c>
      <c r="D44" t="s">
        <v>144</v>
      </c>
      <c r="E44" t="s">
        <v>55</v>
      </c>
      <c r="F44">
        <v>1.86</v>
      </c>
      <c r="G44">
        <v>-2.62</v>
      </c>
      <c r="H44" t="s">
        <v>3654</v>
      </c>
      <c r="I44">
        <v>2669609300</v>
      </c>
      <c r="K44">
        <v>1.97</v>
      </c>
      <c r="L44" t="s">
        <v>1166</v>
      </c>
      <c r="M44" t="s">
        <v>2393</v>
      </c>
      <c r="N44" t="s">
        <v>793</v>
      </c>
      <c r="O44" t="s">
        <v>174</v>
      </c>
      <c r="P44">
        <v>-48.34</v>
      </c>
      <c r="Q44" t="s">
        <v>1296</v>
      </c>
      <c r="R44">
        <v>-27135996</v>
      </c>
      <c r="S44" s="5">
        <v>-5.8869999999999996</v>
      </c>
      <c r="T44" t="s">
        <v>351</v>
      </c>
      <c r="U44">
        <v>1292194860</v>
      </c>
      <c r="V44">
        <v>1435273800</v>
      </c>
      <c r="W44">
        <v>1.94</v>
      </c>
      <c r="X44">
        <v>0.06</v>
      </c>
      <c r="Y44">
        <v>-17.22</v>
      </c>
      <c r="Z44" t="s">
        <v>287</v>
      </c>
      <c r="AA44" t="s">
        <v>378</v>
      </c>
      <c r="AB44" t="s">
        <v>2394</v>
      </c>
      <c r="AC44" t="s">
        <v>2395</v>
      </c>
      <c r="AD44" t="s">
        <v>60</v>
      </c>
      <c r="AE44">
        <v>521503</v>
      </c>
      <c r="AF44" t="s">
        <v>2396</v>
      </c>
      <c r="AG44" t="s">
        <v>2397</v>
      </c>
      <c r="AH44" t="s">
        <v>2398</v>
      </c>
      <c r="AI44" t="s">
        <v>2399</v>
      </c>
      <c r="AJ44" t="s">
        <v>2400</v>
      </c>
      <c r="AK44" t="s">
        <v>2401</v>
      </c>
      <c r="AL44" t="s">
        <v>2402</v>
      </c>
      <c r="AM44" t="s">
        <v>60</v>
      </c>
      <c r="AN44" t="s">
        <v>544</v>
      </c>
      <c r="AO44" t="s">
        <v>2403</v>
      </c>
      <c r="AP44" t="s">
        <v>60</v>
      </c>
      <c r="AQ44" t="s">
        <v>1483</v>
      </c>
      <c r="AR44" t="s">
        <v>2404</v>
      </c>
      <c r="AS44" t="s">
        <v>1331</v>
      </c>
      <c r="AT44" t="s">
        <v>60</v>
      </c>
      <c r="AU44" t="s">
        <v>2405</v>
      </c>
      <c r="AV44" t="s">
        <v>2406</v>
      </c>
      <c r="AW44" t="s">
        <v>2407</v>
      </c>
      <c r="AX44" t="s">
        <v>1418</v>
      </c>
      <c r="AY44" t="s">
        <v>814</v>
      </c>
      <c r="AZ44" t="s">
        <v>837</v>
      </c>
      <c r="BA44" t="s">
        <v>457</v>
      </c>
      <c r="BB44" t="s">
        <v>839</v>
      </c>
      <c r="BC44" t="s">
        <v>1419</v>
      </c>
      <c r="BD44" t="s">
        <v>1116</v>
      </c>
      <c r="BE44" t="s">
        <v>838</v>
      </c>
      <c r="BF44" t="s">
        <v>458</v>
      </c>
      <c r="BG44" t="s">
        <v>840</v>
      </c>
      <c r="BH44" t="s">
        <v>1296</v>
      </c>
      <c r="BI44" t="s">
        <v>722</v>
      </c>
      <c r="BJ44" t="s">
        <v>1418</v>
      </c>
      <c r="BK44" t="s">
        <v>351</v>
      </c>
      <c r="BL44" t="s">
        <v>3655</v>
      </c>
      <c r="BM44" t="s">
        <v>1419</v>
      </c>
      <c r="BN44" t="s">
        <v>60</v>
      </c>
      <c r="BO44" t="s">
        <v>60</v>
      </c>
      <c r="BP44" t="s">
        <v>60</v>
      </c>
      <c r="BQ44">
        <v>-9.1199999999999992</v>
      </c>
      <c r="BR44">
        <v>-24.7</v>
      </c>
      <c r="BS44">
        <v>-11.14</v>
      </c>
      <c r="BT44" t="s">
        <v>1343</v>
      </c>
      <c r="BU44" t="s">
        <v>1166</v>
      </c>
      <c r="BV44">
        <v>13.5</v>
      </c>
      <c r="BW44">
        <v>15.34</v>
      </c>
      <c r="BX44">
        <v>12.34</v>
      </c>
      <c r="BY44">
        <v>-34.26</v>
      </c>
      <c r="BZ44">
        <v>-41.13</v>
      </c>
      <c r="CA44">
        <v>-15.05</v>
      </c>
      <c r="CB44">
        <v>-5.58</v>
      </c>
      <c r="CC44">
        <v>-8.82</v>
      </c>
      <c r="CD44" t="s">
        <v>418</v>
      </c>
      <c r="CE44" t="s">
        <v>3656</v>
      </c>
      <c r="CF44" s="8">
        <v>-0.48208469055374592</v>
      </c>
      <c r="CG44" s="9">
        <v>-5.8867271745002698</v>
      </c>
      <c r="CH44" s="8">
        <v>-0.27996504306793213</v>
      </c>
      <c r="CI44" s="8">
        <v>-0.33157891035079956</v>
      </c>
      <c r="CJ44" s="8">
        <v>0.75925928354263306</v>
      </c>
      <c r="CK44" s="8">
        <v>-0.33967390656471252</v>
      </c>
      <c r="CL44" s="8">
        <v>3.2258063554763794E-2</v>
      </c>
      <c r="CM44" s="9">
        <v>0.39872068166732788</v>
      </c>
      <c r="CN44" s="9">
        <v>-0.8611111044883728</v>
      </c>
      <c r="CO44" s="9">
        <v>0.80836504697799683</v>
      </c>
      <c r="CP44" s="9">
        <v>-41.977989196777344</v>
      </c>
      <c r="CQ44" s="9">
        <v>1.0163810253143311</v>
      </c>
      <c r="CR44">
        <v>-3.7733797205009969</v>
      </c>
      <c r="CS44">
        <v>-1.1813924865706138</v>
      </c>
      <c r="CT44">
        <v>0</v>
      </c>
      <c r="CU44" s="8">
        <v>-3.1940102577209473E-2</v>
      </c>
      <c r="CV44" s="9">
        <v>-8.1231267094612125</v>
      </c>
      <c r="CW44">
        <v>0.06</v>
      </c>
      <c r="CX44" t="e">
        <v>#VALUE!</v>
      </c>
      <c r="CY44" t="s">
        <v>1223</v>
      </c>
      <c r="CZ44">
        <v>-3.1940102577209473E-2</v>
      </c>
      <c r="DA44" t="e">
        <v>#VALUE!</v>
      </c>
      <c r="DB44" t="s">
        <v>1224</v>
      </c>
      <c r="DC44">
        <v>-3.0343097448348996E-2</v>
      </c>
      <c r="DD44" t="e">
        <v>#VALUE!</v>
      </c>
      <c r="DE44" t="s">
        <v>1224</v>
      </c>
      <c r="DF44">
        <v>-2.8107290267944337E-2</v>
      </c>
      <c r="DG44" t="e">
        <v>#VALUE!</v>
      </c>
      <c r="DH44" t="s">
        <v>1224</v>
      </c>
      <c r="DI44">
        <v>-2.5552082061767581E-2</v>
      </c>
      <c r="DJ44" t="e">
        <v>#VALUE!</v>
      </c>
      <c r="DK44" t="s">
        <v>1224</v>
      </c>
      <c r="DL44">
        <v>-2.2358071804046628E-2</v>
      </c>
      <c r="DM44">
        <v>-282000000</v>
      </c>
      <c r="DN44">
        <v>-3.1940102577209473E-2</v>
      </c>
      <c r="DO44">
        <v>2622609300</v>
      </c>
      <c r="DP44">
        <v>183783600</v>
      </c>
      <c r="DQ44">
        <v>1770</v>
      </c>
      <c r="DR44">
        <v>-0.45014458797653645</v>
      </c>
      <c r="DS44">
        <v>2.2363995349609427</v>
      </c>
      <c r="DT44" s="10">
        <v>-0.60666666666666669</v>
      </c>
      <c r="DU44">
        <v>-2.4649999999999999</v>
      </c>
      <c r="DV44">
        <v>-3.0716666666666663</v>
      </c>
      <c r="DW44">
        <v>-8.6326530612244898</v>
      </c>
      <c r="DX44">
        <v>0.33956100898433184</v>
      </c>
      <c r="DY44">
        <v>-8.1452324750717207</v>
      </c>
      <c r="DZ44">
        <v>4914</v>
      </c>
      <c r="EA44">
        <v>-8.0054885192263256</v>
      </c>
      <c r="EB44">
        <v>8</v>
      </c>
      <c r="EC44">
        <v>0.39713676930492287</v>
      </c>
      <c r="ED44">
        <v>1.7299835055861816</v>
      </c>
      <c r="EE44" s="11">
        <v>-3.04881</v>
      </c>
      <c r="EF44">
        <v>-3.0750099999999998</v>
      </c>
      <c r="EG44">
        <v>11.229561008984332</v>
      </c>
      <c r="EH44" t="s">
        <v>1368</v>
      </c>
      <c r="EI44">
        <v>0</v>
      </c>
      <c r="EJ44">
        <v>0</v>
      </c>
      <c r="EK44" s="13">
        <v>45489</v>
      </c>
      <c r="EL44" s="14">
        <v>-1.91</v>
      </c>
      <c r="EM44" s="14">
        <v>0</v>
      </c>
      <c r="EN44" s="14">
        <v>-1.94</v>
      </c>
      <c r="EO44" s="14">
        <v>-5.45</v>
      </c>
      <c r="EP44" s="14">
        <v>-2.62</v>
      </c>
    </row>
    <row r="45" spans="1:146" ht="108" x14ac:dyDescent="0.25">
      <c r="A45" s="7"/>
      <c r="B45" s="7"/>
      <c r="C45" s="7" t="str">
        <f>""&amp;CHAR(10)&amp;Basic_Fundamental_Information_Constructure(F45)&amp;CHAR(10)&amp;Basic_Fundamental_Information_Concatenate("")</f>
        <v xml:space="preserve">
市值34.368641亿, 利润7745.71万; PE54.98; 平均PE48.28; 平均PEG101.82, PB2.12; ROIC3.7733%; ROE4.3367%; 股利率.4425%; 毛利38.8933%; 净利15.4767%; 上一年度营收增5.26%, 利润增10.19%; 当季营收增-25.74%, 利润增-70.28%; 过往5年营收增.47%, 利润增-1.49%
Income profile:
</v>
      </c>
      <c r="D45" t="s">
        <v>104</v>
      </c>
      <c r="E45" t="s">
        <v>32</v>
      </c>
      <c r="F45">
        <v>10.17</v>
      </c>
      <c r="G45">
        <v>0.79</v>
      </c>
      <c r="H45" t="s">
        <v>3657</v>
      </c>
      <c r="I45">
        <v>3436864100</v>
      </c>
      <c r="J45">
        <v>54.98</v>
      </c>
      <c r="K45">
        <v>2.12</v>
      </c>
      <c r="L45" t="s">
        <v>1166</v>
      </c>
      <c r="M45" t="s">
        <v>631</v>
      </c>
      <c r="N45" t="s">
        <v>2408</v>
      </c>
      <c r="O45" t="s">
        <v>2409</v>
      </c>
      <c r="P45">
        <v>-25.48</v>
      </c>
      <c r="Q45" t="s">
        <v>443</v>
      </c>
      <c r="R45">
        <v>6320116</v>
      </c>
      <c r="S45" s="5">
        <v>-0.70279999999999998</v>
      </c>
      <c r="T45" t="s">
        <v>2425</v>
      </c>
      <c r="U45">
        <v>256048970</v>
      </c>
      <c r="V45">
        <v>337941400</v>
      </c>
      <c r="W45">
        <v>1.1499999999999999</v>
      </c>
      <c r="X45">
        <v>0.04</v>
      </c>
      <c r="Y45">
        <v>6.88</v>
      </c>
      <c r="Z45" t="s">
        <v>2410</v>
      </c>
      <c r="AA45" t="s">
        <v>2411</v>
      </c>
      <c r="AB45" t="s">
        <v>2412</v>
      </c>
      <c r="AC45" t="s">
        <v>2413</v>
      </c>
      <c r="AD45" t="s">
        <v>60</v>
      </c>
      <c r="AE45">
        <v>-1010497</v>
      </c>
      <c r="AF45" t="s">
        <v>2414</v>
      </c>
      <c r="AG45" t="s">
        <v>2415</v>
      </c>
      <c r="AH45" t="s">
        <v>2416</v>
      </c>
      <c r="AI45" t="s">
        <v>673</v>
      </c>
      <c r="AJ45" t="s">
        <v>2417</v>
      </c>
      <c r="AK45" t="s">
        <v>1818</v>
      </c>
      <c r="AL45" t="s">
        <v>2418</v>
      </c>
      <c r="AM45" t="s">
        <v>60</v>
      </c>
      <c r="AN45" t="s">
        <v>281</v>
      </c>
      <c r="AO45" t="s">
        <v>60</v>
      </c>
      <c r="AP45" t="s">
        <v>60</v>
      </c>
      <c r="AQ45" t="s">
        <v>480</v>
      </c>
      <c r="AR45" t="s">
        <v>2419</v>
      </c>
      <c r="AS45" t="s">
        <v>365</v>
      </c>
      <c r="AT45" t="s">
        <v>2420</v>
      </c>
      <c r="AU45" t="s">
        <v>2421</v>
      </c>
      <c r="AV45" t="s">
        <v>2422</v>
      </c>
      <c r="AW45" t="s">
        <v>2423</v>
      </c>
      <c r="AX45" t="s">
        <v>846</v>
      </c>
      <c r="AY45" t="s">
        <v>233</v>
      </c>
      <c r="AZ45" t="s">
        <v>551</v>
      </c>
      <c r="BA45" t="s">
        <v>462</v>
      </c>
      <c r="BB45" t="s">
        <v>629</v>
      </c>
      <c r="BC45" t="s">
        <v>2424</v>
      </c>
      <c r="BD45" t="s">
        <v>1117</v>
      </c>
      <c r="BE45" t="s">
        <v>841</v>
      </c>
      <c r="BF45" t="s">
        <v>463</v>
      </c>
      <c r="BG45" t="s">
        <v>440</v>
      </c>
      <c r="BH45" t="s">
        <v>443</v>
      </c>
      <c r="BI45" t="s">
        <v>226</v>
      </c>
      <c r="BJ45" t="s">
        <v>846</v>
      </c>
      <c r="BK45" t="s">
        <v>2425</v>
      </c>
      <c r="BL45" t="s">
        <v>3658</v>
      </c>
      <c r="BM45" t="s">
        <v>2424</v>
      </c>
      <c r="BN45">
        <v>3.58</v>
      </c>
      <c r="BO45">
        <v>4.01</v>
      </c>
      <c r="BP45">
        <v>3.73</v>
      </c>
      <c r="BQ45">
        <v>3.92</v>
      </c>
      <c r="BR45">
        <v>4.67</v>
      </c>
      <c r="BS45">
        <v>4.42</v>
      </c>
      <c r="BT45" t="s">
        <v>1353</v>
      </c>
      <c r="BU45" t="s">
        <v>1166</v>
      </c>
      <c r="BV45">
        <v>39.01</v>
      </c>
      <c r="BW45">
        <v>37.76</v>
      </c>
      <c r="BX45">
        <v>39.909999999999997</v>
      </c>
      <c r="BY45">
        <v>17.04</v>
      </c>
      <c r="BZ45">
        <v>15.46</v>
      </c>
      <c r="CA45">
        <v>13.93</v>
      </c>
      <c r="CB45">
        <v>-0.54</v>
      </c>
      <c r="CC45">
        <v>-11.22</v>
      </c>
      <c r="CD45" t="s">
        <v>3659</v>
      </c>
      <c r="CE45" t="s">
        <v>337</v>
      </c>
      <c r="CF45" s="8">
        <v>-0.25738691588785045</v>
      </c>
      <c r="CG45" s="9">
        <v>-0.70277020608181195</v>
      </c>
      <c r="CH45" s="8">
        <v>5.2631579339504242E-2</v>
      </c>
      <c r="CI45" s="8">
        <v>7.6354682445526123E-2</v>
      </c>
      <c r="CJ45" s="8">
        <v>8.2666665315628052E-2</v>
      </c>
      <c r="CK45" s="8">
        <v>-0.13990825414657593</v>
      </c>
      <c r="CL45" s="8">
        <v>-4.8034936189651489E-2</v>
      </c>
      <c r="CM45" s="9">
        <v>0.10186595469713211</v>
      </c>
      <c r="CN45" s="9">
        <v>0.10408475995063782</v>
      </c>
      <c r="CO45" s="9">
        <v>0.39133504033088684</v>
      </c>
      <c r="CP45" s="9">
        <v>-0.3056938648223877</v>
      </c>
      <c r="CQ45" s="9">
        <v>-0.36625576019287109</v>
      </c>
      <c r="CR45">
        <v>48.282611250841157</v>
      </c>
      <c r="CS45">
        <v>101.82021785090846</v>
      </c>
      <c r="CT45">
        <v>0.44247787610619471</v>
      </c>
      <c r="CU45" s="8">
        <v>4.7419473528862001E-3</v>
      </c>
      <c r="CV45" s="9">
        <v>-1.4932774007320404E-2</v>
      </c>
      <c r="CW45">
        <v>0.06</v>
      </c>
      <c r="CX45">
        <v>27.783780096329064</v>
      </c>
      <c r="CY45">
        <v>73419242.915384188</v>
      </c>
      <c r="CZ45">
        <v>4.7419473528862001E-3</v>
      </c>
      <c r="DA45">
        <v>9.7658014792984638</v>
      </c>
      <c r="DB45">
        <v>208878309.09978068</v>
      </c>
      <c r="DC45">
        <v>4.5048499852418898E-3</v>
      </c>
      <c r="DD45">
        <v>5.2817420465084819</v>
      </c>
      <c r="DE45">
        <v>386210474.1272741</v>
      </c>
      <c r="DF45">
        <v>4.1729136705398557E-3</v>
      </c>
      <c r="DG45">
        <v>3.5105371584991745</v>
      </c>
      <c r="DH45">
        <v>581068938.42766869</v>
      </c>
      <c r="DI45">
        <v>3.7935578823089602E-3</v>
      </c>
      <c r="DJ45">
        <v>2.2311087532052172</v>
      </c>
      <c r="DK45">
        <v>914282684.36916184</v>
      </c>
      <c r="DL45">
        <v>3.31936314702034E-3</v>
      </c>
      <c r="DM45">
        <v>77457100</v>
      </c>
      <c r="DN45">
        <v>4.7419473528862001E-3</v>
      </c>
      <c r="DO45">
        <v>2039864099.9999998</v>
      </c>
      <c r="DP45">
        <v>175841860</v>
      </c>
      <c r="DQ45">
        <v>1771</v>
      </c>
      <c r="DR45">
        <v>-0.26212886324073664</v>
      </c>
      <c r="DS45">
        <v>-0.68783743207449155</v>
      </c>
      <c r="DT45" s="10">
        <v>-0.44</v>
      </c>
      <c r="DU45">
        <v>-0.52333333333333332</v>
      </c>
      <c r="DV45">
        <v>-0.96333333333333337</v>
      </c>
      <c r="DW45">
        <v>-2.1122000000000001</v>
      </c>
      <c r="DX45">
        <v>0.30165454545454679</v>
      </c>
      <c r="DY45">
        <v>-2.0136496400000001</v>
      </c>
      <c r="DZ45">
        <v>3577</v>
      </c>
      <c r="EA45">
        <v>-2.0040892792637557</v>
      </c>
      <c r="EB45">
        <v>2</v>
      </c>
      <c r="EC45">
        <v>5.1478155680245156E-2</v>
      </c>
      <c r="ED45">
        <v>0.42315028581878394</v>
      </c>
      <c r="EE45" s="11">
        <v>-6.0163000000000002</v>
      </c>
      <c r="EF45">
        <v>-6.0242000000000004</v>
      </c>
      <c r="EG45">
        <v>18.121654545454547</v>
      </c>
      <c r="EH45" t="s">
        <v>1640</v>
      </c>
      <c r="EI45">
        <v>0</v>
      </c>
      <c r="EJ45">
        <v>0</v>
      </c>
      <c r="EK45" s="13">
        <v>45489</v>
      </c>
      <c r="EL45" s="14">
        <v>-0.57999999999999996</v>
      </c>
      <c r="EM45" s="14">
        <v>3.24</v>
      </c>
      <c r="EN45" s="14">
        <v>-1.43</v>
      </c>
      <c r="EO45" s="14">
        <v>-2.23</v>
      </c>
      <c r="EP45" s="14">
        <v>0.79</v>
      </c>
    </row>
    <row r="46" spans="1:146" ht="96" x14ac:dyDescent="0.25">
      <c r="A46" s="7"/>
      <c r="B46" s="7"/>
      <c r="C46" s="7" t="str">
        <f>""&amp;CHAR(10)&amp;Basic_Fundamental_Information_Constructure(F46)&amp;CHAR(10)&amp;Basic_Fundamental_Information_Concatenate("")</f>
        <v xml:space="preserve">
市值66.404241亿, 利润2653.93万; PE379.1; 平均PE-86.71; 平均PEG-15.78, PB8.18; ROIC1.86%; ROE-18.97%; 股利率0%; 毛利35%; 净利-24.64%; 上一年度营收增13.19%, 利润增111.8%; 当季营收增-18.24%, 利润增-184.64%; 过往5年营收增5.49%, 利润增-50.03%
Income profile:
</v>
      </c>
      <c r="D46" t="s">
        <v>77</v>
      </c>
      <c r="E46" t="s">
        <v>7</v>
      </c>
      <c r="F46">
        <v>10.38</v>
      </c>
      <c r="G46">
        <v>1.86</v>
      </c>
      <c r="H46" t="s">
        <v>3660</v>
      </c>
      <c r="I46">
        <v>6640424100</v>
      </c>
      <c r="J46">
        <v>379.1</v>
      </c>
      <c r="K46">
        <v>8.18</v>
      </c>
      <c r="L46" t="s">
        <v>1166</v>
      </c>
      <c r="M46" t="s">
        <v>501</v>
      </c>
      <c r="N46" t="s">
        <v>771</v>
      </c>
      <c r="O46" t="s">
        <v>490</v>
      </c>
      <c r="P46">
        <v>-18.18</v>
      </c>
      <c r="Q46" t="s">
        <v>891</v>
      </c>
      <c r="R46">
        <v>-13906799</v>
      </c>
      <c r="S46" s="5">
        <v>-1.8460000000000001</v>
      </c>
      <c r="T46" t="s">
        <v>2440</v>
      </c>
      <c r="U46">
        <v>639732570</v>
      </c>
      <c r="V46">
        <v>639732570</v>
      </c>
      <c r="W46">
        <v>1.63</v>
      </c>
      <c r="X46">
        <v>0.08</v>
      </c>
      <c r="Y46">
        <v>-10.93</v>
      </c>
      <c r="Z46" t="s">
        <v>395</v>
      </c>
      <c r="AA46" t="s">
        <v>2426</v>
      </c>
      <c r="AB46" t="s">
        <v>2427</v>
      </c>
      <c r="AC46" t="s">
        <v>2428</v>
      </c>
      <c r="AD46" t="s">
        <v>60</v>
      </c>
      <c r="AE46">
        <v>-411373</v>
      </c>
      <c r="AF46" t="s">
        <v>2429</v>
      </c>
      <c r="AG46" t="s">
        <v>2430</v>
      </c>
      <c r="AH46" t="s">
        <v>2431</v>
      </c>
      <c r="AI46" t="s">
        <v>179</v>
      </c>
      <c r="AJ46" t="s">
        <v>2432</v>
      </c>
      <c r="AK46" t="s">
        <v>2433</v>
      </c>
      <c r="AL46" t="s">
        <v>2434</v>
      </c>
      <c r="AM46" t="s">
        <v>60</v>
      </c>
      <c r="AN46">
        <v>0</v>
      </c>
      <c r="AO46" t="s">
        <v>2435</v>
      </c>
      <c r="AP46" t="s">
        <v>2436</v>
      </c>
      <c r="AQ46" t="s">
        <v>445</v>
      </c>
      <c r="AR46" t="s">
        <v>60</v>
      </c>
      <c r="AS46" t="s">
        <v>493</v>
      </c>
      <c r="AT46" t="s">
        <v>2437</v>
      </c>
      <c r="AU46" t="s">
        <v>1298</v>
      </c>
      <c r="AV46" t="s">
        <v>2438</v>
      </c>
      <c r="AW46" t="s">
        <v>2439</v>
      </c>
      <c r="AX46" t="s">
        <v>877</v>
      </c>
      <c r="AY46" t="s">
        <v>753</v>
      </c>
      <c r="AZ46" t="s">
        <v>746</v>
      </c>
      <c r="BA46" t="s">
        <v>468</v>
      </c>
      <c r="BB46" t="s">
        <v>598</v>
      </c>
      <c r="BC46" t="s">
        <v>692</v>
      </c>
      <c r="BD46" t="s">
        <v>1110</v>
      </c>
      <c r="BE46" t="s">
        <v>842</v>
      </c>
      <c r="BF46" t="s">
        <v>469</v>
      </c>
      <c r="BG46" t="s">
        <v>843</v>
      </c>
      <c r="BH46" t="s">
        <v>891</v>
      </c>
      <c r="BI46" t="s">
        <v>259</v>
      </c>
      <c r="BJ46" t="s">
        <v>877</v>
      </c>
      <c r="BK46" t="s">
        <v>2440</v>
      </c>
      <c r="BL46" t="s">
        <v>3661</v>
      </c>
      <c r="BM46" t="s">
        <v>692</v>
      </c>
      <c r="BN46">
        <v>1.86</v>
      </c>
      <c r="BO46" t="s">
        <v>60</v>
      </c>
      <c r="BP46" t="s">
        <v>60</v>
      </c>
      <c r="BQ46">
        <v>1</v>
      </c>
      <c r="BR46">
        <v>-24.47</v>
      </c>
      <c r="BS46">
        <v>-33.44</v>
      </c>
      <c r="BT46" t="s">
        <v>1343</v>
      </c>
      <c r="BU46" t="s">
        <v>1166</v>
      </c>
      <c r="BV46">
        <v>43.74</v>
      </c>
      <c r="BW46">
        <v>32.5</v>
      </c>
      <c r="BX46">
        <v>28.76</v>
      </c>
      <c r="BY46">
        <v>4.7699999999999996</v>
      </c>
      <c r="BZ46">
        <v>-30.45</v>
      </c>
      <c r="CA46">
        <v>-48.24</v>
      </c>
      <c r="CB46">
        <v>11.49</v>
      </c>
      <c r="CC46">
        <v>-11.05</v>
      </c>
      <c r="CD46" t="s">
        <v>830</v>
      </c>
      <c r="CE46" t="s">
        <v>3662</v>
      </c>
      <c r="CF46" s="8">
        <v>-0.18243243243243243</v>
      </c>
      <c r="CG46" s="9">
        <v>-1.8464291708455287</v>
      </c>
      <c r="CH46" s="8">
        <v>0.1319148987531662</v>
      </c>
      <c r="CI46" s="8">
        <v>-0.1370868980884552</v>
      </c>
      <c r="CJ46" s="8">
        <v>3.6802031099796295E-2</v>
      </c>
      <c r="CK46" s="8">
        <v>8.8397793471813202E-2</v>
      </c>
      <c r="CL46" s="8">
        <v>0.15470494329929352</v>
      </c>
      <c r="CM46" s="9">
        <v>1.1179524660110474</v>
      </c>
      <c r="CN46" s="9">
        <v>0.4444444477558136</v>
      </c>
      <c r="CO46" s="9">
        <v>-6.0392880439758301</v>
      </c>
      <c r="CP46" s="9">
        <v>0.86238217353820801</v>
      </c>
      <c r="CQ46" s="9">
        <v>1.1129592657089233</v>
      </c>
      <c r="CR46">
        <v>-86.705588693129485</v>
      </c>
      <c r="CS46">
        <v>-15.779986704041406</v>
      </c>
      <c r="CT46">
        <v>0</v>
      </c>
      <c r="CU46" s="8">
        <v>5.49465537071228E-2</v>
      </c>
      <c r="CV46" s="9">
        <v>-0.50030993819236758</v>
      </c>
      <c r="CW46">
        <v>0.06</v>
      </c>
      <c r="CX46">
        <v>241.90656760092617</v>
      </c>
      <c r="CY46">
        <v>26412776.483773056</v>
      </c>
      <c r="CZ46">
        <v>5.49465537071228E-2</v>
      </c>
      <c r="DA46">
        <v>81.4439583870831</v>
      </c>
      <c r="DB46">
        <v>78451787.296887502</v>
      </c>
      <c r="DC46">
        <v>5.2199226021766659E-2</v>
      </c>
      <c r="DD46">
        <v>41.700174162922444</v>
      </c>
      <c r="DE46">
        <v>153222959.57413849</v>
      </c>
      <c r="DF46">
        <v>4.8352967262268065E-2</v>
      </c>
      <c r="DG46">
        <v>26.156704711767908</v>
      </c>
      <c r="DH46">
        <v>244274811.0057379</v>
      </c>
      <c r="DI46">
        <v>4.3957242965698244E-2</v>
      </c>
      <c r="DJ46">
        <v>14.828994496489461</v>
      </c>
      <c r="DK46">
        <v>430873725.22207081</v>
      </c>
      <c r="DL46">
        <v>3.8462587594985956E-2</v>
      </c>
      <c r="DM46">
        <v>26539300</v>
      </c>
      <c r="DN46">
        <v>5.49465537071228E-2</v>
      </c>
      <c r="DO46">
        <v>6389424100</v>
      </c>
      <c r="DP46">
        <v>447418830</v>
      </c>
      <c r="DQ46">
        <v>1773</v>
      </c>
      <c r="DR46">
        <v>-0.23737898613955521</v>
      </c>
      <c r="DS46">
        <v>-1.346119232653161</v>
      </c>
      <c r="DT46" s="10">
        <v>-0.34</v>
      </c>
      <c r="DU46">
        <v>-1.0816666666666668</v>
      </c>
      <c r="DV46">
        <v>-1.4216666666666669</v>
      </c>
      <c r="DW46">
        <v>5.9617058311575279</v>
      </c>
      <c r="DX46">
        <v>0.38814814320214963</v>
      </c>
      <c r="DY46">
        <v>5.1424749331926671</v>
      </c>
      <c r="DZ46">
        <v>3976</v>
      </c>
      <c r="EA46">
        <v>5.0315526041591747</v>
      </c>
      <c r="EB46">
        <v>5</v>
      </c>
      <c r="EC46">
        <v>0.44393550261166159</v>
      </c>
      <c r="ED46">
        <v>2.9965646426287162</v>
      </c>
      <c r="EE46" s="11">
        <v>-4.07</v>
      </c>
      <c r="EF46">
        <v>-4.0885999999999996</v>
      </c>
      <c r="EG46">
        <v>24.14814814320215</v>
      </c>
      <c r="EH46" t="s">
        <v>1630</v>
      </c>
      <c r="EI46">
        <v>1</v>
      </c>
      <c r="EJ46">
        <v>0</v>
      </c>
      <c r="EK46" s="13">
        <v>45489</v>
      </c>
      <c r="EL46" s="14">
        <v>-1.51</v>
      </c>
      <c r="EM46" s="14">
        <v>3.25</v>
      </c>
      <c r="EN46" s="14">
        <v>8.2799999999999994</v>
      </c>
      <c r="EO46" s="14">
        <v>-1.36</v>
      </c>
      <c r="EP46" s="14">
        <v>1.86</v>
      </c>
    </row>
    <row r="47" spans="1:146" ht="96" x14ac:dyDescent="0.25">
      <c r="A47" s="7"/>
      <c r="B47" s="7"/>
      <c r="C47" s="7" t="str">
        <f>""&amp;CHAR(10)&amp;Basic_Fundamental_Information_Constructure(F47)&amp;CHAR(10)&amp;Basic_Fundamental_Information_Concatenate("")</f>
        <v xml:space="preserve">
市值7.7354259亿, 利润-3.14亿; PE; 平均PE-2.2; 平均PEG-.12, PB4.84; ROIC0%; ROE-40.4733%; 股利率0%; 毛利-1.85%; 净利-145.5633%; 上一年度营收增-23.78%, 利润增-78.41%; 当季营收增4.44%, 利润增-52.66%; 过往5年营收增-18.27%, 利润增-140.46%
Income profile:
</v>
      </c>
      <c r="D47" t="s">
        <v>97</v>
      </c>
      <c r="E47" t="s">
        <v>2441</v>
      </c>
      <c r="F47">
        <v>1.1599999999999999</v>
      </c>
      <c r="G47">
        <v>3.57</v>
      </c>
      <c r="H47" t="s">
        <v>3663</v>
      </c>
      <c r="I47">
        <v>773542590</v>
      </c>
      <c r="K47">
        <v>4.84</v>
      </c>
      <c r="L47" t="s">
        <v>1166</v>
      </c>
      <c r="M47" t="s">
        <v>1598</v>
      </c>
      <c r="N47" t="s">
        <v>203</v>
      </c>
      <c r="O47" t="s">
        <v>2442</v>
      </c>
      <c r="P47">
        <v>4.4400000000000004</v>
      </c>
      <c r="Q47" t="s">
        <v>310</v>
      </c>
      <c r="R47">
        <v>-28346980</v>
      </c>
      <c r="S47" s="5">
        <v>-0.52659999999999996</v>
      </c>
      <c r="T47" t="s">
        <v>1661</v>
      </c>
      <c r="U47">
        <v>666748360</v>
      </c>
      <c r="V47">
        <v>666847060</v>
      </c>
      <c r="W47">
        <v>7.18</v>
      </c>
      <c r="X47">
        <v>0.02</v>
      </c>
      <c r="Y47">
        <v>-124.32</v>
      </c>
      <c r="Z47" t="s">
        <v>2443</v>
      </c>
      <c r="AA47" t="s">
        <v>2444</v>
      </c>
      <c r="AB47" t="s">
        <v>2445</v>
      </c>
      <c r="AC47" t="s">
        <v>2446</v>
      </c>
      <c r="AD47" t="s">
        <v>60</v>
      </c>
      <c r="AE47">
        <v>11880254</v>
      </c>
      <c r="AF47" t="s">
        <v>2447</v>
      </c>
      <c r="AG47" t="s">
        <v>2448</v>
      </c>
      <c r="AH47" t="s">
        <v>2449</v>
      </c>
      <c r="AI47" t="s">
        <v>2450</v>
      </c>
      <c r="AJ47" t="s">
        <v>2451</v>
      </c>
      <c r="AK47" t="s">
        <v>60</v>
      </c>
      <c r="AL47" t="s">
        <v>2452</v>
      </c>
      <c r="AM47" t="s">
        <v>60</v>
      </c>
      <c r="AN47" t="s">
        <v>2453</v>
      </c>
      <c r="AO47" t="s">
        <v>389</v>
      </c>
      <c r="AP47" t="s">
        <v>60</v>
      </c>
      <c r="AQ47" t="s">
        <v>184</v>
      </c>
      <c r="AR47" t="s">
        <v>2454</v>
      </c>
      <c r="AS47" t="s">
        <v>377</v>
      </c>
      <c r="AT47" t="s">
        <v>2455</v>
      </c>
      <c r="AU47" t="s">
        <v>2456</v>
      </c>
      <c r="AV47" t="s">
        <v>2457</v>
      </c>
      <c r="AW47" t="s">
        <v>2458</v>
      </c>
      <c r="AX47" t="s">
        <v>283</v>
      </c>
      <c r="AY47" t="s">
        <v>774</v>
      </c>
      <c r="AZ47" t="s">
        <v>496</v>
      </c>
      <c r="BA47" t="s">
        <v>471</v>
      </c>
      <c r="BB47" t="s">
        <v>576</v>
      </c>
      <c r="BC47" t="s">
        <v>1071</v>
      </c>
      <c r="BD47" t="s">
        <v>1118</v>
      </c>
      <c r="BE47" t="s">
        <v>845</v>
      </c>
      <c r="BF47" t="s">
        <v>472</v>
      </c>
      <c r="BG47" t="s">
        <v>454</v>
      </c>
      <c r="BH47" t="s">
        <v>310</v>
      </c>
      <c r="BI47" t="s">
        <v>3664</v>
      </c>
      <c r="BJ47" t="s">
        <v>283</v>
      </c>
      <c r="BK47" t="s">
        <v>1661</v>
      </c>
      <c r="BL47" t="s">
        <v>3665</v>
      </c>
      <c r="BM47" t="s">
        <v>1071</v>
      </c>
      <c r="BN47" t="s">
        <v>60</v>
      </c>
      <c r="BO47" t="s">
        <v>60</v>
      </c>
      <c r="BP47" t="s">
        <v>60</v>
      </c>
      <c r="BQ47">
        <v>-32.5</v>
      </c>
      <c r="BR47">
        <v>-38.869999999999997</v>
      </c>
      <c r="BS47">
        <v>-50.05</v>
      </c>
      <c r="BT47" t="s">
        <v>1343</v>
      </c>
      <c r="BU47" t="s">
        <v>1166</v>
      </c>
      <c r="BV47">
        <v>-8.09</v>
      </c>
      <c r="BW47">
        <v>-5.07</v>
      </c>
      <c r="BX47">
        <v>7.61</v>
      </c>
      <c r="BY47">
        <v>-251.59</v>
      </c>
      <c r="BZ47">
        <v>-108.03</v>
      </c>
      <c r="CA47">
        <v>-77.069999999999993</v>
      </c>
      <c r="CB47">
        <v>3.57</v>
      </c>
      <c r="CC47">
        <v>-4.13</v>
      </c>
      <c r="CD47" t="s">
        <v>207</v>
      </c>
      <c r="CE47" t="s">
        <v>1187</v>
      </c>
      <c r="CF47" s="8">
        <v>4.4440487279235844E-2</v>
      </c>
      <c r="CG47" s="9">
        <v>-0.526633025101921</v>
      </c>
      <c r="CH47" s="8">
        <v>-0.23780487477779388</v>
      </c>
      <c r="CI47" s="8">
        <v>-0.65400844812393188</v>
      </c>
      <c r="CJ47" s="8">
        <v>0.33898305892944336</v>
      </c>
      <c r="CK47" s="8">
        <v>-0.21681416034698486</v>
      </c>
      <c r="CL47" s="8">
        <v>-0.14393939077854156</v>
      </c>
      <c r="CM47" s="9">
        <v>-0.78409093618392944</v>
      </c>
      <c r="CN47" s="9">
        <v>0.5151515007019043</v>
      </c>
      <c r="CO47" s="9">
        <v>0.38370117545127869</v>
      </c>
      <c r="CP47" s="9">
        <v>0.25725093483924866</v>
      </c>
      <c r="CQ47" s="9">
        <v>-7.3951611518859863</v>
      </c>
      <c r="CR47">
        <v>-2.1986051823780199</v>
      </c>
      <c r="CS47">
        <v>-0.12032859744470385</v>
      </c>
      <c r="CT47">
        <v>0</v>
      </c>
      <c r="CU47" s="8">
        <v>-0.18271676301956177</v>
      </c>
      <c r="CV47" s="9">
        <v>-1.4046296954154969</v>
      </c>
      <c r="CW47">
        <v>0.06</v>
      </c>
      <c r="CX47" t="e">
        <v>#VALUE!</v>
      </c>
      <c r="CY47" t="s">
        <v>1223</v>
      </c>
      <c r="CZ47">
        <v>-0.18271676301956177</v>
      </c>
      <c r="DA47" t="e">
        <v>#VALUE!</v>
      </c>
      <c r="DB47" t="s">
        <v>1224</v>
      </c>
      <c r="DC47">
        <v>-0.17358092486858367</v>
      </c>
      <c r="DD47" t="e">
        <v>#VALUE!</v>
      </c>
      <c r="DE47" t="s">
        <v>1224</v>
      </c>
      <c r="DF47">
        <v>-0.16079075145721436</v>
      </c>
      <c r="DG47" t="e">
        <v>#VALUE!</v>
      </c>
      <c r="DH47" t="s">
        <v>1224</v>
      </c>
      <c r="DI47">
        <v>-0.14617341041564944</v>
      </c>
      <c r="DJ47" t="e">
        <v>#VALUE!</v>
      </c>
      <c r="DK47" t="s">
        <v>1224</v>
      </c>
      <c r="DL47">
        <v>-0.12790173411369324</v>
      </c>
      <c r="DM47">
        <v>-314000000</v>
      </c>
      <c r="DN47">
        <v>-0.18271676301956177</v>
      </c>
      <c r="DO47">
        <v>1633542590</v>
      </c>
      <c r="DP47">
        <v>-534963660</v>
      </c>
      <c r="DQ47">
        <v>1782</v>
      </c>
      <c r="DR47">
        <v>0.22715725029879763</v>
      </c>
      <c r="DS47">
        <v>0.87799667031357587</v>
      </c>
      <c r="DT47" s="10">
        <v>-0.89</v>
      </c>
      <c r="DU47">
        <v>-3.1150000000000002</v>
      </c>
      <c r="DV47">
        <v>-4.0049999999999999</v>
      </c>
      <c r="DW47">
        <v>6.4636363636363638</v>
      </c>
      <c r="DX47">
        <v>0.45744588744588527</v>
      </c>
      <c r="DY47">
        <v>6.0637249114521845</v>
      </c>
      <c r="DZ47">
        <v>5083</v>
      </c>
      <c r="EA47">
        <v>6.0002994708977582</v>
      </c>
      <c r="EB47">
        <v>6</v>
      </c>
      <c r="EC47">
        <v>0.1904484665494364</v>
      </c>
      <c r="ED47">
        <v>1.3856250637140097</v>
      </c>
      <c r="EE47" s="11">
        <v>-2.1164000000000001</v>
      </c>
      <c r="EF47">
        <v>-1.0021</v>
      </c>
      <c r="EG47">
        <v>32.137445887445885</v>
      </c>
      <c r="EH47" t="s">
        <v>1225</v>
      </c>
      <c r="EI47">
        <v>0</v>
      </c>
      <c r="EJ47">
        <v>0</v>
      </c>
      <c r="EK47" s="13">
        <v>45489</v>
      </c>
      <c r="EL47" s="14">
        <v>0</v>
      </c>
      <c r="EM47" s="14">
        <v>3.81</v>
      </c>
      <c r="EN47" s="14">
        <v>4.59</v>
      </c>
      <c r="EO47" s="14">
        <v>-1.75</v>
      </c>
      <c r="EP47" s="14">
        <v>3.57</v>
      </c>
    </row>
    <row r="48" spans="1:146" ht="108" x14ac:dyDescent="0.25">
      <c r="A48" s="7"/>
      <c r="B48" s="7"/>
      <c r="C48" s="7" t="str">
        <f>""&amp;CHAR(10)&amp;Basic_Fundamental_Information_Constructure(F48)&amp;CHAR(10)&amp;Basic_Fundamental_Information_Concatenate("")</f>
        <v xml:space="preserve">
市值162.54745亿, 利润1.64亿; PE106.2; 平均PE-112.49; 平均PEG-12.64, PB4.76; ROIC4.3033%; ROE4.0967%; 股利率0%; 毛利26.1667%; 净利5.1633%; 上一年度营收增4.4%, 利润增54.72%; 当季营收增4.48%, 利润增-29.4%; 过往5年营收增8.9%, 利润增-108.34%
Income profile:
</v>
      </c>
      <c r="D48" t="s">
        <v>115</v>
      </c>
      <c r="E48" t="s">
        <v>43</v>
      </c>
      <c r="F48">
        <v>20.41</v>
      </c>
      <c r="G48">
        <v>1.8</v>
      </c>
      <c r="H48" t="s">
        <v>3666</v>
      </c>
      <c r="I48">
        <v>16254745000</v>
      </c>
      <c r="J48">
        <v>106.2</v>
      </c>
      <c r="K48">
        <v>4.76</v>
      </c>
      <c r="L48" t="s">
        <v>1166</v>
      </c>
      <c r="M48" t="s">
        <v>2459</v>
      </c>
      <c r="N48" t="s">
        <v>2460</v>
      </c>
      <c r="O48" t="s">
        <v>825</v>
      </c>
      <c r="P48">
        <v>4.49</v>
      </c>
      <c r="Q48" t="s">
        <v>2471</v>
      </c>
      <c r="R48">
        <v>25631620</v>
      </c>
      <c r="S48" s="5">
        <v>-0.29399999999999998</v>
      </c>
      <c r="T48" t="s">
        <v>283</v>
      </c>
      <c r="U48">
        <v>777686670</v>
      </c>
      <c r="V48">
        <v>796410840</v>
      </c>
      <c r="W48">
        <v>1.46</v>
      </c>
      <c r="X48">
        <v>0.15</v>
      </c>
      <c r="Y48">
        <v>3.52</v>
      </c>
      <c r="Z48" t="s">
        <v>1244</v>
      </c>
      <c r="AA48" t="s">
        <v>1629</v>
      </c>
      <c r="AB48" t="s">
        <v>2461</v>
      </c>
      <c r="AC48" t="s">
        <v>2462</v>
      </c>
      <c r="AD48" t="s">
        <v>60</v>
      </c>
      <c r="AE48">
        <v>11355536</v>
      </c>
      <c r="AF48" t="s">
        <v>2463</v>
      </c>
      <c r="AG48" t="s">
        <v>2464</v>
      </c>
      <c r="AH48" t="s">
        <v>2465</v>
      </c>
      <c r="AI48" t="s">
        <v>523</v>
      </c>
      <c r="AJ48" t="s">
        <v>2466</v>
      </c>
      <c r="AK48" t="s">
        <v>2467</v>
      </c>
      <c r="AL48" t="s">
        <v>2468</v>
      </c>
      <c r="AM48" t="s">
        <v>60</v>
      </c>
      <c r="AN48">
        <v>0</v>
      </c>
      <c r="AO48" t="s">
        <v>500</v>
      </c>
      <c r="AP48" t="s">
        <v>60</v>
      </c>
      <c r="AQ48" t="s">
        <v>1245</v>
      </c>
      <c r="AR48" t="s">
        <v>2469</v>
      </c>
      <c r="AS48" t="s">
        <v>1230</v>
      </c>
      <c r="AT48" t="s">
        <v>61</v>
      </c>
      <c r="AU48" t="s">
        <v>915</v>
      </c>
      <c r="AV48" t="s">
        <v>2470</v>
      </c>
      <c r="AW48" t="s">
        <v>1328</v>
      </c>
      <c r="AX48" t="s">
        <v>1420</v>
      </c>
      <c r="AY48" t="s">
        <v>1119</v>
      </c>
      <c r="AZ48" t="s">
        <v>289</v>
      </c>
      <c r="BA48" t="s">
        <v>481</v>
      </c>
      <c r="BB48" t="s">
        <v>602</v>
      </c>
      <c r="BC48" t="s">
        <v>336</v>
      </c>
      <c r="BD48" t="s">
        <v>476</v>
      </c>
      <c r="BE48" t="s">
        <v>445</v>
      </c>
      <c r="BF48" t="s">
        <v>482</v>
      </c>
      <c r="BG48" t="s">
        <v>427</v>
      </c>
      <c r="BH48" t="s">
        <v>2471</v>
      </c>
      <c r="BI48" t="s">
        <v>3667</v>
      </c>
      <c r="BJ48" t="s">
        <v>1420</v>
      </c>
      <c r="BK48" t="s">
        <v>283</v>
      </c>
      <c r="BL48" t="s">
        <v>3668</v>
      </c>
      <c r="BM48" t="s">
        <v>336</v>
      </c>
      <c r="BN48">
        <v>3.14</v>
      </c>
      <c r="BO48">
        <v>3.85</v>
      </c>
      <c r="BP48">
        <v>5.92</v>
      </c>
      <c r="BQ48">
        <v>3.01</v>
      </c>
      <c r="BR48">
        <v>3.36</v>
      </c>
      <c r="BS48">
        <v>5.92</v>
      </c>
      <c r="BT48" t="s">
        <v>1343</v>
      </c>
      <c r="BU48" t="s">
        <v>1166</v>
      </c>
      <c r="BV48">
        <v>25.4</v>
      </c>
      <c r="BW48">
        <v>24.7</v>
      </c>
      <c r="BX48">
        <v>28.4</v>
      </c>
      <c r="BY48">
        <v>5.29</v>
      </c>
      <c r="BZ48">
        <v>3.65</v>
      </c>
      <c r="CA48">
        <v>6.55</v>
      </c>
      <c r="CB48">
        <v>1.29</v>
      </c>
      <c r="CC48">
        <v>-6.63</v>
      </c>
      <c r="CD48" t="s">
        <v>3669</v>
      </c>
      <c r="CE48" t="s">
        <v>3670</v>
      </c>
      <c r="CF48" s="8">
        <v>4.4776119402985072E-2</v>
      </c>
      <c r="CG48" s="9">
        <v>-0.29399201211954279</v>
      </c>
      <c r="CH48" s="8">
        <v>4.4033549726009369E-2</v>
      </c>
      <c r="CI48" s="8">
        <v>7.8289233148097992E-2</v>
      </c>
      <c r="CJ48" s="8">
        <v>0.11250002682209015</v>
      </c>
      <c r="CK48" s="8">
        <v>0.16925981640815735</v>
      </c>
      <c r="CL48" s="8">
        <v>4.0726169943809509E-2</v>
      </c>
      <c r="CM48" s="9">
        <v>0.54716980457305908</v>
      </c>
      <c r="CN48" s="9">
        <v>-0.39772728085517883</v>
      </c>
      <c r="CO48" s="9">
        <v>5.3892213851213455E-2</v>
      </c>
      <c r="CP48" s="9">
        <v>1.0930880308151245</v>
      </c>
      <c r="CQ48" s="9">
        <v>-6.7133755683898926</v>
      </c>
      <c r="CR48">
        <v>-112.48958477508648</v>
      </c>
      <c r="CS48">
        <v>-12.644712264514885</v>
      </c>
      <c r="CT48">
        <v>0</v>
      </c>
      <c r="CU48" s="8">
        <v>8.8961759209632868E-2</v>
      </c>
      <c r="CV48" s="9">
        <v>-1.0833905600011349</v>
      </c>
      <c r="CW48">
        <v>0.06</v>
      </c>
      <c r="CX48">
        <v>86.144762234216842</v>
      </c>
      <c r="CY48">
        <v>168480875.95318845</v>
      </c>
      <c r="CZ48">
        <v>8.8961759209632868E-2</v>
      </c>
      <c r="DA48">
        <v>28.176068085792103</v>
      </c>
      <c r="DB48">
        <v>515108955.43720716</v>
      </c>
      <c r="DC48">
        <v>8.4513671249151226E-2</v>
      </c>
      <c r="DD48">
        <v>13.886739052320216</v>
      </c>
      <c r="DE48">
        <v>1045151417.1410186</v>
      </c>
      <c r="DF48">
        <v>7.8286348104476919E-2</v>
      </c>
      <c r="DG48">
        <v>8.3502830961014674</v>
      </c>
      <c r="DH48">
        <v>1738114125.3493664</v>
      </c>
      <c r="DI48">
        <v>7.11694073677063E-2</v>
      </c>
      <c r="DJ48">
        <v>4.3261701800826353</v>
      </c>
      <c r="DK48">
        <v>3354871490.4513464</v>
      </c>
      <c r="DL48">
        <v>6.2273231446743002E-2</v>
      </c>
      <c r="DM48">
        <v>164000000</v>
      </c>
      <c r="DN48">
        <v>8.8961759209632868E-2</v>
      </c>
      <c r="DO48">
        <v>14513745000</v>
      </c>
      <c r="DP48">
        <v>1560307300</v>
      </c>
      <c r="DQ48">
        <v>1816</v>
      </c>
      <c r="DR48">
        <v>-4.4185639806647796E-2</v>
      </c>
      <c r="DS48">
        <v>0.78939854788159214</v>
      </c>
      <c r="DT48" s="10">
        <v>-0.32333333333333336</v>
      </c>
      <c r="DU48">
        <v>-0.80666666666666664</v>
      </c>
      <c r="DV48">
        <v>-1.1299999999999999</v>
      </c>
      <c r="DW48">
        <v>-2.0663</v>
      </c>
      <c r="DX48">
        <v>0.3684470326481244</v>
      </c>
      <c r="DY48">
        <v>-2.0065270382645708</v>
      </c>
      <c r="DZ48">
        <v>3726</v>
      </c>
      <c r="EA48">
        <v>-2.0017649970321858</v>
      </c>
      <c r="EB48">
        <v>2</v>
      </c>
      <c r="EC48">
        <v>0.10222826700852038</v>
      </c>
      <c r="ED48">
        <v>1.0384087690217778</v>
      </c>
      <c r="EE48" s="11">
        <v>-2.0923099999999999</v>
      </c>
      <c r="EF48">
        <v>-2.0743100000000001</v>
      </c>
      <c r="EG48">
        <v>27.098447032648124</v>
      </c>
      <c r="EH48" t="s">
        <v>1399</v>
      </c>
      <c r="EI48">
        <v>0</v>
      </c>
      <c r="EJ48">
        <v>0</v>
      </c>
      <c r="EK48" s="13">
        <v>45489</v>
      </c>
      <c r="EL48" s="14">
        <v>-4</v>
      </c>
      <c r="EM48" s="14">
        <v>2.25</v>
      </c>
      <c r="EN48" s="14">
        <v>-1.46</v>
      </c>
      <c r="EO48" s="14">
        <v>-0.64</v>
      </c>
      <c r="EP48" s="14">
        <v>1.8</v>
      </c>
    </row>
    <row r="49" spans="1:146" ht="96" x14ac:dyDescent="0.25">
      <c r="A49" s="7"/>
      <c r="B49" s="7"/>
      <c r="C49" s="7" t="str">
        <f>""&amp;CHAR(10)&amp;Basic_Fundamental_Information_Constructure(F49)&amp;CHAR(10)&amp;Basic_Fundamental_Information_Concatenate("")</f>
        <v xml:space="preserve">
市值18.5744亿, 利润3836.13万; PE69.83; 平均PE83.9; 平均PEG10.34, PB3.58; ROIC1.24%; ROE1.8967%; 股利率.4255%; 毛利6.2533%; 净利4.51%; 上一年度营收增-1.33%, 利润增127.21%; 当季营收增16.79%, 利润增-167.72%; 过往5年营收增8.12%, 利润增44.04%
Income profile:
</v>
      </c>
      <c r="D49" t="s">
        <v>87</v>
      </c>
      <c r="E49" t="s">
        <v>868</v>
      </c>
      <c r="F49">
        <v>9.4</v>
      </c>
      <c r="G49">
        <v>-0.74</v>
      </c>
      <c r="H49" t="s">
        <v>3671</v>
      </c>
      <c r="I49">
        <v>1857440000</v>
      </c>
      <c r="J49">
        <v>69.83</v>
      </c>
      <c r="K49">
        <v>3.58</v>
      </c>
      <c r="L49" t="s">
        <v>1166</v>
      </c>
      <c r="M49" t="s">
        <v>3672</v>
      </c>
      <c r="N49" t="s">
        <v>705</v>
      </c>
      <c r="O49" t="s">
        <v>308</v>
      </c>
      <c r="P49">
        <v>16.8</v>
      </c>
      <c r="Q49" t="s">
        <v>234</v>
      </c>
      <c r="R49">
        <v>-4749468</v>
      </c>
      <c r="S49" s="6">
        <v>-1.677</v>
      </c>
      <c r="T49" t="s">
        <v>3673</v>
      </c>
      <c r="U49">
        <v>197586200</v>
      </c>
      <c r="V49">
        <v>197600000</v>
      </c>
      <c r="W49">
        <v>1.1200000000000001</v>
      </c>
      <c r="X49">
        <v>0.17</v>
      </c>
      <c r="Y49">
        <v>-4.88</v>
      </c>
      <c r="Z49" t="s">
        <v>167</v>
      </c>
      <c r="AA49" t="s">
        <v>171</v>
      </c>
      <c r="AB49">
        <v>1104.4000000000001</v>
      </c>
      <c r="AC49" t="s">
        <v>3674</v>
      </c>
      <c r="AD49" t="s">
        <v>60</v>
      </c>
      <c r="AE49">
        <v>-1964039</v>
      </c>
      <c r="AF49" t="s">
        <v>3675</v>
      </c>
      <c r="AG49">
        <v>200.24</v>
      </c>
      <c r="AH49" t="s">
        <v>3676</v>
      </c>
      <c r="AI49" t="s">
        <v>1263</v>
      </c>
      <c r="AJ49" t="s">
        <v>3677</v>
      </c>
      <c r="AK49" t="s">
        <v>60</v>
      </c>
      <c r="AL49" t="s">
        <v>3678</v>
      </c>
      <c r="AM49" t="s">
        <v>60</v>
      </c>
      <c r="AN49">
        <v>0</v>
      </c>
      <c r="AO49" t="s">
        <v>60</v>
      </c>
      <c r="AP49" t="s">
        <v>60</v>
      </c>
      <c r="AQ49" t="s">
        <v>3679</v>
      </c>
      <c r="AR49" t="s">
        <v>3680</v>
      </c>
      <c r="AS49" t="s">
        <v>3681</v>
      </c>
      <c r="AT49" t="s">
        <v>60</v>
      </c>
      <c r="AU49" t="s">
        <v>3682</v>
      </c>
      <c r="AV49" t="s">
        <v>3683</v>
      </c>
      <c r="AW49" t="s">
        <v>3684</v>
      </c>
      <c r="AX49" t="s">
        <v>450</v>
      </c>
      <c r="AY49" t="s">
        <v>363</v>
      </c>
      <c r="AZ49" t="s">
        <v>583</v>
      </c>
      <c r="BA49" t="s">
        <v>195</v>
      </c>
      <c r="BB49" t="s">
        <v>515</v>
      </c>
      <c r="BC49" t="s">
        <v>3685</v>
      </c>
      <c r="BD49" t="s">
        <v>1124</v>
      </c>
      <c r="BE49" t="s">
        <v>869</v>
      </c>
      <c r="BF49" t="s">
        <v>507</v>
      </c>
      <c r="BG49" t="s">
        <v>870</v>
      </c>
      <c r="BH49" t="s">
        <v>234</v>
      </c>
      <c r="BI49" t="s">
        <v>3686</v>
      </c>
      <c r="BJ49" t="s">
        <v>450</v>
      </c>
      <c r="BK49" t="s">
        <v>3673</v>
      </c>
      <c r="BL49" t="s">
        <v>3687</v>
      </c>
      <c r="BM49" t="s">
        <v>3685</v>
      </c>
      <c r="BN49" t="s">
        <v>60</v>
      </c>
      <c r="BO49">
        <v>2.25</v>
      </c>
      <c r="BP49">
        <v>0.23</v>
      </c>
      <c r="BQ49">
        <v>0.74</v>
      </c>
      <c r="BR49">
        <v>3.52</v>
      </c>
      <c r="BS49">
        <v>1.43</v>
      </c>
      <c r="BT49" t="s">
        <v>1354</v>
      </c>
      <c r="BU49" t="s">
        <v>1166</v>
      </c>
      <c r="BV49">
        <v>4.55</v>
      </c>
      <c r="BW49">
        <v>7.19</v>
      </c>
      <c r="BX49">
        <v>7.02</v>
      </c>
      <c r="BY49">
        <v>8.51</v>
      </c>
      <c r="BZ49">
        <v>3.76</v>
      </c>
      <c r="CA49">
        <v>1.26</v>
      </c>
      <c r="CB49">
        <v>-4.18</v>
      </c>
      <c r="CC49">
        <v>6.94</v>
      </c>
      <c r="CD49" t="s">
        <v>3688</v>
      </c>
      <c r="CE49" t="s">
        <v>516</v>
      </c>
      <c r="CF49" s="8">
        <v>0.16785513100586696</v>
      </c>
      <c r="CG49" s="9">
        <v>-1.6772473584394474</v>
      </c>
      <c r="CH49" s="8">
        <v>-1.3333333656191826E-2</v>
      </c>
      <c r="CI49" s="8">
        <v>-0.11417322605848312</v>
      </c>
      <c r="CJ49" s="8">
        <v>4.3121151626110077E-2</v>
      </c>
      <c r="CK49" s="8">
        <v>-0.13805310428142548</v>
      </c>
      <c r="CL49" s="8">
        <v>0.62824207544326782</v>
      </c>
      <c r="CM49" s="9">
        <v>1.2721042633056641</v>
      </c>
      <c r="CN49" s="9">
        <v>1.4971306324005127</v>
      </c>
      <c r="CO49" s="9">
        <v>-0.74894917011260986</v>
      </c>
      <c r="CP49" s="9">
        <v>0.43326380848884583</v>
      </c>
      <c r="CQ49" s="9">
        <v>-0.25149479508399963</v>
      </c>
      <c r="CR49">
        <v>83.900264996386412</v>
      </c>
      <c r="CS49">
        <v>10.337546615039976</v>
      </c>
      <c r="CT49">
        <v>0.42553191489361702</v>
      </c>
      <c r="CU49" s="8">
        <v>8.1160712614655489E-2</v>
      </c>
      <c r="CV49" s="9">
        <v>0.44041094779968259</v>
      </c>
      <c r="CW49">
        <v>0.06</v>
      </c>
      <c r="CX49">
        <v>35.273987903218732</v>
      </c>
      <c r="CY49">
        <v>39127104.193230741</v>
      </c>
      <c r="CZ49">
        <v>8.1160712614655489E-2</v>
      </c>
      <c r="DA49">
        <v>11.613901316904105</v>
      </c>
      <c r="DB49">
        <v>118837672.40136229</v>
      </c>
      <c r="DC49">
        <v>7.7102676983922716E-2</v>
      </c>
      <c r="DD49">
        <v>5.7746323606229293</v>
      </c>
      <c r="DE49">
        <v>239005518.24066538</v>
      </c>
      <c r="DF49">
        <v>7.1421427100896828E-2</v>
      </c>
      <c r="DG49">
        <v>3.5068729335470818</v>
      </c>
      <c r="DH49">
        <v>393561165.78880614</v>
      </c>
      <c r="DI49">
        <v>6.4928570091724397E-2</v>
      </c>
      <c r="DJ49">
        <v>1.8564218791282738</v>
      </c>
      <c r="DK49">
        <v>743456546.98278522</v>
      </c>
      <c r="DL49">
        <v>5.6812498830258837E-2</v>
      </c>
      <c r="DM49">
        <v>38361300</v>
      </c>
      <c r="DN49">
        <v>8.1160712614655489E-2</v>
      </c>
      <c r="DO49">
        <v>1380169000</v>
      </c>
      <c r="DP49">
        <v>508069620</v>
      </c>
      <c r="DQ49">
        <v>1870</v>
      </c>
      <c r="DR49">
        <v>8.6694418391211475E-2</v>
      </c>
      <c r="DS49">
        <v>-2.1176583062391301</v>
      </c>
      <c r="DT49" s="10">
        <v>-0.24000000000000002</v>
      </c>
      <c r="DU49">
        <v>-0.51500000000000001</v>
      </c>
      <c r="DV49">
        <v>-0.755</v>
      </c>
      <c r="DW49">
        <v>-6.3758992805755392</v>
      </c>
      <c r="DX49">
        <v>0.31890226244343822</v>
      </c>
      <c r="DY49">
        <v>-6.0710082245515808</v>
      </c>
      <c r="DZ49">
        <v>3338</v>
      </c>
      <c r="EA49">
        <v>-6.0245963479991671</v>
      </c>
      <c r="EB49">
        <v>6</v>
      </c>
      <c r="EC49">
        <v>0.21127226720647774</v>
      </c>
      <c r="ED49">
        <v>1.118421052631579</v>
      </c>
      <c r="EE49" s="11">
        <v>-4.0356100000000001</v>
      </c>
      <c r="EF49">
        <v>-4.0430099999999998</v>
      </c>
      <c r="EG49">
        <v>13.188902262443438</v>
      </c>
      <c r="EH49" t="s">
        <v>1709</v>
      </c>
      <c r="EI49">
        <v>0</v>
      </c>
      <c r="EJ49">
        <v>0</v>
      </c>
      <c r="EK49" s="13">
        <v>45489</v>
      </c>
      <c r="EL49" s="14">
        <v>-4.45</v>
      </c>
      <c r="EM49" s="14">
        <v>1.02</v>
      </c>
      <c r="EN49" s="14">
        <v>-2.63</v>
      </c>
      <c r="EO49" s="14">
        <v>-1.66</v>
      </c>
      <c r="EP49" s="14">
        <v>-0.74</v>
      </c>
    </row>
    <row r="50" spans="1:146" ht="96" x14ac:dyDescent="0.25">
      <c r="A50" s="7"/>
      <c r="B50" s="7"/>
      <c r="C50" s="7" t="str">
        <f>""&amp;CHAR(10)&amp;Basic_Fundamental_Information_Constructure(F50)&amp;CHAR(10)&amp;Basic_Fundamental_Information_Concatenate("")</f>
        <v xml:space="preserve">
市值16.585695亿, 利润-1.62亿; PE; 平均PE-12.54; 平均PEG-1.77, PB3.71; ROIC4.26%; ROE.72%; 股利率0%; 毛利18.3%; 净利-10.57%; 上一年度营收增-48.35%, 利润增-506.14%; 当季营收增-47.99%, 利润增-53.72%; 过往5年营收增7.08%, 利润增-55.47%
Income profile:
</v>
      </c>
      <c r="D50" t="s">
        <v>145</v>
      </c>
      <c r="E50" t="s">
        <v>54</v>
      </c>
      <c r="F50">
        <v>4.51</v>
      </c>
      <c r="G50">
        <v>0.89</v>
      </c>
      <c r="H50" t="s">
        <v>3689</v>
      </c>
      <c r="I50">
        <v>1658569500</v>
      </c>
      <c r="K50">
        <v>3.71</v>
      </c>
      <c r="L50" t="s">
        <v>1166</v>
      </c>
      <c r="M50" t="s">
        <v>567</v>
      </c>
      <c r="N50" t="s">
        <v>902</v>
      </c>
      <c r="O50" t="s">
        <v>2472</v>
      </c>
      <c r="P50">
        <v>-47.84</v>
      </c>
      <c r="Q50" t="s">
        <v>224</v>
      </c>
      <c r="R50">
        <v>-3572844</v>
      </c>
      <c r="S50" s="5">
        <v>-0.53710000000000002</v>
      </c>
      <c r="T50" t="s">
        <v>1378</v>
      </c>
      <c r="U50">
        <v>367753770</v>
      </c>
      <c r="V50">
        <v>367753770</v>
      </c>
      <c r="W50">
        <v>1.9</v>
      </c>
      <c r="X50">
        <v>7.0000000000000007E-2</v>
      </c>
      <c r="Y50">
        <v>-6.25</v>
      </c>
      <c r="Z50" t="s">
        <v>2473</v>
      </c>
      <c r="AA50" t="s">
        <v>2474</v>
      </c>
      <c r="AB50" t="s">
        <v>2475</v>
      </c>
      <c r="AC50" t="s">
        <v>2476</v>
      </c>
      <c r="AD50" t="s">
        <v>60</v>
      </c>
      <c r="AE50">
        <v>1232487</v>
      </c>
      <c r="AF50" t="s">
        <v>2477</v>
      </c>
      <c r="AG50" t="s">
        <v>2478</v>
      </c>
      <c r="AH50" t="s">
        <v>2479</v>
      </c>
      <c r="AI50" t="s">
        <v>246</v>
      </c>
      <c r="AJ50" t="s">
        <v>2480</v>
      </c>
      <c r="AK50" t="s">
        <v>2481</v>
      </c>
      <c r="AL50" t="s">
        <v>2482</v>
      </c>
      <c r="AM50" t="s">
        <v>60</v>
      </c>
      <c r="AN50">
        <v>0</v>
      </c>
      <c r="AO50" t="s">
        <v>2483</v>
      </c>
      <c r="AP50" t="s">
        <v>60</v>
      </c>
      <c r="AQ50" t="s">
        <v>2484</v>
      </c>
      <c r="AR50" t="s">
        <v>2485</v>
      </c>
      <c r="AS50" t="s">
        <v>544</v>
      </c>
      <c r="AT50" t="s">
        <v>2486</v>
      </c>
      <c r="AU50" t="s">
        <v>2487</v>
      </c>
      <c r="AV50" t="s">
        <v>2488</v>
      </c>
      <c r="AW50" t="s">
        <v>2489</v>
      </c>
      <c r="AX50" t="s">
        <v>1256</v>
      </c>
      <c r="AY50" t="s">
        <v>2490</v>
      </c>
      <c r="AZ50" t="s">
        <v>411</v>
      </c>
      <c r="BA50" t="s">
        <v>508</v>
      </c>
      <c r="BB50" t="s">
        <v>201</v>
      </c>
      <c r="BC50" t="s">
        <v>1425</v>
      </c>
      <c r="BD50" t="s">
        <v>2491</v>
      </c>
      <c r="BE50" t="s">
        <v>871</v>
      </c>
      <c r="BF50" t="s">
        <v>509</v>
      </c>
      <c r="BG50" t="s">
        <v>872</v>
      </c>
      <c r="BH50" t="s">
        <v>224</v>
      </c>
      <c r="BI50" t="s">
        <v>255</v>
      </c>
      <c r="BJ50" t="s">
        <v>1256</v>
      </c>
      <c r="BK50" t="s">
        <v>1378</v>
      </c>
      <c r="BL50" t="s">
        <v>3690</v>
      </c>
      <c r="BM50" t="s">
        <v>1425</v>
      </c>
      <c r="BN50">
        <v>2.4300000000000002</v>
      </c>
      <c r="BO50">
        <v>6.09</v>
      </c>
      <c r="BP50" t="s">
        <v>60</v>
      </c>
      <c r="BQ50">
        <v>2.2000000000000002</v>
      </c>
      <c r="BR50">
        <v>4.2300000000000004</v>
      </c>
      <c r="BS50">
        <v>-4.2699999999999996</v>
      </c>
      <c r="BT50" t="s">
        <v>1343</v>
      </c>
      <c r="BU50" t="s">
        <v>1166</v>
      </c>
      <c r="BV50">
        <v>24.8</v>
      </c>
      <c r="BW50">
        <v>14.55</v>
      </c>
      <c r="BX50">
        <v>15.55</v>
      </c>
      <c r="BY50">
        <v>-29.59</v>
      </c>
      <c r="BZ50">
        <v>3.77</v>
      </c>
      <c r="CA50">
        <v>-5.89</v>
      </c>
      <c r="CB50">
        <v>-1.74</v>
      </c>
      <c r="CC50">
        <v>-17.100000000000001</v>
      </c>
      <c r="CD50" t="s">
        <v>3691</v>
      </c>
      <c r="CE50" t="s">
        <v>805</v>
      </c>
      <c r="CF50" s="8">
        <v>-0.47989363636363641</v>
      </c>
      <c r="CG50" s="9">
        <v>-0.53716990061523895</v>
      </c>
      <c r="CH50" s="8">
        <v>-0.4834749698638916</v>
      </c>
      <c r="CI50" s="8">
        <v>0.78885138034820557</v>
      </c>
      <c r="CJ50" s="8">
        <v>4.4091708958148956E-2</v>
      </c>
      <c r="CK50" s="8">
        <v>-8.6956523358821869E-2</v>
      </c>
      <c r="CL50" s="8">
        <v>9.1388404369354248E-2</v>
      </c>
      <c r="CM50" s="9">
        <v>-5.0613512992858887</v>
      </c>
      <c r="CN50" s="9">
        <v>2.1453371047973633</v>
      </c>
      <c r="CO50" s="9">
        <v>-2.5629715919494629</v>
      </c>
      <c r="CP50" s="9">
        <v>1.7526659965515137</v>
      </c>
      <c r="CQ50" s="9">
        <v>0.95293402671813965</v>
      </c>
      <c r="CR50">
        <v>-12.544953070907594</v>
      </c>
      <c r="CS50">
        <v>-1.7723866989050487</v>
      </c>
      <c r="CT50">
        <v>0</v>
      </c>
      <c r="CU50" s="8">
        <v>7.0780000090599066E-2</v>
      </c>
      <c r="CV50" s="9">
        <v>-0.55467715263366701</v>
      </c>
      <c r="CW50">
        <v>0.06</v>
      </c>
      <c r="CX50" t="e">
        <v>#VALUE!</v>
      </c>
      <c r="CY50" t="s">
        <v>1223</v>
      </c>
      <c r="CZ50">
        <v>7.0780000090599066E-2</v>
      </c>
      <c r="DA50" t="e">
        <v>#VALUE!</v>
      </c>
      <c r="DB50" t="s">
        <v>1224</v>
      </c>
      <c r="DC50">
        <v>6.7241000086069105E-2</v>
      </c>
      <c r="DD50" t="e">
        <v>#VALUE!</v>
      </c>
      <c r="DE50" t="s">
        <v>1224</v>
      </c>
      <c r="DF50">
        <v>6.2286400079727175E-2</v>
      </c>
      <c r="DG50" t="e">
        <v>#VALUE!</v>
      </c>
      <c r="DH50" t="s">
        <v>1224</v>
      </c>
      <c r="DI50">
        <v>5.6624000072479252E-2</v>
      </c>
      <c r="DJ50" t="e">
        <v>#VALUE!</v>
      </c>
      <c r="DK50" t="s">
        <v>1224</v>
      </c>
      <c r="DL50">
        <v>4.9546000063419346E-2</v>
      </c>
      <c r="DM50">
        <v>-162000000</v>
      </c>
      <c r="DN50">
        <v>7.0780000090599066E-2</v>
      </c>
      <c r="DO50">
        <v>1628569500</v>
      </c>
      <c r="DP50">
        <v>177522820</v>
      </c>
      <c r="DQ50">
        <v>1890</v>
      </c>
      <c r="DR50">
        <v>-0.5506736364542355</v>
      </c>
      <c r="DS50">
        <v>1.7507252018428066E-2</v>
      </c>
      <c r="DT50" s="10">
        <v>-0.3066666666666667</v>
      </c>
      <c r="DU50">
        <v>-1.8200000000000003</v>
      </c>
      <c r="DV50">
        <v>-2.1266666666666669</v>
      </c>
      <c r="DW50">
        <v>-3.0124404761904762</v>
      </c>
      <c r="DX50">
        <v>0.24782258592471351</v>
      </c>
      <c r="DY50">
        <v>-3.0014657690748967</v>
      </c>
      <c r="DZ50">
        <v>4457</v>
      </c>
      <c r="EA50">
        <v>-3.00018655764611</v>
      </c>
      <c r="EB50">
        <v>3</v>
      </c>
      <c r="EC50">
        <v>0.19575489328090367</v>
      </c>
      <c r="ED50">
        <v>1.6614377603797237</v>
      </c>
      <c r="EE50" s="11">
        <v>9.0085099999999994</v>
      </c>
      <c r="EF50">
        <v>9.0004000000000008</v>
      </c>
      <c r="EG50">
        <v>13.117822585924714</v>
      </c>
      <c r="EH50" t="s">
        <v>3692</v>
      </c>
      <c r="EI50">
        <v>0</v>
      </c>
      <c r="EJ50">
        <v>0</v>
      </c>
      <c r="EK50" s="13">
        <v>45489</v>
      </c>
      <c r="EL50" s="14">
        <v>-4.87</v>
      </c>
      <c r="EM50" s="14">
        <v>6.97</v>
      </c>
      <c r="EN50" s="14">
        <v>-3.15</v>
      </c>
      <c r="EO50" s="14">
        <v>-3.04</v>
      </c>
      <c r="EP50" s="14">
        <v>0.89</v>
      </c>
    </row>
    <row r="51" spans="1:146" ht="108" x14ac:dyDescent="0.25">
      <c r="A51" s="7"/>
      <c r="B51" s="7"/>
      <c r="C51" s="7" t="str">
        <f>""&amp;CHAR(10)&amp;Basic_Fundamental_Information_Constructure(F51)&amp;CHAR(10)&amp;Basic_Fundamental_Information_Concatenate("")</f>
        <v xml:space="preserve">
市值22.369064亿, 利润9687.18万; PE21.54; 平均PE21.68; 平均PEG1.17, PB1.46; ROIC3.7567%; ROE4.2433%; 股利率.8946%; 毛利40.9267%; 净利7.6033%; 上一年度营收增30.08%, 利润增137%; 当季营收增22.99%, 利润增26.55%; 过往5年营收增18.5%, 利润增16.6%
Income profile:
</v>
      </c>
      <c r="D51" t="s">
        <v>124</v>
      </c>
      <c r="E51" t="s">
        <v>38</v>
      </c>
      <c r="F51">
        <v>5.03</v>
      </c>
      <c r="G51">
        <v>0.6</v>
      </c>
      <c r="H51" t="s">
        <v>3693</v>
      </c>
      <c r="I51">
        <v>2236906400</v>
      </c>
      <c r="J51">
        <v>21.54</v>
      </c>
      <c r="K51">
        <v>1.46</v>
      </c>
      <c r="L51" t="s">
        <v>1166</v>
      </c>
      <c r="M51" t="s">
        <v>725</v>
      </c>
      <c r="N51" t="s">
        <v>634</v>
      </c>
      <c r="O51" t="s">
        <v>2492</v>
      </c>
      <c r="P51">
        <v>22.99</v>
      </c>
      <c r="Q51" t="s">
        <v>1082</v>
      </c>
      <c r="R51">
        <v>-19346811</v>
      </c>
      <c r="S51" s="5">
        <v>0.26550000000000001</v>
      </c>
      <c r="T51" t="s">
        <v>2508</v>
      </c>
      <c r="U51">
        <v>443305970</v>
      </c>
      <c r="V51">
        <v>444713000</v>
      </c>
      <c r="W51">
        <v>1.51</v>
      </c>
      <c r="X51">
        <v>0.02</v>
      </c>
      <c r="Y51">
        <v>-41.58</v>
      </c>
      <c r="Z51" t="s">
        <v>2493</v>
      </c>
      <c r="AA51" t="s">
        <v>2494</v>
      </c>
      <c r="AB51" t="s">
        <v>2495</v>
      </c>
      <c r="AC51" t="s">
        <v>2496</v>
      </c>
      <c r="AD51" t="s">
        <v>60</v>
      </c>
      <c r="AE51">
        <v>238372</v>
      </c>
      <c r="AF51" t="s">
        <v>2497</v>
      </c>
      <c r="AG51" t="s">
        <v>2148</v>
      </c>
      <c r="AH51" t="s">
        <v>2498</v>
      </c>
      <c r="AI51" t="s">
        <v>414</v>
      </c>
      <c r="AJ51" t="s">
        <v>2499</v>
      </c>
      <c r="AK51" t="s">
        <v>2500</v>
      </c>
      <c r="AL51" t="s">
        <v>2501</v>
      </c>
      <c r="AM51" t="s">
        <v>60</v>
      </c>
      <c r="AN51">
        <v>0</v>
      </c>
      <c r="AO51" t="s">
        <v>2502</v>
      </c>
      <c r="AP51" t="s">
        <v>2503</v>
      </c>
      <c r="AQ51" t="s">
        <v>380</v>
      </c>
      <c r="AR51" t="s">
        <v>60</v>
      </c>
      <c r="AS51" t="s">
        <v>223</v>
      </c>
      <c r="AT51" t="s">
        <v>60</v>
      </c>
      <c r="AU51" t="s">
        <v>2504</v>
      </c>
      <c r="AV51" t="s">
        <v>2505</v>
      </c>
      <c r="AW51" t="s">
        <v>2506</v>
      </c>
      <c r="AX51" t="s">
        <v>1427</v>
      </c>
      <c r="AY51" t="s">
        <v>928</v>
      </c>
      <c r="AZ51" t="s">
        <v>1070</v>
      </c>
      <c r="BA51" t="s">
        <v>357</v>
      </c>
      <c r="BB51" t="s">
        <v>653</v>
      </c>
      <c r="BC51" t="s">
        <v>2507</v>
      </c>
      <c r="BD51" t="s">
        <v>1125</v>
      </c>
      <c r="BE51" t="s">
        <v>179</v>
      </c>
      <c r="BF51" t="s">
        <v>248</v>
      </c>
      <c r="BG51" t="s">
        <v>402</v>
      </c>
      <c r="BH51" t="s">
        <v>1082</v>
      </c>
      <c r="BI51" t="s">
        <v>3694</v>
      </c>
      <c r="BJ51" t="s">
        <v>1427</v>
      </c>
      <c r="BK51" t="s">
        <v>2508</v>
      </c>
      <c r="BL51" t="s">
        <v>3695</v>
      </c>
      <c r="BM51" t="s">
        <v>2507</v>
      </c>
      <c r="BN51">
        <v>2.5</v>
      </c>
      <c r="BO51">
        <v>3.21</v>
      </c>
      <c r="BP51">
        <v>5.56</v>
      </c>
      <c r="BQ51">
        <v>2.4500000000000002</v>
      </c>
      <c r="BR51">
        <v>3</v>
      </c>
      <c r="BS51">
        <v>7.28</v>
      </c>
      <c r="BT51" t="s">
        <v>1353</v>
      </c>
      <c r="BU51" t="s">
        <v>1166</v>
      </c>
      <c r="BV51">
        <v>34.97</v>
      </c>
      <c r="BW51">
        <v>44.91</v>
      </c>
      <c r="BX51">
        <v>42.9</v>
      </c>
      <c r="BY51">
        <v>8.4600000000000009</v>
      </c>
      <c r="BZ51">
        <v>4.93</v>
      </c>
      <c r="CA51">
        <v>9.42</v>
      </c>
      <c r="CB51">
        <v>0.2</v>
      </c>
      <c r="CC51">
        <v>-7.2</v>
      </c>
      <c r="CD51" t="s">
        <v>3696</v>
      </c>
      <c r="CE51" t="s">
        <v>185</v>
      </c>
      <c r="CF51" s="8">
        <v>0.2298727980754616</v>
      </c>
      <c r="CG51" s="9">
        <v>0.26545788310692292</v>
      </c>
      <c r="CH51" s="8">
        <v>0.30076831579208374</v>
      </c>
      <c r="CI51" s="8">
        <v>5.518763791769743E-3</v>
      </c>
      <c r="CJ51" s="8">
        <v>0.15120711922645569</v>
      </c>
      <c r="CK51" s="8">
        <v>0.1405797153711319</v>
      </c>
      <c r="CL51" s="8">
        <v>0.32692307233810425</v>
      </c>
      <c r="CM51" s="9">
        <v>1.3700045347213745</v>
      </c>
      <c r="CN51" s="9">
        <v>-0.57168006896972656</v>
      </c>
      <c r="CO51" s="9">
        <v>-0.36802056431770325</v>
      </c>
      <c r="CP51" s="9">
        <v>0.16153846681118011</v>
      </c>
      <c r="CQ51" s="9">
        <v>0.2380952388048172</v>
      </c>
      <c r="CR51">
        <v>21.676331788696828</v>
      </c>
      <c r="CS51">
        <v>1.1716974273752838</v>
      </c>
      <c r="CT51">
        <v>0.89463220675944333</v>
      </c>
      <c r="CU51" s="8">
        <v>0.18499939730390907</v>
      </c>
      <c r="CV51" s="9">
        <v>0.1659875214099884</v>
      </c>
      <c r="CW51">
        <v>0.06</v>
      </c>
      <c r="CX51">
        <v>15.595379510145372</v>
      </c>
      <c r="CY51">
        <v>108295306.24126869</v>
      </c>
      <c r="CZ51">
        <v>0.18499939730390907</v>
      </c>
      <c r="DA51">
        <v>4.7066907567138863</v>
      </c>
      <c r="DB51">
        <v>358830967.93449831</v>
      </c>
      <c r="DC51">
        <v>0.17574942743871361</v>
      </c>
      <c r="DD51">
        <v>2.0756235430021071</v>
      </c>
      <c r="DE51">
        <v>813686280.29590893</v>
      </c>
      <c r="DF51">
        <v>0.16279946962743999</v>
      </c>
      <c r="DG51">
        <v>1.0954109761925137</v>
      </c>
      <c r="DH51">
        <v>1541801603.8787456</v>
      </c>
      <c r="DI51">
        <v>0.14799951784312726</v>
      </c>
      <c r="DJ51">
        <v>0.41884176529220507</v>
      </c>
      <c r="DK51">
        <v>4032325665.5690341</v>
      </c>
      <c r="DL51">
        <v>0.12949957811273635</v>
      </c>
      <c r="DM51">
        <v>96871800</v>
      </c>
      <c r="DN51">
        <v>0.18499939730390907</v>
      </c>
      <c r="DO51">
        <v>1688906400</v>
      </c>
      <c r="DP51">
        <v>1104978400</v>
      </c>
      <c r="DQ51">
        <v>1910</v>
      </c>
      <c r="DR51">
        <v>4.4873400771552524E-2</v>
      </c>
      <c r="DS51">
        <v>9.9470361696934517E-2</v>
      </c>
      <c r="DT51" s="10">
        <v>-4.0000000000000036E-2</v>
      </c>
      <c r="DU51">
        <v>2.8333333333333249E-2</v>
      </c>
      <c r="DV51">
        <v>-1.1666666666666787E-2</v>
      </c>
      <c r="DW51">
        <v>-2.0720000000000001</v>
      </c>
      <c r="DX51">
        <v>0.27639096385542306</v>
      </c>
      <c r="DY51">
        <v>-2.0083801493975906</v>
      </c>
      <c r="DZ51">
        <v>1823</v>
      </c>
      <c r="EA51">
        <v>-2.005388762604599</v>
      </c>
      <c r="EB51">
        <v>2</v>
      </c>
      <c r="EC51">
        <v>4.3445772891730169E-2</v>
      </c>
      <c r="ED51">
        <v>0.37327444891424355</v>
      </c>
      <c r="EE51" s="11">
        <v>3.4999999999999996E-3</v>
      </c>
      <c r="EF51">
        <v>9.4999999999999998E-3</v>
      </c>
      <c r="EG51">
        <v>16.116390963855423</v>
      </c>
      <c r="EH51" t="s">
        <v>1060</v>
      </c>
      <c r="EI51">
        <v>0</v>
      </c>
      <c r="EJ51">
        <v>0</v>
      </c>
      <c r="EK51" s="13">
        <v>45489</v>
      </c>
      <c r="EL51" s="14">
        <v>-1.93</v>
      </c>
      <c r="EM51" s="14">
        <v>3.83</v>
      </c>
      <c r="EN51" s="14">
        <v>-1.17</v>
      </c>
      <c r="EO51" s="14">
        <v>-1.77</v>
      </c>
      <c r="EP51" s="14">
        <v>0.6</v>
      </c>
    </row>
    <row r="52" spans="1:146" ht="96" x14ac:dyDescent="0.25">
      <c r="A52" s="7"/>
      <c r="B52" s="7"/>
      <c r="C52" s="7" t="str">
        <f>""&amp;CHAR(10)&amp;Basic_Fundamental_Information_Constructure(F52)&amp;CHAR(10)&amp;Basic_Fundamental_Information_Concatenate("")</f>
        <v xml:space="preserve">
市值27.33129亿, 利润-5869.29万; PE; 平均PE57.81; 平均PEG4.74, PB2.05; ROIC.82%; ROE.4067%; 股利率.4455%; 毛利36.6667%; 净利-4.8767%; 上一年度营收增-18.34%, 利润增-384.04%; 当季营收增-17.9%, 利润增24.42%; 过往5年营收增-12.2%, 利润增-82.45%
Income profile:
</v>
      </c>
      <c r="D52" t="s">
        <v>112</v>
      </c>
      <c r="E52" t="s">
        <v>10</v>
      </c>
      <c r="F52">
        <v>4.04</v>
      </c>
      <c r="G52">
        <v>-1.94</v>
      </c>
      <c r="H52" t="s">
        <v>3697</v>
      </c>
      <c r="I52">
        <v>2733129000</v>
      </c>
      <c r="K52">
        <v>2.0499999999999998</v>
      </c>
      <c r="L52" t="s">
        <v>1166</v>
      </c>
      <c r="M52" t="s">
        <v>465</v>
      </c>
      <c r="N52" t="s">
        <v>1670</v>
      </c>
      <c r="O52" t="s">
        <v>2509</v>
      </c>
      <c r="P52">
        <v>-17.899999999999999</v>
      </c>
      <c r="Q52" t="s">
        <v>688</v>
      </c>
      <c r="R52">
        <v>3126301</v>
      </c>
      <c r="S52" s="5">
        <v>0.24429999999999999</v>
      </c>
      <c r="T52" t="s">
        <v>2526</v>
      </c>
      <c r="U52">
        <v>491667210</v>
      </c>
      <c r="V52">
        <v>676517080</v>
      </c>
      <c r="W52">
        <v>1.06</v>
      </c>
      <c r="X52">
        <v>0.06</v>
      </c>
      <c r="Y52">
        <v>2.81</v>
      </c>
      <c r="Z52" t="s">
        <v>2510</v>
      </c>
      <c r="AA52" t="s">
        <v>2511</v>
      </c>
      <c r="AB52" t="s">
        <v>2512</v>
      </c>
      <c r="AC52" t="s">
        <v>2513</v>
      </c>
      <c r="AD52" t="s">
        <v>60</v>
      </c>
      <c r="AE52">
        <v>-2295702</v>
      </c>
      <c r="AF52" t="s">
        <v>2514</v>
      </c>
      <c r="AG52" t="s">
        <v>2515</v>
      </c>
      <c r="AH52" t="s">
        <v>2516</v>
      </c>
      <c r="AI52" t="s">
        <v>383</v>
      </c>
      <c r="AJ52" t="s">
        <v>2517</v>
      </c>
      <c r="AK52" t="s">
        <v>2518</v>
      </c>
      <c r="AL52" t="s">
        <v>2519</v>
      </c>
      <c r="AM52" t="s">
        <v>60</v>
      </c>
      <c r="AN52">
        <v>0</v>
      </c>
      <c r="AO52" t="s">
        <v>60</v>
      </c>
      <c r="AP52" t="s">
        <v>60</v>
      </c>
      <c r="AQ52" t="s">
        <v>2520</v>
      </c>
      <c r="AR52" t="s">
        <v>2521</v>
      </c>
      <c r="AS52" t="s">
        <v>2522</v>
      </c>
      <c r="AT52" t="s">
        <v>60</v>
      </c>
      <c r="AU52" t="s">
        <v>2523</v>
      </c>
      <c r="AV52" t="s">
        <v>2524</v>
      </c>
      <c r="AW52" t="s">
        <v>2525</v>
      </c>
      <c r="AX52" t="s">
        <v>902</v>
      </c>
      <c r="AY52" t="s">
        <v>195</v>
      </c>
      <c r="AZ52" t="s">
        <v>537</v>
      </c>
      <c r="BA52" t="s">
        <v>512</v>
      </c>
      <c r="BB52" t="s">
        <v>874</v>
      </c>
      <c r="BC52" t="s">
        <v>1428</v>
      </c>
      <c r="BD52" t="s">
        <v>1126</v>
      </c>
      <c r="BE52" t="s">
        <v>873</v>
      </c>
      <c r="BF52" t="s">
        <v>274</v>
      </c>
      <c r="BG52" t="s">
        <v>244</v>
      </c>
      <c r="BH52" t="s">
        <v>688</v>
      </c>
      <c r="BI52" t="s">
        <v>3698</v>
      </c>
      <c r="BJ52" t="s">
        <v>902</v>
      </c>
      <c r="BK52" t="s">
        <v>2526</v>
      </c>
      <c r="BL52" t="s">
        <v>3699</v>
      </c>
      <c r="BM52" t="s">
        <v>1428</v>
      </c>
      <c r="BN52" t="s">
        <v>60</v>
      </c>
      <c r="BO52">
        <v>0.82</v>
      </c>
      <c r="BP52" t="s">
        <v>60</v>
      </c>
      <c r="BQ52">
        <v>-1.26</v>
      </c>
      <c r="BR52">
        <v>1.45</v>
      </c>
      <c r="BS52">
        <v>1.03</v>
      </c>
      <c r="BT52" t="s">
        <v>2527</v>
      </c>
      <c r="BU52" t="s">
        <v>1166</v>
      </c>
      <c r="BV52">
        <v>28.14</v>
      </c>
      <c r="BW52">
        <v>42.59</v>
      </c>
      <c r="BX52">
        <v>39.270000000000003</v>
      </c>
      <c r="BY52">
        <v>-17.420000000000002</v>
      </c>
      <c r="BZ52">
        <v>4.26</v>
      </c>
      <c r="CA52">
        <v>-1.47</v>
      </c>
      <c r="CB52">
        <v>-9.42</v>
      </c>
      <c r="CC52">
        <v>0.5</v>
      </c>
      <c r="CD52" t="s">
        <v>500</v>
      </c>
      <c r="CE52" t="s">
        <v>3700</v>
      </c>
      <c r="CF52" s="8">
        <v>-0.1789577591000556</v>
      </c>
      <c r="CG52" s="9">
        <v>0.24424938310913</v>
      </c>
      <c r="CH52" s="8">
        <v>-0.18344518542289734</v>
      </c>
      <c r="CI52" s="8">
        <v>-0.20884956419467926</v>
      </c>
      <c r="CJ52" s="8">
        <v>0.10567514598369598</v>
      </c>
      <c r="CK52" s="8">
        <v>-0.34821429848670959</v>
      </c>
      <c r="CL52" s="8">
        <v>2.4836601689457893E-2</v>
      </c>
      <c r="CM52" s="9">
        <v>-3.8403868675231934</v>
      </c>
      <c r="CN52" s="9">
        <v>0.41083815693855286</v>
      </c>
      <c r="CO52" s="9">
        <v>0.12244991958141327</v>
      </c>
      <c r="CP52" s="9">
        <v>-0.91526877880096436</v>
      </c>
      <c r="CQ52" s="9">
        <v>0.10000000149011612</v>
      </c>
      <c r="CR52">
        <v>57.810190724436993</v>
      </c>
      <c r="CS52">
        <v>4.7385611939247969</v>
      </c>
      <c r="CT52">
        <v>0.44554455445544555</v>
      </c>
      <c r="CU52" s="8">
        <v>-0.12199946008622646</v>
      </c>
      <c r="CV52" s="9">
        <v>-0.82447351366281507</v>
      </c>
      <c r="CW52">
        <v>0.06</v>
      </c>
      <c r="CX52" t="e">
        <v>#VALUE!</v>
      </c>
      <c r="CY52" t="s">
        <v>1224</v>
      </c>
      <c r="CZ52">
        <v>-0.12199946008622646</v>
      </c>
      <c r="DA52" t="e">
        <v>#VALUE!</v>
      </c>
      <c r="DB52" t="s">
        <v>1224</v>
      </c>
      <c r="DC52">
        <v>-0.11589948708191514</v>
      </c>
      <c r="DD52" t="e">
        <v>#VALUE!</v>
      </c>
      <c r="DE52" t="s">
        <v>1224</v>
      </c>
      <c r="DF52">
        <v>-0.10735952487587928</v>
      </c>
      <c r="DG52" t="e">
        <v>#VALUE!</v>
      </c>
      <c r="DH52" t="s">
        <v>1224</v>
      </c>
      <c r="DI52">
        <v>-9.759956806898118E-2</v>
      </c>
      <c r="DJ52" t="e">
        <v>#VALUE!</v>
      </c>
      <c r="DK52" t="s">
        <v>1224</v>
      </c>
      <c r="DL52">
        <v>-8.5399622060358518E-2</v>
      </c>
      <c r="DM52">
        <v>-58692900</v>
      </c>
      <c r="DN52">
        <v>-0.12199946008622646</v>
      </c>
      <c r="DO52">
        <v>1485129000</v>
      </c>
      <c r="DP52">
        <v>840394950</v>
      </c>
      <c r="DQ52">
        <v>1918</v>
      </c>
      <c r="DR52">
        <v>-5.6958299013829136E-2</v>
      </c>
      <c r="DS52">
        <v>1.0687228967719451</v>
      </c>
      <c r="DT52" s="10">
        <v>-0.87333333333333341</v>
      </c>
      <c r="DU52">
        <v>-1.2733333333333332</v>
      </c>
      <c r="DV52">
        <v>-2.1466666666666665</v>
      </c>
      <c r="DW52">
        <v>-5.0530785562632694</v>
      </c>
      <c r="DX52">
        <v>0.35792022792022771</v>
      </c>
      <c r="DY52">
        <v>-5.0120976766412006</v>
      </c>
      <c r="DZ52">
        <v>4474</v>
      </c>
      <c r="EA52">
        <v>-5.0014994770538239</v>
      </c>
      <c r="EB52">
        <v>5</v>
      </c>
      <c r="EC52">
        <v>0.35475822724239275</v>
      </c>
      <c r="ED52">
        <v>1.556501722025998</v>
      </c>
      <c r="EE52" s="11">
        <v>-1.1382099999999999</v>
      </c>
      <c r="EF52">
        <v>-2.0076100000000001</v>
      </c>
      <c r="EG52">
        <v>13.227920227920228</v>
      </c>
      <c r="EH52" t="s">
        <v>1399</v>
      </c>
      <c r="EI52">
        <v>0</v>
      </c>
      <c r="EJ52">
        <v>0</v>
      </c>
      <c r="EK52" s="13">
        <v>45489</v>
      </c>
      <c r="EL52" s="14">
        <v>-1.8</v>
      </c>
      <c r="EM52" s="14">
        <v>0.88</v>
      </c>
      <c r="EN52" s="14">
        <v>-4.5599999999999996</v>
      </c>
      <c r="EO52" s="14">
        <v>-6.36</v>
      </c>
      <c r="EP52" s="14">
        <v>-1.94</v>
      </c>
    </row>
    <row r="53" spans="1:146" ht="108" x14ac:dyDescent="0.25">
      <c r="A53" s="7"/>
      <c r="B53" s="7"/>
      <c r="C53" s="7" t="str">
        <f>""&amp;CHAR(10)&amp;Basic_Fundamental_Information_Constructure(F53)&amp;CHAR(10)&amp;Basic_Fundamental_Information_Concatenate("")</f>
        <v xml:space="preserve">
市值216.37499亿, 利润4.66亿; PE55.69; 平均PE47.61; 平均PEG1.55, PB2.25; ROIC8.54%; ROE10.79%; 股利率.5284%; 毛利38.5467%; 净利12.0367%; 上一年度营收增-3.73%, 利润增-39.4%; 当季营收增1.03%, 利润增-45.98%; 过往5年营收增30.76%, 利润增31.35%
Income profile:
</v>
      </c>
      <c r="D53" t="s">
        <v>89</v>
      </c>
      <c r="E53" t="s">
        <v>18</v>
      </c>
      <c r="F53">
        <v>47.12</v>
      </c>
      <c r="G53">
        <v>1.1399999999999999</v>
      </c>
      <c r="H53" t="s">
        <v>3701</v>
      </c>
      <c r="I53">
        <v>21637499000</v>
      </c>
      <c r="J53">
        <v>55.69</v>
      </c>
      <c r="K53">
        <v>2.25</v>
      </c>
      <c r="L53" t="s">
        <v>1166</v>
      </c>
      <c r="M53" t="s">
        <v>2528</v>
      </c>
      <c r="N53" t="s">
        <v>2529</v>
      </c>
      <c r="O53" t="s">
        <v>1716</v>
      </c>
      <c r="P53">
        <v>1.01</v>
      </c>
      <c r="Q53" t="s">
        <v>2541</v>
      </c>
      <c r="R53">
        <v>90759095</v>
      </c>
      <c r="S53" s="5">
        <v>-0.46100000000000002</v>
      </c>
      <c r="T53" t="s">
        <v>316</v>
      </c>
      <c r="U53">
        <v>366282180</v>
      </c>
      <c r="V53">
        <v>459199890</v>
      </c>
      <c r="W53">
        <v>1.18</v>
      </c>
      <c r="X53">
        <v>0.1</v>
      </c>
      <c r="Y53">
        <v>6.76</v>
      </c>
      <c r="Z53" t="s">
        <v>1306</v>
      </c>
      <c r="AA53" t="s">
        <v>320</v>
      </c>
      <c r="AB53" t="s">
        <v>2530</v>
      </c>
      <c r="AC53" t="s">
        <v>296</v>
      </c>
      <c r="AD53" t="s">
        <v>60</v>
      </c>
      <c r="AE53">
        <v>-19145172</v>
      </c>
      <c r="AF53" t="s">
        <v>2531</v>
      </c>
      <c r="AG53" t="s">
        <v>2532</v>
      </c>
      <c r="AH53" t="s">
        <v>2533</v>
      </c>
      <c r="AI53" t="s">
        <v>1601</v>
      </c>
      <c r="AJ53" t="s">
        <v>2534</v>
      </c>
      <c r="AK53" t="s">
        <v>2535</v>
      </c>
      <c r="AL53" t="s">
        <v>2536</v>
      </c>
      <c r="AM53" t="s">
        <v>60</v>
      </c>
      <c r="AN53" t="s">
        <v>1457</v>
      </c>
      <c r="AO53" t="s">
        <v>2537</v>
      </c>
      <c r="AP53" t="s">
        <v>2538</v>
      </c>
      <c r="AQ53" t="s">
        <v>529</v>
      </c>
      <c r="AR53" t="s">
        <v>60</v>
      </c>
      <c r="AS53" t="s">
        <v>2539</v>
      </c>
      <c r="AT53" t="s">
        <v>60</v>
      </c>
      <c r="AU53" t="s">
        <v>283</v>
      </c>
      <c r="AV53" t="s">
        <v>1481</v>
      </c>
      <c r="AW53" t="s">
        <v>2540</v>
      </c>
      <c r="AX53" t="s">
        <v>713</v>
      </c>
      <c r="AY53" t="s">
        <v>1128</v>
      </c>
      <c r="AZ53" t="s">
        <v>728</v>
      </c>
      <c r="BA53" t="s">
        <v>384</v>
      </c>
      <c r="BB53" t="s">
        <v>880</v>
      </c>
      <c r="BC53" t="s">
        <v>1237</v>
      </c>
      <c r="BD53" t="s">
        <v>504</v>
      </c>
      <c r="BE53" t="s">
        <v>879</v>
      </c>
      <c r="BF53" t="s">
        <v>460</v>
      </c>
      <c r="BG53" t="s">
        <v>283</v>
      </c>
      <c r="BH53" t="s">
        <v>2541</v>
      </c>
      <c r="BI53" t="s">
        <v>3702</v>
      </c>
      <c r="BJ53" t="s">
        <v>713</v>
      </c>
      <c r="BK53" t="s">
        <v>316</v>
      </c>
      <c r="BL53" t="s">
        <v>182</v>
      </c>
      <c r="BM53" t="s">
        <v>1237</v>
      </c>
      <c r="BN53">
        <v>4.88</v>
      </c>
      <c r="BO53">
        <v>9.1199999999999992</v>
      </c>
      <c r="BP53">
        <v>11.62</v>
      </c>
      <c r="BQ53">
        <v>6.5</v>
      </c>
      <c r="BR53">
        <v>12.19</v>
      </c>
      <c r="BS53">
        <v>13.68</v>
      </c>
      <c r="BT53" t="s">
        <v>2542</v>
      </c>
      <c r="BU53" t="s">
        <v>1166</v>
      </c>
      <c r="BV53">
        <v>36.950000000000003</v>
      </c>
      <c r="BW53">
        <v>39.29</v>
      </c>
      <c r="BX53">
        <v>39.4</v>
      </c>
      <c r="BY53">
        <v>7.53</v>
      </c>
      <c r="BZ53">
        <v>13.31</v>
      </c>
      <c r="CA53">
        <v>15.27</v>
      </c>
      <c r="CB53">
        <v>8.4</v>
      </c>
      <c r="CC53">
        <v>-19.18</v>
      </c>
      <c r="CD53" t="s">
        <v>264</v>
      </c>
      <c r="CE53" t="s">
        <v>675</v>
      </c>
      <c r="CF53" s="8">
        <v>1.0291595197255575E-2</v>
      </c>
      <c r="CG53" s="9">
        <v>-0.45976729166666669</v>
      </c>
      <c r="CH53" s="8">
        <v>-3.728196769952774E-2</v>
      </c>
      <c r="CI53" s="8">
        <v>0.31936034560203552</v>
      </c>
      <c r="CJ53" s="8">
        <v>0.57039576768875122</v>
      </c>
      <c r="CK53" s="8">
        <v>0.43842360377311707</v>
      </c>
      <c r="CL53" s="8">
        <v>0.24709907174110413</v>
      </c>
      <c r="CM53" s="9">
        <v>-0.39401820302009583</v>
      </c>
      <c r="CN53" s="9">
        <v>0.18856260180473328</v>
      </c>
      <c r="CO53" s="9">
        <v>0.46049660444259644</v>
      </c>
      <c r="CP53" s="9">
        <v>0.86134451627731323</v>
      </c>
      <c r="CQ53" s="9">
        <v>0.45121949911117554</v>
      </c>
      <c r="CR53">
        <v>47.607258525852586</v>
      </c>
      <c r="CS53">
        <v>1.5477034111043702</v>
      </c>
      <c r="CT53">
        <v>0.52843803056027172</v>
      </c>
      <c r="CU53" s="8">
        <v>0.30759936422109602</v>
      </c>
      <c r="CV53" s="9">
        <v>0.31352100372314451</v>
      </c>
      <c r="CW53">
        <v>0.06</v>
      </c>
      <c r="CX53">
        <v>23.453931077027729</v>
      </c>
      <c r="CY53">
        <v>574850286.53493476</v>
      </c>
      <c r="CZ53">
        <v>0.30759936422109602</v>
      </c>
      <c r="DA53">
        <v>6.4053116318283507</v>
      </c>
      <c r="DB53">
        <v>2104893528.2094178</v>
      </c>
      <c r="DC53">
        <v>0.29221939601004121</v>
      </c>
      <c r="DD53">
        <v>2.4381467263685144</v>
      </c>
      <c r="DE53">
        <v>5529814450.5361423</v>
      </c>
      <c r="DF53">
        <v>0.2706874405145645</v>
      </c>
      <c r="DG53">
        <v>1.0695360617135661</v>
      </c>
      <c r="DH53">
        <v>12605932125.74703</v>
      </c>
      <c r="DI53">
        <v>0.24607949137687682</v>
      </c>
      <c r="DJ53">
        <v>0.25666935936054019</v>
      </c>
      <c r="DK53">
        <v>52528665804.091187</v>
      </c>
      <c r="DL53">
        <v>0.21531955495476721</v>
      </c>
      <c r="DM53">
        <v>466000000</v>
      </c>
      <c r="DN53">
        <v>0.30759936422109602</v>
      </c>
      <c r="DO53">
        <v>13482499000</v>
      </c>
      <c r="DP53">
        <v>6012358400</v>
      </c>
      <c r="DQ53">
        <v>1966</v>
      </c>
      <c r="DR53">
        <v>-0.29730776902384043</v>
      </c>
      <c r="DS53">
        <v>-0.77328829538981125</v>
      </c>
      <c r="DT53" s="10">
        <v>5.9999999999999908E-2</v>
      </c>
      <c r="DU53">
        <v>0.22999999999999995</v>
      </c>
      <c r="DV53">
        <v>0.28999999999999987</v>
      </c>
      <c r="DW53">
        <v>7.3045685279187822</v>
      </c>
      <c r="DX53">
        <v>0.31506410256410222</v>
      </c>
      <c r="DY53">
        <v>7.0502733307301835</v>
      </c>
      <c r="DZ53">
        <v>1156</v>
      </c>
      <c r="EA53">
        <v>7.0388936615850701</v>
      </c>
      <c r="EB53">
        <v>7</v>
      </c>
      <c r="EC53">
        <v>0.2243031896196665</v>
      </c>
      <c r="ED53">
        <v>1.3588853429385621</v>
      </c>
      <c r="EE53" s="11">
        <v>-9.1259099999999993</v>
      </c>
      <c r="EF53">
        <v>-9.1145099999999992</v>
      </c>
      <c r="EG53">
        <v>15.165064102564102</v>
      </c>
      <c r="EH53" t="s">
        <v>3703</v>
      </c>
      <c r="EI53">
        <v>1</v>
      </c>
      <c r="EJ53">
        <v>1</v>
      </c>
      <c r="EK53" s="13">
        <v>45489</v>
      </c>
      <c r="EL53" s="14">
        <v>0</v>
      </c>
      <c r="EM53" s="14">
        <v>1.97</v>
      </c>
      <c r="EN53" s="14">
        <v>0.44</v>
      </c>
      <c r="EO53" s="14">
        <v>-2.65</v>
      </c>
      <c r="EP53" s="14">
        <v>1.1399999999999999</v>
      </c>
    </row>
    <row r="54" spans="1:146" ht="96" x14ac:dyDescent="0.25">
      <c r="A54" s="7"/>
      <c r="B54" s="7"/>
      <c r="C54" s="7" t="str">
        <f>""&amp;CHAR(10)&amp;Basic_Fundamental_Information_Constructure(F54)&amp;CHAR(10)&amp;Basic_Fundamental_Information_Concatenate("")</f>
        <v xml:space="preserve">
市值39.641454亿, 利润7964.17万; PE276.4; 平均PE85.11; 平均PEG4.24, PB2.72; ROIC3.83%; ROE-3.1233%; 股利率0%; 毛利40.3%; 净利.0767%; 上一年度营收增-5.92%, 利润增1056.54%; 当季营收增-51.5%, 利润增-867.37%; 过往5年营收增20.06%, 利润增170.65%
Income profile:
</v>
      </c>
      <c r="D54" t="s">
        <v>76</v>
      </c>
      <c r="E54" t="s">
        <v>22</v>
      </c>
      <c r="F54">
        <v>17.04</v>
      </c>
      <c r="G54">
        <v>-1.84</v>
      </c>
      <c r="H54" t="s">
        <v>3704</v>
      </c>
      <c r="I54">
        <v>3964145400</v>
      </c>
      <c r="J54">
        <v>276.39999999999998</v>
      </c>
      <c r="K54">
        <v>2.72</v>
      </c>
      <c r="L54" t="s">
        <v>1166</v>
      </c>
      <c r="M54" t="s">
        <v>2543</v>
      </c>
      <c r="N54" t="s">
        <v>2544</v>
      </c>
      <c r="O54" t="s">
        <v>180</v>
      </c>
      <c r="P54">
        <v>-51.6</v>
      </c>
      <c r="Q54" t="s">
        <v>2556</v>
      </c>
      <c r="R54">
        <v>-57770513</v>
      </c>
      <c r="S54" s="5">
        <v>-8.6739999999999995</v>
      </c>
      <c r="T54" t="s">
        <v>2557</v>
      </c>
      <c r="U54">
        <v>232358460</v>
      </c>
      <c r="V54">
        <v>232637640</v>
      </c>
      <c r="W54">
        <v>2.38</v>
      </c>
      <c r="X54">
        <v>0.03</v>
      </c>
      <c r="Y54">
        <v>-45.97</v>
      </c>
      <c r="Z54" t="s">
        <v>251</v>
      </c>
      <c r="AA54" t="s">
        <v>2545</v>
      </c>
      <c r="AB54" t="s">
        <v>2546</v>
      </c>
      <c r="AC54" t="s">
        <v>2547</v>
      </c>
      <c r="AD54" t="s">
        <v>60</v>
      </c>
      <c r="AE54">
        <v>6367142</v>
      </c>
      <c r="AF54" t="s">
        <v>2548</v>
      </c>
      <c r="AG54" t="s">
        <v>2549</v>
      </c>
      <c r="AH54" t="s">
        <v>2550</v>
      </c>
      <c r="AI54" t="s">
        <v>1596</v>
      </c>
      <c r="AJ54" t="s">
        <v>2551</v>
      </c>
      <c r="AK54" t="s">
        <v>2552</v>
      </c>
      <c r="AL54" t="s">
        <v>2553</v>
      </c>
      <c r="AM54" t="s">
        <v>60</v>
      </c>
      <c r="AN54">
        <v>0</v>
      </c>
      <c r="AO54" t="s">
        <v>1127</v>
      </c>
      <c r="AP54" t="s">
        <v>402</v>
      </c>
      <c r="AQ54" t="s">
        <v>881</v>
      </c>
      <c r="AR54" t="s">
        <v>60</v>
      </c>
      <c r="AS54" t="s">
        <v>1273</v>
      </c>
      <c r="AT54" t="s">
        <v>60</v>
      </c>
      <c r="AU54" t="s">
        <v>1303</v>
      </c>
      <c r="AV54" t="s">
        <v>2554</v>
      </c>
      <c r="AW54" t="s">
        <v>2555</v>
      </c>
      <c r="AX54" t="s">
        <v>1430</v>
      </c>
      <c r="AY54" t="s">
        <v>943</v>
      </c>
      <c r="AZ54" t="s">
        <v>623</v>
      </c>
      <c r="BA54" t="s">
        <v>199</v>
      </c>
      <c r="BB54" t="s">
        <v>883</v>
      </c>
      <c r="BC54" t="s">
        <v>1431</v>
      </c>
      <c r="BD54" t="s">
        <v>699</v>
      </c>
      <c r="BE54" t="s">
        <v>882</v>
      </c>
      <c r="BF54" t="s">
        <v>454</v>
      </c>
      <c r="BG54" t="s">
        <v>441</v>
      </c>
      <c r="BH54" t="s">
        <v>2556</v>
      </c>
      <c r="BI54" t="s">
        <v>642</v>
      </c>
      <c r="BJ54" t="s">
        <v>1430</v>
      </c>
      <c r="BK54" t="s">
        <v>2557</v>
      </c>
      <c r="BL54" t="s">
        <v>3705</v>
      </c>
      <c r="BM54" t="s">
        <v>1431</v>
      </c>
      <c r="BN54">
        <v>2.7</v>
      </c>
      <c r="BO54">
        <v>4.96</v>
      </c>
      <c r="BP54" t="s">
        <v>60</v>
      </c>
      <c r="BQ54">
        <v>0.77</v>
      </c>
      <c r="BR54">
        <v>0.48</v>
      </c>
      <c r="BS54">
        <v>-10.62</v>
      </c>
      <c r="BT54" t="s">
        <v>1343</v>
      </c>
      <c r="BU54" t="s">
        <v>1166</v>
      </c>
      <c r="BV54">
        <v>40.61</v>
      </c>
      <c r="BW54">
        <v>43.38</v>
      </c>
      <c r="BX54">
        <v>36.909999999999997</v>
      </c>
      <c r="BY54">
        <v>4.88</v>
      </c>
      <c r="BZ54">
        <v>3.91</v>
      </c>
      <c r="CA54">
        <v>-8.56</v>
      </c>
      <c r="CB54">
        <v>0.71</v>
      </c>
      <c r="CC54">
        <v>-0.99</v>
      </c>
      <c r="CD54" t="s">
        <v>3706</v>
      </c>
      <c r="CE54" t="s">
        <v>3707</v>
      </c>
      <c r="CF54" s="8">
        <v>-0.51503759398496241</v>
      </c>
      <c r="CG54" s="9">
        <v>-8.6736774082142283</v>
      </c>
      <c r="CH54" s="8">
        <v>-5.9191379696130753E-2</v>
      </c>
      <c r="CI54" s="8">
        <v>0.55880439281463623</v>
      </c>
      <c r="CJ54" s="8">
        <v>-6.7272685468196869E-2</v>
      </c>
      <c r="CK54" s="8">
        <v>5.4313141852617264E-2</v>
      </c>
      <c r="CL54" s="8">
        <v>0.51647281646728516</v>
      </c>
      <c r="CM54" s="9">
        <v>10.56540584564209</v>
      </c>
      <c r="CN54" s="9">
        <v>1.0433094501495361</v>
      </c>
      <c r="CO54" s="9">
        <v>-2.7293963432312012</v>
      </c>
      <c r="CP54" s="9">
        <v>-0.25855162739753723</v>
      </c>
      <c r="CQ54" s="9">
        <v>-8.8235296308994293E-2</v>
      </c>
      <c r="CR54">
        <v>85.107829711862749</v>
      </c>
      <c r="CS54">
        <v>4.2421293760410004</v>
      </c>
      <c r="CT54">
        <v>0</v>
      </c>
      <c r="CU54" s="8">
        <v>0.2006252571940422</v>
      </c>
      <c r="CV54" s="9">
        <v>1.7065064057707786</v>
      </c>
      <c r="CW54">
        <v>0.06</v>
      </c>
      <c r="CX54">
        <v>51.83771802017425</v>
      </c>
      <c r="CY54">
        <v>90207392.967802584</v>
      </c>
      <c r="CZ54">
        <v>0.2006252571940422</v>
      </c>
      <c r="DA54">
        <v>15.443959661509849</v>
      </c>
      <c r="DB54">
        <v>302781508.27174884</v>
      </c>
      <c r="DC54">
        <v>0.19059399433434007</v>
      </c>
      <c r="DD54">
        <v>6.6859158336426239</v>
      </c>
      <c r="DE54">
        <v>699402373.04069388</v>
      </c>
      <c r="DF54">
        <v>0.17655022633075715</v>
      </c>
      <c r="DG54">
        <v>3.4497054859079026</v>
      </c>
      <c r="DH54">
        <v>1355520179.6507332</v>
      </c>
      <c r="DI54">
        <v>0.16050020575523377</v>
      </c>
      <c r="DJ54">
        <v>1.2480111291434193</v>
      </c>
      <c r="DK54">
        <v>3746877965.1103783</v>
      </c>
      <c r="DL54">
        <v>0.14043768003582954</v>
      </c>
      <c r="DM54">
        <v>79641700</v>
      </c>
      <c r="DN54">
        <v>0.2006252571940422</v>
      </c>
      <c r="DO54">
        <v>4676145400</v>
      </c>
      <c r="DP54">
        <v>1110043000</v>
      </c>
      <c r="DQ54">
        <v>1993</v>
      </c>
      <c r="DR54">
        <v>-0.71566285117900463</v>
      </c>
      <c r="DS54">
        <v>-10.380183813985006</v>
      </c>
      <c r="DT54" s="10">
        <v>-0.19000000000000003</v>
      </c>
      <c r="DU54">
        <v>-1.0983333333333334</v>
      </c>
      <c r="DV54">
        <v>-1.2883333333333333</v>
      </c>
      <c r="DW54">
        <v>-9.8999999999999991E-3</v>
      </c>
      <c r="DX54">
        <v>0.40582459364681911</v>
      </c>
      <c r="DY54">
        <v>-2.6316634771035171E-3</v>
      </c>
      <c r="DZ54">
        <v>3869</v>
      </c>
      <c r="EA54">
        <v>-6.3794779413631371E-4</v>
      </c>
      <c r="EB54">
        <v>0</v>
      </c>
      <c r="EC54">
        <v>8.1690134064289849E-2</v>
      </c>
      <c r="ED54">
        <v>0.3073083960102071</v>
      </c>
      <c r="EE54" s="11">
        <v>8.0925999999999991</v>
      </c>
      <c r="EF54">
        <v>8.0741999999999994</v>
      </c>
      <c r="EG54">
        <v>14.265824593646819</v>
      </c>
      <c r="EH54" t="s">
        <v>3708</v>
      </c>
      <c r="EI54">
        <v>0</v>
      </c>
      <c r="EJ54">
        <v>0</v>
      </c>
      <c r="EK54" s="13">
        <v>45489</v>
      </c>
      <c r="EL54" s="14">
        <v>-2.77</v>
      </c>
      <c r="EM54" s="14">
        <v>3.08</v>
      </c>
      <c r="EN54" s="14">
        <v>-1.63</v>
      </c>
      <c r="EO54" s="14">
        <v>-0.56999999999999995</v>
      </c>
      <c r="EP54" s="14">
        <v>-1.84</v>
      </c>
    </row>
    <row r="55" spans="1:146" ht="108" x14ac:dyDescent="0.25">
      <c r="A55" s="7"/>
      <c r="B55" s="7"/>
      <c r="C55" s="7" t="str">
        <f>""&amp;CHAR(10)&amp;Basic_Fundamental_Information_Constructure(F55)&amp;CHAR(10)&amp;Basic_Fundamental_Information_Concatenate("")</f>
        <v xml:space="preserve">
市值36.297062亿, 利润3.88亿; PE9.21; 平均PE25.21; 平均PEG.5, PB2.08; ROIC16.42%; ROE17.0467%; 股利率2.5641%; 毛利26.7667%; 净利9.7133%; 上一年度营收增26.61%, 利润增50.39%; 当季营收增6.22%, 利润增6.2%; 过往5年营收增50.24%, 利润增94.3%
Income profile:
</v>
      </c>
      <c r="D55" t="s">
        <v>81</v>
      </c>
      <c r="E55" t="s">
        <v>12</v>
      </c>
      <c r="F55">
        <v>11.7</v>
      </c>
      <c r="G55">
        <v>-0.09</v>
      </c>
      <c r="H55" t="s">
        <v>3709</v>
      </c>
      <c r="I55">
        <v>3629706200</v>
      </c>
      <c r="J55">
        <v>9.2100000000000009</v>
      </c>
      <c r="K55">
        <v>2.08</v>
      </c>
      <c r="L55" t="s">
        <v>1166</v>
      </c>
      <c r="M55" t="s">
        <v>2558</v>
      </c>
      <c r="N55" t="s">
        <v>2559</v>
      </c>
      <c r="O55" t="s">
        <v>1237</v>
      </c>
      <c r="P55">
        <v>6.13</v>
      </c>
      <c r="Q55" t="s">
        <v>1662</v>
      </c>
      <c r="R55">
        <v>98032891</v>
      </c>
      <c r="S55" s="5">
        <v>6.2E-2</v>
      </c>
      <c r="T55" t="s">
        <v>817</v>
      </c>
      <c r="U55">
        <v>295182680</v>
      </c>
      <c r="V55">
        <v>310231300</v>
      </c>
      <c r="W55">
        <v>2.76</v>
      </c>
      <c r="X55">
        <v>0.15</v>
      </c>
      <c r="Y55">
        <v>12.75</v>
      </c>
      <c r="Z55" t="s">
        <v>2560</v>
      </c>
      <c r="AA55" t="s">
        <v>1982</v>
      </c>
      <c r="AB55" t="s">
        <v>2561</v>
      </c>
      <c r="AC55" t="s">
        <v>2562</v>
      </c>
      <c r="AD55" t="s">
        <v>60</v>
      </c>
      <c r="AE55">
        <v>-3185114</v>
      </c>
      <c r="AF55" t="s">
        <v>2563</v>
      </c>
      <c r="AG55">
        <v>2941.11</v>
      </c>
      <c r="AH55" t="s">
        <v>2564</v>
      </c>
      <c r="AI55" t="s">
        <v>795</v>
      </c>
      <c r="AJ55" t="s">
        <v>2565</v>
      </c>
      <c r="AK55" t="s">
        <v>2566</v>
      </c>
      <c r="AL55" t="s">
        <v>2567</v>
      </c>
      <c r="AM55" t="s">
        <v>60</v>
      </c>
      <c r="AN55">
        <v>0</v>
      </c>
      <c r="AO55" t="s">
        <v>308</v>
      </c>
      <c r="AP55" t="s">
        <v>404</v>
      </c>
      <c r="AQ55" t="s">
        <v>1840</v>
      </c>
      <c r="AR55" t="s">
        <v>60</v>
      </c>
      <c r="AS55" t="s">
        <v>1692</v>
      </c>
      <c r="AT55" t="s">
        <v>60</v>
      </c>
      <c r="AU55" t="s">
        <v>2568</v>
      </c>
      <c r="AV55" t="s">
        <v>1698</v>
      </c>
      <c r="AW55" t="s">
        <v>2569</v>
      </c>
      <c r="AX55" t="s">
        <v>776</v>
      </c>
      <c r="AY55" t="s">
        <v>1129</v>
      </c>
      <c r="AZ55" t="s">
        <v>884</v>
      </c>
      <c r="BA55" t="s">
        <v>277</v>
      </c>
      <c r="BB55" t="s">
        <v>665</v>
      </c>
      <c r="BC55" t="s">
        <v>330</v>
      </c>
      <c r="BD55" t="s">
        <v>1130</v>
      </c>
      <c r="BE55" t="s">
        <v>885</v>
      </c>
      <c r="BF55" t="s">
        <v>531</v>
      </c>
      <c r="BG55" t="s">
        <v>887</v>
      </c>
      <c r="BH55" t="s">
        <v>1662</v>
      </c>
      <c r="BI55" t="s">
        <v>468</v>
      </c>
      <c r="BJ55" t="s">
        <v>776</v>
      </c>
      <c r="BK55" t="s">
        <v>817</v>
      </c>
      <c r="BL55" t="s">
        <v>3710</v>
      </c>
      <c r="BM55" t="s">
        <v>330</v>
      </c>
      <c r="BN55">
        <v>21.07</v>
      </c>
      <c r="BO55">
        <v>19.93</v>
      </c>
      <c r="BP55">
        <v>8.26</v>
      </c>
      <c r="BQ55">
        <v>21.2</v>
      </c>
      <c r="BR55">
        <v>20.13</v>
      </c>
      <c r="BS55">
        <v>9.81</v>
      </c>
      <c r="BT55" t="s">
        <v>1349</v>
      </c>
      <c r="BU55" t="s">
        <v>1166</v>
      </c>
      <c r="BV55">
        <v>28.27</v>
      </c>
      <c r="BW55">
        <v>27.72</v>
      </c>
      <c r="BX55">
        <v>24.31</v>
      </c>
      <c r="BY55">
        <v>12.71</v>
      </c>
      <c r="BZ55">
        <v>10.69</v>
      </c>
      <c r="CA55">
        <v>5.74</v>
      </c>
      <c r="CB55">
        <v>0.52</v>
      </c>
      <c r="CC55">
        <v>-11.5</v>
      </c>
      <c r="CD55" t="s">
        <v>3711</v>
      </c>
      <c r="CE55" t="s">
        <v>371</v>
      </c>
      <c r="CF55" s="8">
        <v>6.2154696132596686E-2</v>
      </c>
      <c r="CG55" s="9">
        <v>6.1981480057154606E-2</v>
      </c>
      <c r="CH55" s="8">
        <v>0.26605892181396484</v>
      </c>
      <c r="CI55" s="8">
        <v>0.51001244783401489</v>
      </c>
      <c r="CJ55" s="8">
        <v>0.71827954053878784</v>
      </c>
      <c r="CK55" s="8">
        <v>0.30617976188659668</v>
      </c>
      <c r="CL55" s="8">
        <v>0.71153843402862549</v>
      </c>
      <c r="CM55" s="9">
        <v>0.5038759708404541</v>
      </c>
      <c r="CN55" s="9">
        <v>1.8147103786468506</v>
      </c>
      <c r="CO55" s="9">
        <v>0.5152355432510376</v>
      </c>
      <c r="CP55" s="9">
        <v>0.2731422483921051</v>
      </c>
      <c r="CQ55" s="9">
        <v>1.6078661680221558</v>
      </c>
      <c r="CR55">
        <v>25.209531780124529</v>
      </c>
      <c r="CS55">
        <v>0.50176827776928656</v>
      </c>
      <c r="CT55">
        <v>2.5641025641025643</v>
      </c>
      <c r="CU55" s="8">
        <v>0.5024138212203979</v>
      </c>
      <c r="CV55" s="9">
        <v>0.94296606183052067</v>
      </c>
      <c r="CW55">
        <v>0.06</v>
      </c>
      <c r="CX55">
        <v>9.7641646396066371</v>
      </c>
      <c r="CY55">
        <v>549940153.42784369</v>
      </c>
      <c r="CZ55">
        <v>0.5024138212203979</v>
      </c>
      <c r="DA55">
        <v>2.2901770530418086</v>
      </c>
      <c r="DB55">
        <v>2344668589.2114615</v>
      </c>
      <c r="DC55">
        <v>0.47729313015937797</v>
      </c>
      <c r="DD55">
        <v>0.68654781525481567</v>
      </c>
      <c r="DE55">
        <v>7821314234.3290491</v>
      </c>
      <c r="DF55">
        <v>0.44212416267395016</v>
      </c>
      <c r="DG55">
        <v>0.21952663948638257</v>
      </c>
      <c r="DH55">
        <v>24460385366.273907</v>
      </c>
      <c r="DI55">
        <v>0.40193105697631837</v>
      </c>
      <c r="DJ55">
        <v>2.3286996422767197E-2</v>
      </c>
      <c r="DK55">
        <v>230588183315.48132</v>
      </c>
      <c r="DL55">
        <v>0.35168967485427849</v>
      </c>
      <c r="DM55">
        <v>388000000</v>
      </c>
      <c r="DN55">
        <v>0.5024138212203979</v>
      </c>
      <c r="DO55">
        <v>5369706200</v>
      </c>
      <c r="DP55">
        <v>1484191700</v>
      </c>
      <c r="DQ55">
        <v>2000</v>
      </c>
      <c r="DR55">
        <v>-0.44025912508780124</v>
      </c>
      <c r="DS55">
        <v>-0.88098458177336603</v>
      </c>
      <c r="DT55" s="10">
        <v>0.46</v>
      </c>
      <c r="DU55">
        <v>0.98333333333333339</v>
      </c>
      <c r="DV55">
        <v>1.4433333333333334</v>
      </c>
      <c r="DW55">
        <v>-2.1150000000000002</v>
      </c>
      <c r="DX55">
        <v>0.35352542372881413</v>
      </c>
      <c r="DY55">
        <v>-2.0165054237288134</v>
      </c>
      <c r="DZ55">
        <v>69</v>
      </c>
      <c r="EA55">
        <v>-2.0162824211368244</v>
      </c>
      <c r="EB55">
        <v>2</v>
      </c>
      <c r="EC55">
        <v>5.459152574224458E-2</v>
      </c>
      <c r="ED55">
        <v>0.38036136263491144</v>
      </c>
      <c r="EE55" s="11">
        <v>-6.0419</v>
      </c>
      <c r="EF55">
        <v>-6.0410000000000004</v>
      </c>
      <c r="EG55">
        <v>21.143525423728814</v>
      </c>
      <c r="EH55" t="s">
        <v>1640</v>
      </c>
      <c r="EI55">
        <v>0</v>
      </c>
      <c r="EJ55">
        <v>1</v>
      </c>
      <c r="EK55" s="13">
        <v>45489</v>
      </c>
      <c r="EL55" s="14">
        <v>-0.66</v>
      </c>
      <c r="EM55" s="14">
        <v>4.3899999999999997</v>
      </c>
      <c r="EN55" s="14">
        <v>-1.48</v>
      </c>
      <c r="EO55" s="14">
        <v>-2.0099999999999998</v>
      </c>
      <c r="EP55" s="14">
        <v>-0.09</v>
      </c>
    </row>
    <row r="56" spans="1:146" ht="108" x14ac:dyDescent="0.25">
      <c r="A56" s="7"/>
      <c r="B56" s="7"/>
      <c r="C56" s="7" t="str">
        <f>""&amp;CHAR(10)&amp;Basic_Fundamental_Information_Constructure(F56)&amp;CHAR(10)&amp;Basic_Fundamental_Information_Concatenate("")</f>
        <v xml:space="preserve">
市值35.005622亿, 利润1.58亿; PE23.78; 平均PE30.84; 平均PEG1.13, PB2.13; ROIC8.7267%; ROE10.44%; 股利率1.4742%; 毛利14.4867%; 净利4.5167%; 上一年度营收增-2.39%, 利润增47.66%; 当季营收增2.43%, 利润增-139.73%; 过往5年营收增27.19%, 利润增32.49%
Income profile:
</v>
      </c>
      <c r="D56" t="s">
        <v>94</v>
      </c>
      <c r="E56" t="s">
        <v>19</v>
      </c>
      <c r="F56">
        <v>8.14</v>
      </c>
      <c r="G56">
        <v>0.37</v>
      </c>
      <c r="H56" t="s">
        <v>3712</v>
      </c>
      <c r="I56">
        <v>3500562200</v>
      </c>
      <c r="J56">
        <v>23.78</v>
      </c>
      <c r="K56">
        <v>2.13</v>
      </c>
      <c r="L56" t="s">
        <v>1166</v>
      </c>
      <c r="M56" t="s">
        <v>2570</v>
      </c>
      <c r="N56" t="s">
        <v>1599</v>
      </c>
      <c r="O56" t="s">
        <v>292</v>
      </c>
      <c r="P56">
        <v>2.2799999999999998</v>
      </c>
      <c r="Q56" t="s">
        <v>2582</v>
      </c>
      <c r="R56">
        <v>-3037168</v>
      </c>
      <c r="S56" s="5">
        <v>-1.397</v>
      </c>
      <c r="T56" t="s">
        <v>438</v>
      </c>
      <c r="U56">
        <v>365209060</v>
      </c>
      <c r="V56">
        <v>430044490</v>
      </c>
      <c r="W56">
        <v>1.45</v>
      </c>
      <c r="X56">
        <v>0.15</v>
      </c>
      <c r="Y56">
        <v>-0.8</v>
      </c>
      <c r="Z56" t="s">
        <v>817</v>
      </c>
      <c r="AA56" t="s">
        <v>722</v>
      </c>
      <c r="AB56" t="s">
        <v>2571</v>
      </c>
      <c r="AC56" t="s">
        <v>2572</v>
      </c>
      <c r="AD56" t="s">
        <v>60</v>
      </c>
      <c r="AE56">
        <v>1206835</v>
      </c>
      <c r="AF56" t="s">
        <v>2573</v>
      </c>
      <c r="AG56" t="s">
        <v>2574</v>
      </c>
      <c r="AH56" t="s">
        <v>2575</v>
      </c>
      <c r="AI56" t="s">
        <v>182</v>
      </c>
      <c r="AJ56" t="s">
        <v>2576</v>
      </c>
      <c r="AK56" t="s">
        <v>2577</v>
      </c>
      <c r="AL56" t="s">
        <v>2578</v>
      </c>
      <c r="AM56" t="s">
        <v>60</v>
      </c>
      <c r="AN56">
        <v>0</v>
      </c>
      <c r="AO56" t="s">
        <v>656</v>
      </c>
      <c r="AP56" t="s">
        <v>2579</v>
      </c>
      <c r="AQ56" t="s">
        <v>466</v>
      </c>
      <c r="AR56" t="s">
        <v>60</v>
      </c>
      <c r="AS56" t="s">
        <v>555</v>
      </c>
      <c r="AT56" t="s">
        <v>60</v>
      </c>
      <c r="AU56" t="s">
        <v>2580</v>
      </c>
      <c r="AV56" t="s">
        <v>2581</v>
      </c>
      <c r="AW56" t="s">
        <v>723</v>
      </c>
      <c r="AX56" t="s">
        <v>1304</v>
      </c>
      <c r="AY56" t="s">
        <v>1132</v>
      </c>
      <c r="AZ56" t="s">
        <v>888</v>
      </c>
      <c r="BA56" t="s">
        <v>533</v>
      </c>
      <c r="BB56" t="s">
        <v>796</v>
      </c>
      <c r="BC56" t="s">
        <v>226</v>
      </c>
      <c r="BD56" t="s">
        <v>424</v>
      </c>
      <c r="BE56" t="s">
        <v>486</v>
      </c>
      <c r="BF56" t="s">
        <v>534</v>
      </c>
      <c r="BG56" t="s">
        <v>890</v>
      </c>
      <c r="BH56" t="s">
        <v>2582</v>
      </c>
      <c r="BI56" t="s">
        <v>362</v>
      </c>
      <c r="BJ56" t="s">
        <v>1304</v>
      </c>
      <c r="BK56" t="s">
        <v>438</v>
      </c>
      <c r="BL56" t="s">
        <v>3713</v>
      </c>
      <c r="BM56" t="s">
        <v>226</v>
      </c>
      <c r="BN56">
        <v>6.17</v>
      </c>
      <c r="BO56">
        <v>7.77</v>
      </c>
      <c r="BP56">
        <v>12.24</v>
      </c>
      <c r="BQ56">
        <v>7.9</v>
      </c>
      <c r="BR56">
        <v>8.86</v>
      </c>
      <c r="BS56">
        <v>14.56</v>
      </c>
      <c r="BT56" t="s">
        <v>2583</v>
      </c>
      <c r="BU56" t="s">
        <v>1166</v>
      </c>
      <c r="BV56">
        <v>17.829999999999998</v>
      </c>
      <c r="BW56">
        <v>15.38</v>
      </c>
      <c r="BX56">
        <v>10.25</v>
      </c>
      <c r="BY56">
        <v>5.77</v>
      </c>
      <c r="BZ56">
        <v>3.8</v>
      </c>
      <c r="CA56">
        <v>3.98</v>
      </c>
      <c r="CB56">
        <v>-1.33</v>
      </c>
      <c r="CC56">
        <v>-8.44</v>
      </c>
      <c r="CD56" t="s">
        <v>3714</v>
      </c>
      <c r="CE56" t="s">
        <v>532</v>
      </c>
      <c r="CF56" s="8">
        <v>2.4324324324324326E-2</v>
      </c>
      <c r="CG56" s="9">
        <v>-1.3972802783555049</v>
      </c>
      <c r="CH56" s="8">
        <v>-2.3885941132903099E-2</v>
      </c>
      <c r="CI56" s="8">
        <v>-0.28334185481071472</v>
      </c>
      <c r="CJ56" s="8">
        <v>-0.12886719405651093</v>
      </c>
      <c r="CK56" s="8">
        <v>1.5058562755584717</v>
      </c>
      <c r="CL56" s="8">
        <v>0.28992801904678345</v>
      </c>
      <c r="CM56" s="9">
        <v>0.47663551568984985</v>
      </c>
      <c r="CN56" s="9">
        <v>-0.31410256028175354</v>
      </c>
      <c r="CO56" s="9">
        <v>0.1304347813129425</v>
      </c>
      <c r="CP56" s="9">
        <v>0.94724929332733154</v>
      </c>
      <c r="CQ56" s="9">
        <v>0.38448584079742432</v>
      </c>
      <c r="CR56">
        <v>30.83936285537208</v>
      </c>
      <c r="CS56">
        <v>1.1340591836282878</v>
      </c>
      <c r="CT56">
        <v>1.474201474201474</v>
      </c>
      <c r="CU56" s="8">
        <v>0.27193786092102529</v>
      </c>
      <c r="CV56" s="9">
        <v>0.32494057416915895</v>
      </c>
      <c r="CW56">
        <v>0.06</v>
      </c>
      <c r="CX56">
        <v>14.861286122362174</v>
      </c>
      <c r="CY56">
        <v>189590737.75992638</v>
      </c>
      <c r="CZ56">
        <v>0.27193786092102529</v>
      </c>
      <c r="DA56">
        <v>4.1769715141977564</v>
      </c>
      <c r="DB56">
        <v>674546663.87428081</v>
      </c>
      <c r="DC56">
        <v>0.25834096787497401</v>
      </c>
      <c r="DD56">
        <v>1.660189245009309</v>
      </c>
      <c r="DE56">
        <v>1697133148.2057645</v>
      </c>
      <c r="DF56">
        <v>0.23930531761050225</v>
      </c>
      <c r="DG56">
        <v>0.76976870284946275</v>
      </c>
      <c r="DH56">
        <v>3660271182.2008266</v>
      </c>
      <c r="DI56">
        <v>0.21755028873682025</v>
      </c>
      <c r="DJ56">
        <v>0.21290645292814622</v>
      </c>
      <c r="DK56">
        <v>13233803678.796429</v>
      </c>
      <c r="DL56">
        <v>0.19035650264471768</v>
      </c>
      <c r="DM56">
        <v>158000000</v>
      </c>
      <c r="DN56">
        <v>0.27193786092102529</v>
      </c>
      <c r="DO56">
        <v>2817562200</v>
      </c>
      <c r="DP56">
        <v>1348320700</v>
      </c>
      <c r="DQ56">
        <v>2009</v>
      </c>
      <c r="DR56">
        <v>-0.24761353659670096</v>
      </c>
      <c r="DS56">
        <v>-1.7222208525246638</v>
      </c>
      <c r="DT56" s="10">
        <v>-0.25666666666666665</v>
      </c>
      <c r="DU56">
        <v>-0.54833333333333334</v>
      </c>
      <c r="DV56">
        <v>-0.80499999999999994</v>
      </c>
      <c r="DW56">
        <v>-2.0844</v>
      </c>
      <c r="DX56">
        <v>0.27422332268370525</v>
      </c>
      <c r="DY56">
        <v>-2.0071084484345048</v>
      </c>
      <c r="DZ56">
        <v>3405</v>
      </c>
      <c r="EA56">
        <v>-2.0023690188438472</v>
      </c>
      <c r="EB56">
        <v>2</v>
      </c>
      <c r="EC56">
        <v>6.1300401732853269E-2</v>
      </c>
      <c r="ED56">
        <v>0.72783167155565698</v>
      </c>
      <c r="EE56" s="11">
        <v>3.0424000000000002</v>
      </c>
      <c r="EF56">
        <v>3.0461</v>
      </c>
      <c r="EG56">
        <v>19.084223322683705</v>
      </c>
      <c r="EH56" t="s">
        <v>1387</v>
      </c>
      <c r="EI56">
        <v>0</v>
      </c>
      <c r="EJ56">
        <v>0</v>
      </c>
      <c r="EK56" s="13">
        <v>45489</v>
      </c>
      <c r="EL56" s="14">
        <v>-3.47</v>
      </c>
      <c r="EM56" s="14">
        <v>2.3199999999999998</v>
      </c>
      <c r="EN56" s="14">
        <v>-1.19</v>
      </c>
      <c r="EO56" s="14">
        <v>-2.0499999999999998</v>
      </c>
      <c r="EP56" s="14">
        <v>0.37</v>
      </c>
    </row>
    <row r="57" spans="1:146" ht="96" x14ac:dyDescent="0.25">
      <c r="A57" s="7"/>
      <c r="B57" s="7"/>
      <c r="C57" s="7" t="str">
        <f>""&amp;CHAR(10)&amp;Basic_Fundamental_Information_Constructure(F57)&amp;CHAR(10)&amp;Basic_Fundamental_Information_Concatenate("")</f>
        <v xml:space="preserve">
市值23.638511亿, 利润-3402.76万; PE; 平均PE158.09; 平均PEG10.94, PB2.24; ROIC3.5%; ROE-1.15%; 股利率1.0163%; 毛利47.0533%; 净利-1.2133%; 上一年度营收增4.16%, 利润增9.67%; 当季营收增-9.86%, 利润增-209.66%; 过往5年营收增14.45%, 利润增46.69%
Income profile:
</v>
      </c>
      <c r="D57" t="s">
        <v>102</v>
      </c>
      <c r="E57" t="s">
        <v>24</v>
      </c>
      <c r="F57">
        <v>19.68</v>
      </c>
      <c r="G57">
        <v>1.03</v>
      </c>
      <c r="H57" t="s">
        <v>3715</v>
      </c>
      <c r="I57">
        <v>2363851100</v>
      </c>
      <c r="K57">
        <v>2.2400000000000002</v>
      </c>
      <c r="L57" t="s">
        <v>1166</v>
      </c>
      <c r="M57" t="s">
        <v>477</v>
      </c>
      <c r="N57" t="s">
        <v>2003</v>
      </c>
      <c r="O57" t="s">
        <v>2584</v>
      </c>
      <c r="P57">
        <v>-9.86</v>
      </c>
      <c r="Q57" t="s">
        <v>184</v>
      </c>
      <c r="R57">
        <v>-20937950</v>
      </c>
      <c r="S57" s="5">
        <v>-2.097</v>
      </c>
      <c r="T57" t="s">
        <v>2600</v>
      </c>
      <c r="U57">
        <v>119893313</v>
      </c>
      <c r="V57">
        <v>120114387</v>
      </c>
      <c r="W57">
        <v>1.18</v>
      </c>
      <c r="X57">
        <v>0.04</v>
      </c>
      <c r="Y57">
        <v>-53.45</v>
      </c>
      <c r="Z57" t="s">
        <v>2585</v>
      </c>
      <c r="AA57" t="s">
        <v>2586</v>
      </c>
      <c r="AB57" t="s">
        <v>2587</v>
      </c>
      <c r="AC57" t="s">
        <v>2588</v>
      </c>
      <c r="AD57" t="s">
        <v>60</v>
      </c>
      <c r="AE57">
        <v>-924402</v>
      </c>
      <c r="AF57" t="s">
        <v>2589</v>
      </c>
      <c r="AG57">
        <v>5391.18</v>
      </c>
      <c r="AH57" t="s">
        <v>2590</v>
      </c>
      <c r="AI57" t="s">
        <v>288</v>
      </c>
      <c r="AJ57" t="s">
        <v>2591</v>
      </c>
      <c r="AK57" t="s">
        <v>2592</v>
      </c>
      <c r="AL57" t="s">
        <v>2593</v>
      </c>
      <c r="AM57" t="s">
        <v>60</v>
      </c>
      <c r="AN57" t="s">
        <v>2594</v>
      </c>
      <c r="AO57" t="s">
        <v>2595</v>
      </c>
      <c r="AP57" t="s">
        <v>60</v>
      </c>
      <c r="AQ57" t="s">
        <v>2596</v>
      </c>
      <c r="AR57" t="s">
        <v>60</v>
      </c>
      <c r="AS57" t="s">
        <v>444</v>
      </c>
      <c r="AT57" t="s">
        <v>60</v>
      </c>
      <c r="AU57" t="s">
        <v>2597</v>
      </c>
      <c r="AV57" t="s">
        <v>2598</v>
      </c>
      <c r="AW57" t="s">
        <v>2599</v>
      </c>
      <c r="AX57" t="s">
        <v>539</v>
      </c>
      <c r="AY57" t="s">
        <v>817</v>
      </c>
      <c r="AZ57" t="s">
        <v>381</v>
      </c>
      <c r="BA57" t="s">
        <v>347</v>
      </c>
      <c r="BB57" t="s">
        <v>434</v>
      </c>
      <c r="BC57" t="s">
        <v>1432</v>
      </c>
      <c r="BD57" t="s">
        <v>1133</v>
      </c>
      <c r="BE57" t="s">
        <v>892</v>
      </c>
      <c r="BF57" t="s">
        <v>549</v>
      </c>
      <c r="BG57" t="s">
        <v>893</v>
      </c>
      <c r="BH57" t="s">
        <v>184</v>
      </c>
      <c r="BI57" t="s">
        <v>3716</v>
      </c>
      <c r="BJ57" t="s">
        <v>539</v>
      </c>
      <c r="BK57" t="s">
        <v>2600</v>
      </c>
      <c r="BL57" t="s">
        <v>3717</v>
      </c>
      <c r="BM57" t="s">
        <v>1432</v>
      </c>
      <c r="BN57" t="s">
        <v>60</v>
      </c>
      <c r="BO57" t="s">
        <v>60</v>
      </c>
      <c r="BP57">
        <v>3.5</v>
      </c>
      <c r="BQ57">
        <v>-3.24</v>
      </c>
      <c r="BR57">
        <v>-3.48</v>
      </c>
      <c r="BS57">
        <v>3.27</v>
      </c>
      <c r="BT57" t="s">
        <v>1347</v>
      </c>
      <c r="BU57" t="s">
        <v>1166</v>
      </c>
      <c r="BV57">
        <v>49.86</v>
      </c>
      <c r="BW57">
        <v>44.42</v>
      </c>
      <c r="BX57">
        <v>46.88</v>
      </c>
      <c r="BY57">
        <v>-6.57</v>
      </c>
      <c r="BZ57">
        <v>-8.43</v>
      </c>
      <c r="CA57">
        <v>11.36</v>
      </c>
      <c r="CB57">
        <v>5.69</v>
      </c>
      <c r="CC57">
        <v>16.45</v>
      </c>
      <c r="CD57" t="s">
        <v>3718</v>
      </c>
      <c r="CE57" t="s">
        <v>206</v>
      </c>
      <c r="CF57" s="8">
        <v>-9.8570126916481926E-2</v>
      </c>
      <c r="CG57" s="9">
        <v>-2.0965969592995739</v>
      </c>
      <c r="CH57" s="8">
        <v>4.1551247239112854E-2</v>
      </c>
      <c r="CI57" s="8">
        <v>-6.9587625563144684E-2</v>
      </c>
      <c r="CJ57" s="8">
        <v>0.77168947458267212</v>
      </c>
      <c r="CK57" s="8">
        <v>-0.32615384459495544</v>
      </c>
      <c r="CL57" s="8">
        <v>0.30522087216377258</v>
      </c>
      <c r="CM57" s="9">
        <v>9.6723496913909912E-2</v>
      </c>
      <c r="CN57" s="9">
        <v>-2.059903621673584</v>
      </c>
      <c r="CO57" s="9">
        <v>5.3719491958618164</v>
      </c>
      <c r="CP57" s="9">
        <v>-1.1187597513198853</v>
      </c>
      <c r="CQ57" s="9">
        <v>4.4348128139972687E-2</v>
      </c>
      <c r="CR57">
        <v>158.09034143601085</v>
      </c>
      <c r="CS57">
        <v>10.9371758322419</v>
      </c>
      <c r="CT57">
        <v>1.0162601626016261</v>
      </c>
      <c r="CU57" s="8">
        <v>0.1445440247654915</v>
      </c>
      <c r="CV57" s="9">
        <v>0.46687148958444596</v>
      </c>
      <c r="CW57">
        <v>0.06</v>
      </c>
      <c r="CX57" t="e">
        <v>#VALUE!</v>
      </c>
      <c r="CY57" t="s">
        <v>1223</v>
      </c>
      <c r="CZ57">
        <v>0.1445440247654915</v>
      </c>
      <c r="DA57" t="e">
        <v>#VALUE!</v>
      </c>
      <c r="DB57" t="s">
        <v>1224</v>
      </c>
      <c r="DC57">
        <v>0.13731682352721691</v>
      </c>
      <c r="DD57" t="e">
        <v>#VALUE!</v>
      </c>
      <c r="DE57" t="s">
        <v>1224</v>
      </c>
      <c r="DF57">
        <v>0.12719874179363252</v>
      </c>
      <c r="DG57" t="e">
        <v>#VALUE!</v>
      </c>
      <c r="DH57" t="s">
        <v>1224</v>
      </c>
      <c r="DI57">
        <v>0.11563521981239321</v>
      </c>
      <c r="DJ57" t="e">
        <v>#VALUE!</v>
      </c>
      <c r="DK57" t="s">
        <v>1224</v>
      </c>
      <c r="DL57">
        <v>0.10118081733584404</v>
      </c>
      <c r="DM57">
        <v>-34027600</v>
      </c>
      <c r="DN57">
        <v>0.1445440247654915</v>
      </c>
      <c r="DO57">
        <v>1476851100</v>
      </c>
      <c r="DP57">
        <v>396041200</v>
      </c>
      <c r="DQ57">
        <v>2075</v>
      </c>
      <c r="DR57">
        <v>-0.24311415168197342</v>
      </c>
      <c r="DS57">
        <v>-2.56346844888402</v>
      </c>
      <c r="DT57" s="10">
        <v>-0.19000000000000003</v>
      </c>
      <c r="DU57">
        <v>-2.395</v>
      </c>
      <c r="DV57">
        <v>-2.585</v>
      </c>
      <c r="DW57">
        <v>8.3458966565349542</v>
      </c>
      <c r="DX57">
        <v>0.29455294117647185</v>
      </c>
      <c r="DY57">
        <v>8.0361645127838361</v>
      </c>
      <c r="DZ57">
        <v>4705</v>
      </c>
      <c r="EA57">
        <v>8.0028467072917771</v>
      </c>
      <c r="EB57">
        <v>8</v>
      </c>
      <c r="EC57">
        <v>0.10358292882933333</v>
      </c>
      <c r="ED57">
        <v>0.99072228541615082</v>
      </c>
      <c r="EE57" s="11">
        <v>4.0075000000000003</v>
      </c>
      <c r="EF57">
        <v>4.0178000000000003</v>
      </c>
      <c r="EG57">
        <v>19.104552941176472</v>
      </c>
      <c r="EH57" t="s">
        <v>3719</v>
      </c>
      <c r="EI57">
        <v>0</v>
      </c>
      <c r="EJ57">
        <v>0</v>
      </c>
      <c r="EK57" s="13">
        <v>45489</v>
      </c>
      <c r="EL57" s="14">
        <v>-1.81</v>
      </c>
      <c r="EM57" s="14">
        <v>5.3</v>
      </c>
      <c r="EN57" s="14">
        <v>3.79</v>
      </c>
      <c r="EO57" s="14">
        <v>-2.6</v>
      </c>
      <c r="EP57" s="14">
        <v>1.03</v>
      </c>
    </row>
    <row r="58" spans="1:146" ht="108" x14ac:dyDescent="0.25">
      <c r="A58" s="7"/>
      <c r="B58" s="7"/>
      <c r="C58" s="7" t="str">
        <f>""&amp;CHAR(10)&amp;Basic_Fundamental_Information_Constructure(F58)&amp;CHAR(10)&amp;Basic_Fundamental_Information_Concatenate("")</f>
        <v xml:space="preserve">
市值75.205746亿, 利润3.25亿; PE21.63; 平均PE40; 平均PEG2.61, PB2.85; ROIC9.5467%; ROE10.41%; 股利率1%; 毛利40.5767%; 净利19.3167%; 上一年度营收增25.19%, 利润增44.44%; 当季营收增10.42%, 利润增38.1%; 过往5年营收增15.32%, 利润增18.17%
Income profile:
</v>
      </c>
      <c r="D58" t="s">
        <v>108</v>
      </c>
      <c r="E58" t="s">
        <v>17</v>
      </c>
      <c r="F58">
        <v>16.8</v>
      </c>
      <c r="G58">
        <v>1.51</v>
      </c>
      <c r="H58" t="s">
        <v>3720</v>
      </c>
      <c r="I58">
        <v>7520574600</v>
      </c>
      <c r="J58">
        <v>21.63</v>
      </c>
      <c r="K58">
        <v>2.85</v>
      </c>
      <c r="L58" t="s">
        <v>1166</v>
      </c>
      <c r="M58" t="s">
        <v>1258</v>
      </c>
      <c r="N58" t="s">
        <v>2601</v>
      </c>
      <c r="O58" t="s">
        <v>980</v>
      </c>
      <c r="P58">
        <v>10.64</v>
      </c>
      <c r="Q58" t="s">
        <v>865</v>
      </c>
      <c r="R58">
        <v>83748106</v>
      </c>
      <c r="S58" s="5">
        <v>0.38100000000000001</v>
      </c>
      <c r="T58" t="s">
        <v>347</v>
      </c>
      <c r="U58">
        <v>431288250</v>
      </c>
      <c r="V58">
        <v>447653250</v>
      </c>
      <c r="W58">
        <v>1.22</v>
      </c>
      <c r="X58">
        <v>0.13</v>
      </c>
      <c r="Y58">
        <v>19.02</v>
      </c>
      <c r="Z58" t="s">
        <v>684</v>
      </c>
      <c r="AA58" t="s">
        <v>361</v>
      </c>
      <c r="AB58" t="s">
        <v>2602</v>
      </c>
      <c r="AC58" t="s">
        <v>2603</v>
      </c>
      <c r="AD58" t="s">
        <v>60</v>
      </c>
      <c r="AE58">
        <v>-5386908</v>
      </c>
      <c r="AF58" t="s">
        <v>2604</v>
      </c>
      <c r="AG58">
        <v>821.81</v>
      </c>
      <c r="AH58" t="s">
        <v>2605</v>
      </c>
      <c r="AI58" t="s">
        <v>1624</v>
      </c>
      <c r="AJ58" t="s">
        <v>2606</v>
      </c>
      <c r="AK58" t="s">
        <v>2607</v>
      </c>
      <c r="AL58" t="s">
        <v>2608</v>
      </c>
      <c r="AM58" t="s">
        <v>60</v>
      </c>
      <c r="AN58">
        <v>0</v>
      </c>
      <c r="AO58" t="s">
        <v>2609</v>
      </c>
      <c r="AP58" t="s">
        <v>60</v>
      </c>
      <c r="AQ58" t="s">
        <v>373</v>
      </c>
      <c r="AR58" t="s">
        <v>2610</v>
      </c>
      <c r="AS58" t="s">
        <v>1139</v>
      </c>
      <c r="AT58" t="s">
        <v>2611</v>
      </c>
      <c r="AU58" t="s">
        <v>2612</v>
      </c>
      <c r="AV58" t="s">
        <v>2613</v>
      </c>
      <c r="AW58" t="s">
        <v>2614</v>
      </c>
      <c r="AX58" t="s">
        <v>1433</v>
      </c>
      <c r="AY58" t="s">
        <v>1007</v>
      </c>
      <c r="AZ58" t="s">
        <v>577</v>
      </c>
      <c r="BA58" t="s">
        <v>552</v>
      </c>
      <c r="BB58" t="s">
        <v>874</v>
      </c>
      <c r="BC58" t="s">
        <v>514</v>
      </c>
      <c r="BD58" t="s">
        <v>246</v>
      </c>
      <c r="BE58" t="s">
        <v>314</v>
      </c>
      <c r="BF58" t="s">
        <v>511</v>
      </c>
      <c r="BG58" t="s">
        <v>174</v>
      </c>
      <c r="BH58" t="s">
        <v>865</v>
      </c>
      <c r="BI58" t="s">
        <v>399</v>
      </c>
      <c r="BJ58" t="s">
        <v>1433</v>
      </c>
      <c r="BK58" t="s">
        <v>347</v>
      </c>
      <c r="BL58" t="s">
        <v>3721</v>
      </c>
      <c r="BM58" t="s">
        <v>514</v>
      </c>
      <c r="BN58">
        <v>11.42</v>
      </c>
      <c r="BO58">
        <v>9.44</v>
      </c>
      <c r="BP58">
        <v>7.78</v>
      </c>
      <c r="BQ58">
        <v>12.62</v>
      </c>
      <c r="BR58">
        <v>10.37</v>
      </c>
      <c r="BS58">
        <v>8.24</v>
      </c>
      <c r="BT58" t="s">
        <v>2615</v>
      </c>
      <c r="BU58" t="s">
        <v>1166</v>
      </c>
      <c r="BV58">
        <v>38.659999999999997</v>
      </c>
      <c r="BW58">
        <v>42.23</v>
      </c>
      <c r="BX58">
        <v>40.840000000000003</v>
      </c>
      <c r="BY58">
        <v>21.45</v>
      </c>
      <c r="BZ58">
        <v>19.170000000000002</v>
      </c>
      <c r="CA58">
        <v>17.329999999999998</v>
      </c>
      <c r="CB58">
        <v>0.78</v>
      </c>
      <c r="CC58">
        <v>-4.28</v>
      </c>
      <c r="CD58" t="s">
        <v>3722</v>
      </c>
      <c r="CE58" t="s">
        <v>345</v>
      </c>
      <c r="CF58" s="8">
        <v>0.10416666666666667</v>
      </c>
      <c r="CG58" s="9">
        <v>0.3809906420308854</v>
      </c>
      <c r="CH58" s="8">
        <v>0.25188279151916504</v>
      </c>
      <c r="CI58" s="8">
        <v>0.34723794460296631</v>
      </c>
      <c r="CJ58" s="8">
        <v>0.2002706378698349</v>
      </c>
      <c r="CK58" s="8">
        <v>9.5628416165709496E-3</v>
      </c>
      <c r="CL58" s="8">
        <v>-4.3137256056070328E-2</v>
      </c>
      <c r="CM58" s="9">
        <v>0.4444444477558136</v>
      </c>
      <c r="CN58" s="9">
        <v>0.51006710529327393</v>
      </c>
      <c r="CO58" s="9">
        <v>8.759123831987381E-2</v>
      </c>
      <c r="CP58" s="9">
        <v>3.0075188726186752E-2</v>
      </c>
      <c r="CQ58" s="9">
        <v>-0.16352201998233795</v>
      </c>
      <c r="CR58">
        <v>40.003056382978727</v>
      </c>
      <c r="CS58">
        <v>2.6117896635741764</v>
      </c>
      <c r="CT58">
        <v>0.99999999999999989</v>
      </c>
      <c r="CU58" s="8">
        <v>0.15316339191049338</v>
      </c>
      <c r="CV58" s="9">
        <v>0.18173119202256202</v>
      </c>
      <c r="CW58">
        <v>0.06</v>
      </c>
      <c r="CX58">
        <v>15.229409188777138</v>
      </c>
      <c r="CY58">
        <v>353564247.51972669</v>
      </c>
      <c r="CZ58">
        <v>0.15316339191049338</v>
      </c>
      <c r="DA58">
        <v>4.7194738400413812</v>
      </c>
      <c r="DB58">
        <v>1140926887.7211928</v>
      </c>
      <c r="DC58">
        <v>0.14550522231496871</v>
      </c>
      <c r="DD58">
        <v>2.1604890262339058</v>
      </c>
      <c r="DE58">
        <v>2492294353.0920014</v>
      </c>
      <c r="DF58">
        <v>0.13478378488123419</v>
      </c>
      <c r="DG58">
        <v>1.192589165524585</v>
      </c>
      <c r="DH58">
        <v>4515028943.4597397</v>
      </c>
      <c r="DI58">
        <v>0.12253071352839472</v>
      </c>
      <c r="DJ58">
        <v>0.50803191527411984</v>
      </c>
      <c r="DK58">
        <v>10598890420.289114</v>
      </c>
      <c r="DL58">
        <v>0.10721437433734536</v>
      </c>
      <c r="DM58">
        <v>325000000</v>
      </c>
      <c r="DN58">
        <v>0.15316339191049338</v>
      </c>
      <c r="DO58">
        <v>5384574600</v>
      </c>
      <c r="DP58">
        <v>1854418900</v>
      </c>
      <c r="DQ58">
        <v>2100</v>
      </c>
      <c r="DR58">
        <v>-4.8996725243826714E-2</v>
      </c>
      <c r="DS58">
        <v>0.19925945000832337</v>
      </c>
      <c r="DT58" s="10">
        <v>1.0000000000000011E-2</v>
      </c>
      <c r="DU58">
        <v>0.4366666666666667</v>
      </c>
      <c r="DV58">
        <v>0.44666666666666671</v>
      </c>
      <c r="DW58">
        <v>-1.0427999999999999</v>
      </c>
      <c r="DX58">
        <v>0.36529674796747824</v>
      </c>
      <c r="DY58">
        <v>-1.0062187008130081</v>
      </c>
      <c r="DZ58">
        <v>855</v>
      </c>
      <c r="EA58">
        <v>-1.0051775828973781</v>
      </c>
      <c r="EB58">
        <v>1</v>
      </c>
      <c r="EC58">
        <v>7.9845282034699844E-2</v>
      </c>
      <c r="ED58">
        <v>0.54953247854226461</v>
      </c>
      <c r="EE58" s="11">
        <v>-1.0222</v>
      </c>
      <c r="EF58">
        <v>-1.0373000000000001</v>
      </c>
      <c r="EG58">
        <v>22.145296747967478</v>
      </c>
      <c r="EH58" t="s">
        <v>1225</v>
      </c>
      <c r="EI58">
        <v>0</v>
      </c>
      <c r="EJ58">
        <v>1</v>
      </c>
      <c r="EK58" s="13">
        <v>45489</v>
      </c>
      <c r="EL58" s="14">
        <v>-2.54</v>
      </c>
      <c r="EM58" s="14">
        <v>1.85</v>
      </c>
      <c r="EN58" s="14">
        <v>-0.59</v>
      </c>
      <c r="EO58" s="14">
        <v>-2.5299999999999998</v>
      </c>
      <c r="EP58" s="14">
        <v>1.51</v>
      </c>
    </row>
    <row r="59" spans="1:146" ht="108" x14ac:dyDescent="0.25">
      <c r="A59" s="7"/>
      <c r="B59" s="7"/>
      <c r="C59" s="7" t="str">
        <f>""&amp;CHAR(10)&amp;Basic_Fundamental_Information_Constructure(F59)&amp;CHAR(10)&amp;Basic_Fundamental_Information_Concatenate("")</f>
        <v xml:space="preserve">
市值74.559643亿, 利润3.26亿; PE23.6; 平均PE23.57; 平均PEG1.21, PB1.85; ROIC8.4433%; ROE8.8067%; 股利率1.8886%; 毛利29.0333%; 净利7.62%; 上一年度营收增21.45%, 利润增28.85%; 当季营收增-24.21%, 利润增-23.29%; 过往5年营收增19.54%, 利润增17.06%
Income profile:
</v>
      </c>
      <c r="D59" t="s">
        <v>96</v>
      </c>
      <c r="E59" t="s">
        <v>14</v>
      </c>
      <c r="F59">
        <v>10.59</v>
      </c>
      <c r="G59">
        <v>0.09</v>
      </c>
      <c r="H59" t="s">
        <v>3723</v>
      </c>
      <c r="I59">
        <v>7455964300</v>
      </c>
      <c r="J59">
        <v>23.6</v>
      </c>
      <c r="K59">
        <v>1.85</v>
      </c>
      <c r="L59" t="s">
        <v>1166</v>
      </c>
      <c r="M59" t="s">
        <v>2616</v>
      </c>
      <c r="N59" t="s">
        <v>2617</v>
      </c>
      <c r="O59" t="s">
        <v>442</v>
      </c>
      <c r="P59">
        <v>-24.25</v>
      </c>
      <c r="Q59" t="s">
        <v>2629</v>
      </c>
      <c r="R59">
        <v>32112877</v>
      </c>
      <c r="S59" s="5">
        <v>-0.2329</v>
      </c>
      <c r="T59" t="s">
        <v>635</v>
      </c>
      <c r="U59">
        <v>703340720</v>
      </c>
      <c r="V59">
        <v>704057060</v>
      </c>
      <c r="W59">
        <v>1.35</v>
      </c>
      <c r="X59">
        <v>0.11</v>
      </c>
      <c r="Y59">
        <v>5.35</v>
      </c>
      <c r="Z59" t="s">
        <v>2618</v>
      </c>
      <c r="AA59" t="s">
        <v>1233</v>
      </c>
      <c r="AB59" t="s">
        <v>2619</v>
      </c>
      <c r="AC59" t="s">
        <v>2620</v>
      </c>
      <c r="AD59" t="s">
        <v>60</v>
      </c>
      <c r="AE59">
        <v>-8050714</v>
      </c>
      <c r="AF59" t="s">
        <v>2621</v>
      </c>
      <c r="AG59" t="s">
        <v>2622</v>
      </c>
      <c r="AH59" t="s">
        <v>2623</v>
      </c>
      <c r="AI59" t="s">
        <v>1616</v>
      </c>
      <c r="AJ59" t="s">
        <v>2624</v>
      </c>
      <c r="AK59" t="s">
        <v>60</v>
      </c>
      <c r="AL59" t="s">
        <v>2625</v>
      </c>
      <c r="AM59" t="s">
        <v>60</v>
      </c>
      <c r="AN59" t="s">
        <v>492</v>
      </c>
      <c r="AO59" t="s">
        <v>2626</v>
      </c>
      <c r="AP59" t="s">
        <v>60</v>
      </c>
      <c r="AQ59" t="s">
        <v>62</v>
      </c>
      <c r="AR59" t="s">
        <v>60</v>
      </c>
      <c r="AS59" t="s">
        <v>2627</v>
      </c>
      <c r="AT59" t="s">
        <v>60</v>
      </c>
      <c r="AU59" t="s">
        <v>1372</v>
      </c>
      <c r="AV59" t="s">
        <v>652</v>
      </c>
      <c r="AW59" t="s">
        <v>2628</v>
      </c>
      <c r="AX59" t="s">
        <v>1435</v>
      </c>
      <c r="AY59" t="s">
        <v>1045</v>
      </c>
      <c r="AZ59" t="s">
        <v>895</v>
      </c>
      <c r="BA59" t="s">
        <v>560</v>
      </c>
      <c r="BB59" t="s">
        <v>587</v>
      </c>
      <c r="BC59" t="s">
        <v>428</v>
      </c>
      <c r="BD59" t="s">
        <v>61</v>
      </c>
      <c r="BE59" t="s">
        <v>536</v>
      </c>
      <c r="BF59" t="s">
        <v>211</v>
      </c>
      <c r="BG59" t="s">
        <v>353</v>
      </c>
      <c r="BH59" t="s">
        <v>2629</v>
      </c>
      <c r="BI59" t="s">
        <v>1284</v>
      </c>
      <c r="BJ59" t="s">
        <v>1435</v>
      </c>
      <c r="BK59" t="s">
        <v>635</v>
      </c>
      <c r="BL59" t="s">
        <v>3724</v>
      </c>
      <c r="BM59" t="s">
        <v>428</v>
      </c>
      <c r="BN59">
        <v>3.46</v>
      </c>
      <c r="BO59">
        <v>7.21</v>
      </c>
      <c r="BP59">
        <v>14.66</v>
      </c>
      <c r="BQ59">
        <v>4.0999999999999996</v>
      </c>
      <c r="BR59">
        <v>6.73</v>
      </c>
      <c r="BS59">
        <v>15.59</v>
      </c>
      <c r="BT59" t="s">
        <v>1347</v>
      </c>
      <c r="BU59" t="s">
        <v>1166</v>
      </c>
      <c r="BV59">
        <v>25.94</v>
      </c>
      <c r="BW59">
        <v>27.01</v>
      </c>
      <c r="BX59">
        <v>34.15</v>
      </c>
      <c r="BY59">
        <v>6.34</v>
      </c>
      <c r="BZ59">
        <v>5.91</v>
      </c>
      <c r="CA59">
        <v>10.61</v>
      </c>
      <c r="CB59">
        <v>0.47</v>
      </c>
      <c r="CC59">
        <v>-7.19</v>
      </c>
      <c r="CD59" t="s">
        <v>3725</v>
      </c>
      <c r="CE59" t="s">
        <v>381</v>
      </c>
      <c r="CF59" s="8">
        <v>-0.24211853720050441</v>
      </c>
      <c r="CG59" s="9">
        <v>-0.23290366888103786</v>
      </c>
      <c r="CH59" s="8">
        <v>0.21446903049945831</v>
      </c>
      <c r="CI59" s="8">
        <v>0.15002678334712982</v>
      </c>
      <c r="CJ59" s="8">
        <v>0.24949696660041809</v>
      </c>
      <c r="CK59" s="8">
        <v>0.12443443387746811</v>
      </c>
      <c r="CL59" s="8">
        <v>0.23867355287075043</v>
      </c>
      <c r="CM59" s="9">
        <v>0.28853756189346313</v>
      </c>
      <c r="CN59" s="9">
        <v>-0.3611111044883728</v>
      </c>
      <c r="CO59" s="9">
        <v>-0.12582781910896301</v>
      </c>
      <c r="CP59" s="9">
        <v>0.65328466892242432</v>
      </c>
      <c r="CQ59" s="9">
        <v>0.39795917272567749</v>
      </c>
      <c r="CR59">
        <v>23.569960906217073</v>
      </c>
      <c r="CS59">
        <v>1.2061172039540418</v>
      </c>
      <c r="CT59">
        <v>1.8885741265344664</v>
      </c>
      <c r="CU59" s="8">
        <v>0.19542015343904495</v>
      </c>
      <c r="CV59" s="9">
        <v>0.17056849598884583</v>
      </c>
      <c r="CW59">
        <v>0.06</v>
      </c>
      <c r="CX59">
        <v>13.142906214180128</v>
      </c>
      <c r="CY59">
        <v>367648084.92559302</v>
      </c>
      <c r="CZ59">
        <v>0.19542015343904495</v>
      </c>
      <c r="DA59">
        <v>3.9325067397145732</v>
      </c>
      <c r="DB59">
        <v>1228723717.4196708</v>
      </c>
      <c r="DC59">
        <v>0.18564914576709268</v>
      </c>
      <c r="DD59">
        <v>1.7129763295378879</v>
      </c>
      <c r="DE59">
        <v>2820800390.9216456</v>
      </c>
      <c r="DF59">
        <v>0.17196973502635957</v>
      </c>
      <c r="DG59">
        <v>0.89054413893155393</v>
      </c>
      <c r="DH59">
        <v>5425856045.4928541</v>
      </c>
      <c r="DI59">
        <v>0.15633612275123598</v>
      </c>
      <c r="DJ59">
        <v>0.32822182056630966</v>
      </c>
      <c r="DK59">
        <v>14721642490.627197</v>
      </c>
      <c r="DL59">
        <v>0.13679410740733144</v>
      </c>
      <c r="DM59">
        <v>326000000</v>
      </c>
      <c r="DN59">
        <v>0.19542015343904495</v>
      </c>
      <c r="DO59">
        <v>4831964300</v>
      </c>
      <c r="DP59">
        <v>2953233000</v>
      </c>
      <c r="DQ59">
        <v>2139</v>
      </c>
      <c r="DR59">
        <v>-0.43753869063954937</v>
      </c>
      <c r="DS59">
        <v>-0.40347216486988369</v>
      </c>
      <c r="DT59" s="10">
        <v>0.10999999999999995</v>
      </c>
      <c r="DU59">
        <v>0.13</v>
      </c>
      <c r="DV59">
        <v>0.23999999999999994</v>
      </c>
      <c r="DW59">
        <v>-2.0718999999999999</v>
      </c>
      <c r="DX59">
        <v>0.29915022831050081</v>
      </c>
      <c r="DY59">
        <v>-2.0078479014155253</v>
      </c>
      <c r="DZ59">
        <v>1268</v>
      </c>
      <c r="EA59">
        <v>-2.0058993721429803</v>
      </c>
      <c r="EB59">
        <v>2</v>
      </c>
      <c r="EC59">
        <v>3.3951651589148188E-2</v>
      </c>
      <c r="ED59">
        <v>0.311054334147292</v>
      </c>
      <c r="EE59" s="11">
        <v>1.0159</v>
      </c>
      <c r="EF59">
        <v>1.0167999999999999</v>
      </c>
      <c r="EG59">
        <v>19.109150228310501</v>
      </c>
      <c r="EH59" t="s">
        <v>1228</v>
      </c>
      <c r="EI59">
        <v>0</v>
      </c>
      <c r="EJ59">
        <v>1</v>
      </c>
      <c r="EK59" s="13">
        <v>45489</v>
      </c>
      <c r="EL59" s="14">
        <v>-3.18</v>
      </c>
      <c r="EM59" s="14">
        <v>2.35</v>
      </c>
      <c r="EN59" s="14">
        <v>-0.55000000000000004</v>
      </c>
      <c r="EO59" s="14">
        <v>-2.31</v>
      </c>
      <c r="EP59" s="14">
        <v>0.09</v>
      </c>
    </row>
    <row r="60" spans="1:146" ht="108" x14ac:dyDescent="0.25">
      <c r="A60" s="7"/>
      <c r="B60" s="7"/>
      <c r="C60" s="7" t="str">
        <f>""&amp;CHAR(10)&amp;Basic_Fundamental_Information_Constructure(F60)&amp;CHAR(10)&amp;Basic_Fundamental_Information_Concatenate("")</f>
        <v xml:space="preserve">
市值73.474162亿, 利润3846.54万; PE200.3; 平均PE165.33; 平均PEG13.58, PB8.43; ROIC5.07%; ROE5.0967%; 股利率.2017%; 毛利26.5633%; 净利8.1467%; 上一年度营收增6.49%, 利润增-23.35%; 当季营收增16.97%, 利润增-19.02%; 过往5年营收增12.17%, 利润增-.06%
Income profile:
</v>
      </c>
      <c r="D60" t="s">
        <v>90</v>
      </c>
      <c r="E60" t="s">
        <v>6</v>
      </c>
      <c r="F60">
        <v>24.79</v>
      </c>
      <c r="G60">
        <v>1.35</v>
      </c>
      <c r="H60" t="s">
        <v>3726</v>
      </c>
      <c r="I60">
        <v>7347416200</v>
      </c>
      <c r="J60">
        <v>200.3</v>
      </c>
      <c r="K60">
        <v>8.43</v>
      </c>
      <c r="L60" t="s">
        <v>1166</v>
      </c>
      <c r="M60" t="s">
        <v>294</v>
      </c>
      <c r="N60" t="s">
        <v>1104</v>
      </c>
      <c r="O60" t="s">
        <v>2630</v>
      </c>
      <c r="P60">
        <v>16.97</v>
      </c>
      <c r="Q60" t="s">
        <v>749</v>
      </c>
      <c r="R60">
        <v>7588015</v>
      </c>
      <c r="S60" s="5">
        <v>-0.19020000000000001</v>
      </c>
      <c r="T60" t="s">
        <v>2646</v>
      </c>
      <c r="U60">
        <v>285548930</v>
      </c>
      <c r="V60">
        <v>296386290</v>
      </c>
      <c r="W60">
        <v>1.3</v>
      </c>
      <c r="X60">
        <v>7.0000000000000007E-2</v>
      </c>
      <c r="Y60">
        <v>7.83</v>
      </c>
      <c r="Z60" t="s">
        <v>2631</v>
      </c>
      <c r="AA60" t="s">
        <v>2632</v>
      </c>
      <c r="AB60" t="s">
        <v>2633</v>
      </c>
      <c r="AC60" t="s">
        <v>2634</v>
      </c>
      <c r="AD60" t="s">
        <v>60</v>
      </c>
      <c r="AE60">
        <v>-1152485</v>
      </c>
      <c r="AF60" t="s">
        <v>2635</v>
      </c>
      <c r="AG60" t="s">
        <v>2636</v>
      </c>
      <c r="AH60" t="s">
        <v>2637</v>
      </c>
      <c r="AI60" t="s">
        <v>593</v>
      </c>
      <c r="AJ60" t="s">
        <v>2638</v>
      </c>
      <c r="AK60" t="s">
        <v>2639</v>
      </c>
      <c r="AL60" t="s">
        <v>2640</v>
      </c>
      <c r="AM60" t="s">
        <v>60</v>
      </c>
      <c r="AN60">
        <v>0</v>
      </c>
      <c r="AO60" t="s">
        <v>2641</v>
      </c>
      <c r="AP60" t="s">
        <v>60</v>
      </c>
      <c r="AQ60" t="s">
        <v>499</v>
      </c>
      <c r="AR60" t="s">
        <v>60</v>
      </c>
      <c r="AS60" t="s">
        <v>428</v>
      </c>
      <c r="AT60" t="s">
        <v>60</v>
      </c>
      <c r="AU60" t="s">
        <v>2642</v>
      </c>
      <c r="AV60" t="s">
        <v>2643</v>
      </c>
      <c r="AW60" t="s">
        <v>2644</v>
      </c>
      <c r="AX60" t="s">
        <v>1260</v>
      </c>
      <c r="AY60" t="s">
        <v>242</v>
      </c>
      <c r="AZ60" t="s">
        <v>1131</v>
      </c>
      <c r="BA60" t="s">
        <v>383</v>
      </c>
      <c r="BB60" t="s">
        <v>520</v>
      </c>
      <c r="BC60" t="s">
        <v>2645</v>
      </c>
      <c r="BD60" t="s">
        <v>1134</v>
      </c>
      <c r="BE60" t="s">
        <v>1135</v>
      </c>
      <c r="BF60" t="s">
        <v>562</v>
      </c>
      <c r="BG60" t="s">
        <v>896</v>
      </c>
      <c r="BH60" t="s">
        <v>749</v>
      </c>
      <c r="BI60" t="s">
        <v>3727</v>
      </c>
      <c r="BJ60" t="s">
        <v>1260</v>
      </c>
      <c r="BK60" t="s">
        <v>2646</v>
      </c>
      <c r="BL60" t="s">
        <v>3728</v>
      </c>
      <c r="BM60" t="s">
        <v>2645</v>
      </c>
      <c r="BN60">
        <v>2.2799999999999998</v>
      </c>
      <c r="BO60">
        <v>6.52</v>
      </c>
      <c r="BP60">
        <v>6.41</v>
      </c>
      <c r="BQ60">
        <v>2.64</v>
      </c>
      <c r="BR60">
        <v>6.27</v>
      </c>
      <c r="BS60">
        <v>6.38</v>
      </c>
      <c r="BT60" t="s">
        <v>1345</v>
      </c>
      <c r="BU60" t="s">
        <v>1166</v>
      </c>
      <c r="BV60">
        <v>23.38</v>
      </c>
      <c r="BW60">
        <v>27.84</v>
      </c>
      <c r="BX60">
        <v>28.47</v>
      </c>
      <c r="BY60">
        <v>6.78</v>
      </c>
      <c r="BZ60">
        <v>8.92</v>
      </c>
      <c r="CA60">
        <v>8.74</v>
      </c>
      <c r="CB60">
        <v>-1.74</v>
      </c>
      <c r="CC60">
        <v>-4.6500000000000004</v>
      </c>
      <c r="CD60" t="s">
        <v>3729</v>
      </c>
      <c r="CE60" t="s">
        <v>200</v>
      </c>
      <c r="CF60" s="8">
        <v>0.16974236575931867</v>
      </c>
      <c r="CG60" s="9">
        <v>-0.19016254349078957</v>
      </c>
      <c r="CH60" s="8">
        <v>6.4864866435527802E-2</v>
      </c>
      <c r="CI60" s="8">
        <v>0.12121212482452393</v>
      </c>
      <c r="CJ60" s="8">
        <v>-1.1976048350334167E-2</v>
      </c>
      <c r="CK60" s="8">
        <v>0.37637361884117126</v>
      </c>
      <c r="CL60" s="8">
        <v>5.8139536529779434E-2</v>
      </c>
      <c r="CM60" s="9">
        <v>-0.23347143828868866</v>
      </c>
      <c r="CN60" s="9">
        <v>0.16375927627086639</v>
      </c>
      <c r="CO60" s="9">
        <v>-0.1831105500459671</v>
      </c>
      <c r="CP60" s="9">
        <v>0.49580889940261841</v>
      </c>
      <c r="CQ60" s="9">
        <v>-0.2460775226354599</v>
      </c>
      <c r="CR60">
        <v>165.32812747868451</v>
      </c>
      <c r="CS60">
        <v>13.582344538660509</v>
      </c>
      <c r="CT60">
        <v>0.20169423154497781</v>
      </c>
      <c r="CU60" s="8">
        <v>0.12172281965613366</v>
      </c>
      <c r="CV60" s="9">
        <v>-6.1826705932617183E-4</v>
      </c>
      <c r="CW60">
        <v>0.06</v>
      </c>
      <c r="CX60">
        <v>168.8829783859137</v>
      </c>
      <c r="CY60">
        <v>40705204.6671708</v>
      </c>
      <c r="CZ60">
        <v>0.12172281965613366</v>
      </c>
      <c r="DA60">
        <v>53.731840139733364</v>
      </c>
      <c r="DB60">
        <v>127939340.66137704</v>
      </c>
      <c r="DC60">
        <v>0.11563667867332697</v>
      </c>
      <c r="DD60">
        <v>25.510067743018901</v>
      </c>
      <c r="DE60">
        <v>269478555.26104027</v>
      </c>
      <c r="DF60">
        <v>0.10711608129739762</v>
      </c>
      <c r="DG60">
        <v>14.697334364756388</v>
      </c>
      <c r="DH60">
        <v>467732177.10039794</v>
      </c>
      <c r="DI60">
        <v>9.7378255724906937E-2</v>
      </c>
      <c r="DJ60">
        <v>6.9181347471343368</v>
      </c>
      <c r="DK60">
        <v>993680587.50916266</v>
      </c>
      <c r="DL60">
        <v>8.5205973759293549E-2</v>
      </c>
      <c r="DM60">
        <v>38465400</v>
      </c>
      <c r="DN60">
        <v>0.12172281965613366</v>
      </c>
      <c r="DO60">
        <v>6874416200</v>
      </c>
      <c r="DP60">
        <v>667864900</v>
      </c>
      <c r="DQ60">
        <v>2143</v>
      </c>
      <c r="DR60">
        <v>4.8019546103185012E-2</v>
      </c>
      <c r="DS60">
        <v>-0.1895442764314634</v>
      </c>
      <c r="DT60" s="10">
        <v>-0.32333333333333336</v>
      </c>
      <c r="DU60">
        <v>-0.35333333333333333</v>
      </c>
      <c r="DV60">
        <v>-0.67666666666666675</v>
      </c>
      <c r="DW60">
        <v>-1.0465</v>
      </c>
      <c r="DX60">
        <v>0.34628458149779773</v>
      </c>
      <c r="DY60">
        <v>-1.0054072330396475</v>
      </c>
      <c r="DZ60">
        <v>3235</v>
      </c>
      <c r="EA60">
        <v>-1.0019820521343685</v>
      </c>
      <c r="EB60">
        <v>1</v>
      </c>
      <c r="EC60">
        <v>8.9061474469686167E-2</v>
      </c>
      <c r="ED60">
        <v>0.7658923764658615</v>
      </c>
      <c r="EE60" s="11">
        <v>2.0865</v>
      </c>
      <c r="EF60">
        <v>2.1</v>
      </c>
      <c r="EG60">
        <v>23.116284581497798</v>
      </c>
      <c r="EH60" t="s">
        <v>1376</v>
      </c>
      <c r="EI60">
        <v>0</v>
      </c>
      <c r="EJ60">
        <v>0</v>
      </c>
      <c r="EK60" s="13">
        <v>45489</v>
      </c>
      <c r="EL60" s="14">
        <v>-0.49</v>
      </c>
      <c r="EM60" s="14">
        <v>2.29</v>
      </c>
      <c r="EN60" s="14">
        <v>-2.16</v>
      </c>
      <c r="EO60" s="14">
        <v>-1.81</v>
      </c>
      <c r="EP60" s="14">
        <v>1.35</v>
      </c>
    </row>
    <row r="61" spans="1:146" ht="204" x14ac:dyDescent="0.25">
      <c r="A61" s="7"/>
      <c r="B61" s="7"/>
      <c r="C61" s="7" t="str">
        <f>"朗新科技深耕电力能源服务领域20多年,是能源互联网和数字化的领先企业,一方面通过软件和技术服务,帮助国家电网、南方电网等能源企业实现内部业务管理和业务运营的数字化升级,另一方面通过构建自有的数字生活能源服务平台,携手战略合作伙伴,通过支付宝等流量入口,帮助电网企业为C端用户提供新的能源服务场景(生活缴费、聚合充电等),提高其外部的售电和服务效率,创造并分享新的价值"&amp;CHAR(10)&amp;Basic_Fundamental_Information_Constructure(F61)&amp;CHAR(10)&amp;Basic_Fundamental_Information_Concatenate("能源互联网及创新业务 17.62亿 52.04%（毛利44.30%）
互联网电视业务 11.11亿 32.79%（毛利37.52%）
数字生活业务 5.91亿 17.44%（毛利63.22%）")</f>
        <v>朗新科技深耕电力能源服务领域20多年,是能源互联网和数字化的领先企业,一方面通过软件和技术服务,帮助国家电网、南方电网等能源企业实现内部业务管理和业务运营的数字化升级,另一方面通过构建自有的数字生活能源服务平台,携手战略合作伙伴,通过支付宝等流量入口,帮助电网企业为C端用户提供新的能源服务场景(生活缴费、聚合充电等),提高其外部的售电和服务效率,创造并分享新的价值
市值91.512161亿, 利润6.04亿; PE16.21; 平均PE14.16; 平均PEG1.1, PB1.21; ROIC6.5%; ROE8.38%; 股利率3.3215%; 毛利41.13%; 净利12.7767%; 上一年度营收增3.84%, 利润增17.51%; 当季营收增2.3%, 利润增-195.8%; 过往5年营收增12.83%, 利润增82.55%
Income profile:
能源互联网及创新业务 17.62亿 52.04%（毛利44.30%）
互联网电视业务 11.11亿 32.79%（毛利37.52%）
数字生活业务 5.91亿 17.44%（毛利63.22%）</v>
      </c>
      <c r="D61" t="s">
        <v>128</v>
      </c>
      <c r="E61" t="s">
        <v>1711</v>
      </c>
      <c r="F61">
        <v>8.43</v>
      </c>
      <c r="G61">
        <v>0.24</v>
      </c>
      <c r="H61" t="s">
        <v>3730</v>
      </c>
      <c r="I61">
        <v>9151216100</v>
      </c>
      <c r="J61">
        <v>16.21</v>
      </c>
      <c r="K61">
        <v>1.21</v>
      </c>
      <c r="L61" t="s">
        <v>1166</v>
      </c>
      <c r="M61" t="s">
        <v>2647</v>
      </c>
      <c r="N61" t="s">
        <v>2648</v>
      </c>
      <c r="O61" t="s">
        <v>390</v>
      </c>
      <c r="P61">
        <v>2.27</v>
      </c>
      <c r="Q61" t="s">
        <v>2658</v>
      </c>
      <c r="R61">
        <v>-19227215</v>
      </c>
      <c r="S61" s="5">
        <v>-1.958</v>
      </c>
      <c r="T61" t="s">
        <v>603</v>
      </c>
      <c r="U61">
        <v>1051362130</v>
      </c>
      <c r="V61">
        <v>1085553510</v>
      </c>
      <c r="W61">
        <v>1.29</v>
      </c>
      <c r="X61">
        <v>7.0000000000000007E-2</v>
      </c>
      <c r="Y61">
        <v>-7.02</v>
      </c>
      <c r="Z61" t="s">
        <v>1392</v>
      </c>
      <c r="AA61" t="s">
        <v>626</v>
      </c>
      <c r="AB61" t="s">
        <v>210</v>
      </c>
      <c r="AC61" t="s">
        <v>2649</v>
      </c>
      <c r="AD61" t="s">
        <v>60</v>
      </c>
      <c r="AE61">
        <v>-11712339</v>
      </c>
      <c r="AF61" t="s">
        <v>2650</v>
      </c>
      <c r="AG61" t="s">
        <v>2651</v>
      </c>
      <c r="AH61" t="s">
        <v>2652</v>
      </c>
      <c r="AI61" t="s">
        <v>1696</v>
      </c>
      <c r="AJ61" t="s">
        <v>2653</v>
      </c>
      <c r="AK61" t="s">
        <v>297</v>
      </c>
      <c r="AL61" t="s">
        <v>2654</v>
      </c>
      <c r="AM61" t="s">
        <v>60</v>
      </c>
      <c r="AN61" t="s">
        <v>500</v>
      </c>
      <c r="AO61" t="s">
        <v>402</v>
      </c>
      <c r="AP61" t="s">
        <v>2655</v>
      </c>
      <c r="AQ61" t="s">
        <v>1682</v>
      </c>
      <c r="AR61" t="s">
        <v>60</v>
      </c>
      <c r="AS61" t="s">
        <v>2656</v>
      </c>
      <c r="AT61" t="s">
        <v>455</v>
      </c>
      <c r="AU61" t="s">
        <v>1642</v>
      </c>
      <c r="AV61" t="s">
        <v>2657</v>
      </c>
      <c r="AW61" t="s">
        <v>343</v>
      </c>
      <c r="AX61" t="s">
        <v>1436</v>
      </c>
      <c r="AY61" t="s">
        <v>1136</v>
      </c>
      <c r="AZ61" t="s">
        <v>897</v>
      </c>
      <c r="BA61" t="s">
        <v>563</v>
      </c>
      <c r="BB61" t="s">
        <v>898</v>
      </c>
      <c r="BC61" t="s">
        <v>867</v>
      </c>
      <c r="BD61" t="s">
        <v>1120</v>
      </c>
      <c r="BE61" t="s">
        <v>786</v>
      </c>
      <c r="BF61" t="s">
        <v>564</v>
      </c>
      <c r="BG61" t="s">
        <v>444</v>
      </c>
      <c r="BH61" t="s">
        <v>2658</v>
      </c>
      <c r="BI61" t="s">
        <v>922</v>
      </c>
      <c r="BJ61" t="s">
        <v>1436</v>
      </c>
      <c r="BK61" t="s">
        <v>603</v>
      </c>
      <c r="BL61" t="s">
        <v>3731</v>
      </c>
      <c r="BM61" t="s">
        <v>867</v>
      </c>
      <c r="BN61">
        <v>1.73</v>
      </c>
      <c r="BO61">
        <v>5.41</v>
      </c>
      <c r="BP61">
        <v>12.36</v>
      </c>
      <c r="BQ61">
        <v>2.79</v>
      </c>
      <c r="BR61">
        <v>7.83</v>
      </c>
      <c r="BS61">
        <v>14.52</v>
      </c>
      <c r="BT61" t="s">
        <v>2659</v>
      </c>
      <c r="BU61" t="s">
        <v>1166</v>
      </c>
      <c r="BV61">
        <v>40.75</v>
      </c>
      <c r="BW61">
        <v>39.22</v>
      </c>
      <c r="BX61">
        <v>43.42</v>
      </c>
      <c r="BY61">
        <v>10.88</v>
      </c>
      <c r="BZ61">
        <v>9.3000000000000007</v>
      </c>
      <c r="CA61">
        <v>18.149999999999999</v>
      </c>
      <c r="CB61">
        <v>1.2</v>
      </c>
      <c r="CC61">
        <v>-14.5</v>
      </c>
      <c r="CD61" t="s">
        <v>3732</v>
      </c>
      <c r="CE61" t="s">
        <v>619</v>
      </c>
      <c r="CF61" s="8">
        <v>2.2970903522205207E-2</v>
      </c>
      <c r="CG61" s="9">
        <v>-1.9580363638175531</v>
      </c>
      <c r="CH61" s="8">
        <v>3.8444653153419495E-2</v>
      </c>
      <c r="CI61" s="8">
        <v>-1.8754055723547935E-2</v>
      </c>
      <c r="CJ61" s="8">
        <v>0.36964863538742065</v>
      </c>
      <c r="CK61" s="8">
        <v>0.14117252826690674</v>
      </c>
      <c r="CL61" s="8">
        <v>0.11077844351530075</v>
      </c>
      <c r="CM61" s="9">
        <v>0.1750972718000412</v>
      </c>
      <c r="CN61" s="9">
        <v>-0.39315229654312134</v>
      </c>
      <c r="CO61" s="9">
        <v>0.19801980257034302</v>
      </c>
      <c r="CP61" s="9">
        <v>-0.30686274170875549</v>
      </c>
      <c r="CQ61" s="9">
        <v>4.4545454978942871</v>
      </c>
      <c r="CR61">
        <v>14.155013302397526</v>
      </c>
      <c r="CS61">
        <v>1.1036355460347045</v>
      </c>
      <c r="CT61">
        <v>3.3214709371293001</v>
      </c>
      <c r="CU61" s="8">
        <v>0.12825804091989995</v>
      </c>
      <c r="CV61" s="9">
        <v>0.82552950680255888</v>
      </c>
      <c r="CW61">
        <v>0.06</v>
      </c>
      <c r="CX61">
        <v>6.1086506501761253</v>
      </c>
      <c r="CY61">
        <v>642894204.44869757</v>
      </c>
      <c r="CZ61">
        <v>0.12825804091989995</v>
      </c>
      <c r="DA61">
        <v>1.9328900090567818</v>
      </c>
      <c r="DB61">
        <v>2031784572.1166594</v>
      </c>
      <c r="DC61">
        <v>0.12184513887390495</v>
      </c>
      <c r="DD61">
        <v>0.91078613047152723</v>
      </c>
      <c r="DE61">
        <v>4311897127.7777605</v>
      </c>
      <c r="DF61">
        <v>0.11286707600951196</v>
      </c>
      <c r="DG61">
        <v>0.52016216057345777</v>
      </c>
      <c r="DH61">
        <v>7549984211.9818974</v>
      </c>
      <c r="DI61">
        <v>0.10260643273591996</v>
      </c>
      <c r="DJ61">
        <v>0.23996078347259256</v>
      </c>
      <c r="DK61">
        <v>16366074669.232573</v>
      </c>
      <c r="DL61">
        <v>8.9780628643929966E-2</v>
      </c>
      <c r="DM61">
        <v>604000000</v>
      </c>
      <c r="DN61">
        <v>0.12825804091989995</v>
      </c>
      <c r="DO61">
        <v>3927216099.999999</v>
      </c>
      <c r="DP61">
        <v>4220499000</v>
      </c>
      <c r="DQ61">
        <v>2147</v>
      </c>
      <c r="DR61">
        <v>-0.10528713739769474</v>
      </c>
      <c r="DS61">
        <v>-2.7835658706201118</v>
      </c>
      <c r="DT61" s="10">
        <v>-0.3066666666666667</v>
      </c>
      <c r="DU61">
        <v>-0.36166666666666664</v>
      </c>
      <c r="DV61">
        <v>-0.66833333333333333</v>
      </c>
      <c r="DW61">
        <v>-2.145</v>
      </c>
      <c r="DX61">
        <v>0.29195401337792531</v>
      </c>
      <c r="DY61">
        <v>-2.0162333319397994</v>
      </c>
      <c r="DZ61">
        <v>3212</v>
      </c>
      <c r="EA61">
        <v>-2.0060235292786213</v>
      </c>
      <c r="EB61">
        <v>2</v>
      </c>
      <c r="EC61">
        <v>6.1672224706822605E-2</v>
      </c>
      <c r="ED61">
        <v>0.55087104826366418</v>
      </c>
      <c r="EE61" s="11">
        <v>-2.0045099999999998</v>
      </c>
      <c r="EF61">
        <v>-2.0021100000000001</v>
      </c>
      <c r="EG61">
        <v>18.111954013377925</v>
      </c>
      <c r="EH61" t="s">
        <v>1399</v>
      </c>
      <c r="EI61">
        <v>0</v>
      </c>
      <c r="EJ61">
        <v>0</v>
      </c>
      <c r="EK61" s="13">
        <v>45489</v>
      </c>
      <c r="EL61" s="14">
        <v>-5.72</v>
      </c>
      <c r="EM61" s="14">
        <v>3.25</v>
      </c>
      <c r="EN61" s="14">
        <v>0.23</v>
      </c>
      <c r="EO61" s="14">
        <v>-2.3199999999999998</v>
      </c>
      <c r="EP61" s="14">
        <v>0.24</v>
      </c>
    </row>
    <row r="62" spans="1:146" ht="108" x14ac:dyDescent="0.25">
      <c r="A62" s="7"/>
      <c r="B62" s="7"/>
      <c r="C62" s="7" t="str">
        <f>""&amp;CHAR(10)&amp;Basic_Fundamental_Information_Constructure(F62)&amp;CHAR(10)&amp;Basic_Fundamental_Information_Concatenate("")</f>
        <v xml:space="preserve">
市值52.413971亿, 利润2.54亿; PE17.93; 平均PE29; 平均PEG1.4, PB1.93; ROIC8.41%; ROE10.98%; 股利率.8607%; 毛利35.5233%; 净利11.48%; 上一年度营收增-.75%, 利润增2.01%; 当季营收增4.45%, 利润增216.45%; 过往5年营收增20.68%, 利润增32.8%
Income profile:
</v>
      </c>
      <c r="D62" t="s">
        <v>119</v>
      </c>
      <c r="E62" t="s">
        <v>39</v>
      </c>
      <c r="F62">
        <v>12.78</v>
      </c>
      <c r="G62">
        <v>-0.16</v>
      </c>
      <c r="H62" t="s">
        <v>3733</v>
      </c>
      <c r="I62">
        <v>5241397100</v>
      </c>
      <c r="J62">
        <v>17.93</v>
      </c>
      <c r="K62">
        <v>1.93</v>
      </c>
      <c r="L62" t="s">
        <v>1166</v>
      </c>
      <c r="M62" t="s">
        <v>1427</v>
      </c>
      <c r="N62" t="s">
        <v>2660</v>
      </c>
      <c r="O62" t="s">
        <v>660</v>
      </c>
      <c r="P62">
        <v>4.51</v>
      </c>
      <c r="Q62" t="s">
        <v>2673</v>
      </c>
      <c r="R62">
        <v>20384488</v>
      </c>
      <c r="S62" s="5">
        <v>2.165</v>
      </c>
      <c r="T62" t="s">
        <v>681</v>
      </c>
      <c r="U62">
        <v>325382350</v>
      </c>
      <c r="V62">
        <v>410124970</v>
      </c>
      <c r="W62">
        <v>1.3</v>
      </c>
      <c r="X62">
        <v>0.15</v>
      </c>
      <c r="Y62">
        <v>3.39</v>
      </c>
      <c r="Z62" t="s">
        <v>1609</v>
      </c>
      <c r="AA62" t="s">
        <v>331</v>
      </c>
      <c r="AB62" t="s">
        <v>2661</v>
      </c>
      <c r="AC62" t="s">
        <v>2662</v>
      </c>
      <c r="AD62" t="s">
        <v>60</v>
      </c>
      <c r="AE62">
        <v>1737184</v>
      </c>
      <c r="AF62" t="s">
        <v>2663</v>
      </c>
      <c r="AG62" t="s">
        <v>2664</v>
      </c>
      <c r="AH62" t="s">
        <v>2665</v>
      </c>
      <c r="AI62" t="s">
        <v>805</v>
      </c>
      <c r="AJ62" t="s">
        <v>2666</v>
      </c>
      <c r="AK62" t="s">
        <v>2667</v>
      </c>
      <c r="AL62" t="s">
        <v>2668</v>
      </c>
      <c r="AM62" t="s">
        <v>60</v>
      </c>
      <c r="AN62" t="s">
        <v>2669</v>
      </c>
      <c r="AO62" t="s">
        <v>171</v>
      </c>
      <c r="AP62" t="s">
        <v>60</v>
      </c>
      <c r="AQ62" t="s">
        <v>2670</v>
      </c>
      <c r="AR62" t="s">
        <v>60</v>
      </c>
      <c r="AS62" t="s">
        <v>537</v>
      </c>
      <c r="AT62" t="s">
        <v>621</v>
      </c>
      <c r="AU62" t="s">
        <v>2671</v>
      </c>
      <c r="AV62" t="s">
        <v>2158</v>
      </c>
      <c r="AW62" t="s">
        <v>2672</v>
      </c>
      <c r="AX62" t="s">
        <v>1437</v>
      </c>
      <c r="AY62" t="s">
        <v>777</v>
      </c>
      <c r="AZ62" t="s">
        <v>899</v>
      </c>
      <c r="BA62" t="s">
        <v>565</v>
      </c>
      <c r="BB62" t="s">
        <v>900</v>
      </c>
      <c r="BC62" t="s">
        <v>434</v>
      </c>
      <c r="BD62" t="s">
        <v>514</v>
      </c>
      <c r="BE62" t="s">
        <v>476</v>
      </c>
      <c r="BF62" t="s">
        <v>566</v>
      </c>
      <c r="BG62" t="s">
        <v>275</v>
      </c>
      <c r="BH62" t="s">
        <v>2673</v>
      </c>
      <c r="BI62" t="s">
        <v>3734</v>
      </c>
      <c r="BJ62" t="s">
        <v>1437</v>
      </c>
      <c r="BK62" t="s">
        <v>681</v>
      </c>
      <c r="BL62" t="s">
        <v>3735</v>
      </c>
      <c r="BM62" t="s">
        <v>434</v>
      </c>
      <c r="BN62">
        <v>4.53</v>
      </c>
      <c r="BO62">
        <v>9.24</v>
      </c>
      <c r="BP62">
        <v>11.46</v>
      </c>
      <c r="BQ62">
        <v>4.87</v>
      </c>
      <c r="BR62">
        <v>11.05</v>
      </c>
      <c r="BS62">
        <v>17.02</v>
      </c>
      <c r="BT62" t="s">
        <v>2674</v>
      </c>
      <c r="BU62" t="s">
        <v>1166</v>
      </c>
      <c r="BV62">
        <v>35.56</v>
      </c>
      <c r="BW62">
        <v>35.68</v>
      </c>
      <c r="BX62">
        <v>35.33</v>
      </c>
      <c r="BY62">
        <v>11.44</v>
      </c>
      <c r="BZ62">
        <v>11.21</v>
      </c>
      <c r="CA62">
        <v>11.79</v>
      </c>
      <c r="CB62">
        <v>-2.52</v>
      </c>
      <c r="CC62">
        <v>-17.87</v>
      </c>
      <c r="CD62" t="s">
        <v>3736</v>
      </c>
      <c r="CE62" t="s">
        <v>251</v>
      </c>
      <c r="CF62" s="8">
        <v>4.4487427466150871E-2</v>
      </c>
      <c r="CG62" s="9">
        <v>2.164508477674695</v>
      </c>
      <c r="CH62" s="8">
        <v>-7.4856607243418694E-3</v>
      </c>
      <c r="CI62" s="8">
        <v>0.17364341020584106</v>
      </c>
      <c r="CJ62" s="8">
        <v>0.39711201190948486</v>
      </c>
      <c r="CK62" s="8">
        <v>0.28717467188835144</v>
      </c>
      <c r="CL62" s="8">
        <v>0.18371836841106415</v>
      </c>
      <c r="CM62" s="9">
        <v>2.0080320537090302E-2</v>
      </c>
      <c r="CN62" s="9">
        <v>0.10666666924953461</v>
      </c>
      <c r="CO62" s="9">
        <v>0.27840909361839294</v>
      </c>
      <c r="CP62" s="9">
        <v>1.6527637243270874</v>
      </c>
      <c r="CQ62" s="9">
        <v>-0.41801843047142029</v>
      </c>
      <c r="CR62">
        <v>29.002168588455032</v>
      </c>
      <c r="CS62">
        <v>1.4022051721957747</v>
      </c>
      <c r="CT62">
        <v>0.86071987480438195</v>
      </c>
      <c r="CU62" s="8">
        <v>0.20683256033807992</v>
      </c>
      <c r="CV62" s="9">
        <v>0.32798027545213698</v>
      </c>
      <c r="CW62">
        <v>0.06</v>
      </c>
      <c r="CX62">
        <v>11.395486865799011</v>
      </c>
      <c r="CY62">
        <v>289184405.96780401</v>
      </c>
      <c r="CZ62">
        <v>0.20683256033807992</v>
      </c>
      <c r="DA62">
        <v>3.3777260951479828</v>
      </c>
      <c r="DB62">
        <v>975625911.38865685</v>
      </c>
      <c r="DC62">
        <v>0.19649093232117593</v>
      </c>
      <c r="DD62">
        <v>1.4515278152139666</v>
      </c>
      <c r="DE62">
        <v>2270295522.7311525</v>
      </c>
      <c r="DF62">
        <v>0.18201265309751033</v>
      </c>
      <c r="DG62">
        <v>0.74218300876898369</v>
      </c>
      <c r="DH62">
        <v>4440140856.183013</v>
      </c>
      <c r="DI62">
        <v>0.16546604827046396</v>
      </c>
      <c r="DJ62">
        <v>0.26256101760854522</v>
      </c>
      <c r="DK62">
        <v>12550976264.546398</v>
      </c>
      <c r="DL62">
        <v>0.14478279223665594</v>
      </c>
      <c r="DM62">
        <v>254000000</v>
      </c>
      <c r="DN62">
        <v>0.20683256033807992</v>
      </c>
      <c r="DO62">
        <v>3295397100</v>
      </c>
      <c r="DP62">
        <v>1449543200</v>
      </c>
      <c r="DQ62">
        <v>2152</v>
      </c>
      <c r="DR62">
        <v>-0.16234513287192906</v>
      </c>
      <c r="DS62">
        <v>1.836528202222558</v>
      </c>
      <c r="DT62" s="10">
        <v>5.9999999999999908E-2</v>
      </c>
      <c r="DU62">
        <v>0.48666666666666664</v>
      </c>
      <c r="DV62">
        <v>0.54666666666666652</v>
      </c>
      <c r="DW62">
        <v>-8.141018466703974</v>
      </c>
      <c r="DX62">
        <v>0.34691961722487985</v>
      </c>
      <c r="DY62">
        <v>-8.0193081944827469</v>
      </c>
      <c r="DZ62">
        <v>704</v>
      </c>
      <c r="EA62">
        <v>-8.0166465596842631</v>
      </c>
      <c r="EB62">
        <v>8</v>
      </c>
      <c r="EC62">
        <v>6.9774342196233505E-2</v>
      </c>
      <c r="ED62">
        <v>0.50960076876079996</v>
      </c>
      <c r="EE62" s="11">
        <v>-4.0203100000000003</v>
      </c>
      <c r="EF62">
        <v>-4.0219100000000001</v>
      </c>
      <c r="EG62">
        <v>21.13691961722488</v>
      </c>
      <c r="EH62" t="s">
        <v>1709</v>
      </c>
      <c r="EI62">
        <v>0</v>
      </c>
      <c r="EJ62">
        <v>1</v>
      </c>
      <c r="EK62" s="13">
        <v>45489</v>
      </c>
      <c r="EL62" s="14">
        <v>0</v>
      </c>
      <c r="EM62" s="14">
        <v>3.36</v>
      </c>
      <c r="EN62" s="14">
        <v>-2.2200000000000002</v>
      </c>
      <c r="EO62" s="14">
        <v>-3.25</v>
      </c>
      <c r="EP62" s="14">
        <v>-0.16</v>
      </c>
    </row>
    <row r="63" spans="1:146" ht="96" x14ac:dyDescent="0.25">
      <c r="A63" s="7"/>
      <c r="B63" s="7"/>
      <c r="C63" s="7" t="str">
        <f>""&amp;CHAR(10)&amp;Basic_Fundamental_Information_Constructure(F63)&amp;CHAR(10)&amp;Basic_Fundamental_Information_Concatenate("")</f>
        <v xml:space="preserve">
市值51.726955亿, 利润1.17亿; PE28.77; 平均PE51.13; 平均PEG2.46, PB2.07; ROIC3.21%; ROE3.16%; 股利率.3909%; 毛利29.3367%; 净利4.8567%; 上一年度营收增-1.97%, 利润增92.38%; 当季营收增1.46%, 利润增225.81%; 过往5年营收增20.78%, 利润增14.84%
Income profile:
</v>
      </c>
      <c r="D63" t="s">
        <v>579</v>
      </c>
      <c r="E63" t="s">
        <v>580</v>
      </c>
      <c r="F63">
        <v>12.79</v>
      </c>
      <c r="G63">
        <v>0.24</v>
      </c>
      <c r="H63" t="s">
        <v>3737</v>
      </c>
      <c r="I63">
        <v>5172695500</v>
      </c>
      <c r="J63">
        <v>28.77</v>
      </c>
      <c r="K63">
        <v>2.0699999999999998</v>
      </c>
      <c r="L63" t="s">
        <v>1166</v>
      </c>
      <c r="M63" t="s">
        <v>2675</v>
      </c>
      <c r="N63" t="s">
        <v>2676</v>
      </c>
      <c r="O63" t="s">
        <v>677</v>
      </c>
      <c r="P63">
        <v>1.36</v>
      </c>
      <c r="Q63" t="s">
        <v>1050</v>
      </c>
      <c r="R63">
        <v>91023218</v>
      </c>
      <c r="S63" s="5">
        <v>2.258</v>
      </c>
      <c r="T63" t="s">
        <v>297</v>
      </c>
      <c r="U63">
        <v>338352480</v>
      </c>
      <c r="V63">
        <v>404431870</v>
      </c>
      <c r="W63">
        <v>1.56</v>
      </c>
      <c r="X63">
        <v>0.12</v>
      </c>
      <c r="Y63">
        <v>18.64</v>
      </c>
      <c r="Z63" t="s">
        <v>662</v>
      </c>
      <c r="AA63" t="s">
        <v>329</v>
      </c>
      <c r="AB63" t="s">
        <v>871</v>
      </c>
      <c r="AC63" t="s">
        <v>2677</v>
      </c>
      <c r="AD63" t="s">
        <v>60</v>
      </c>
      <c r="AE63">
        <v>11614139</v>
      </c>
      <c r="AF63" t="s">
        <v>2678</v>
      </c>
      <c r="AG63" t="s">
        <v>60</v>
      </c>
      <c r="AH63" t="s">
        <v>2679</v>
      </c>
      <c r="AI63" t="s">
        <v>1237</v>
      </c>
      <c r="AJ63" t="s">
        <v>2680</v>
      </c>
      <c r="AK63" t="s">
        <v>60</v>
      </c>
      <c r="AL63" t="s">
        <v>2681</v>
      </c>
      <c r="AM63" t="s">
        <v>60</v>
      </c>
      <c r="AN63" t="s">
        <v>2682</v>
      </c>
      <c r="AO63" t="s">
        <v>205</v>
      </c>
      <c r="AP63" t="s">
        <v>1238</v>
      </c>
      <c r="AQ63" t="s">
        <v>2683</v>
      </c>
      <c r="AR63" t="s">
        <v>60</v>
      </c>
      <c r="AS63" t="s">
        <v>391</v>
      </c>
      <c r="AT63" t="s">
        <v>2684</v>
      </c>
      <c r="AU63" t="s">
        <v>1606</v>
      </c>
      <c r="AV63" t="s">
        <v>2685</v>
      </c>
      <c r="AW63" t="s">
        <v>2686</v>
      </c>
      <c r="AX63" t="s">
        <v>1441</v>
      </c>
      <c r="AY63" t="s">
        <v>1019</v>
      </c>
      <c r="AZ63" t="s">
        <v>851</v>
      </c>
      <c r="BA63" t="s">
        <v>581</v>
      </c>
      <c r="BB63" t="s">
        <v>188</v>
      </c>
      <c r="BC63" t="s">
        <v>2687</v>
      </c>
      <c r="BD63" t="s">
        <v>1138</v>
      </c>
      <c r="BE63" t="s">
        <v>228</v>
      </c>
      <c r="BF63" t="s">
        <v>167</v>
      </c>
      <c r="BG63" t="s">
        <v>904</v>
      </c>
      <c r="BH63" t="s">
        <v>1050</v>
      </c>
      <c r="BI63" t="s">
        <v>3738</v>
      </c>
      <c r="BJ63" t="s">
        <v>1441</v>
      </c>
      <c r="BK63" t="s">
        <v>297</v>
      </c>
      <c r="BL63" t="s">
        <v>3739</v>
      </c>
      <c r="BM63" t="s">
        <v>2687</v>
      </c>
      <c r="BN63">
        <v>2.8</v>
      </c>
      <c r="BO63">
        <v>2.77</v>
      </c>
      <c r="BP63">
        <v>4.0599999999999996</v>
      </c>
      <c r="BQ63">
        <v>2.46</v>
      </c>
      <c r="BR63">
        <v>2.66</v>
      </c>
      <c r="BS63">
        <v>4.3600000000000003</v>
      </c>
      <c r="BT63" t="s">
        <v>1345</v>
      </c>
      <c r="BU63" t="s">
        <v>1166</v>
      </c>
      <c r="BV63">
        <v>28.67</v>
      </c>
      <c r="BW63">
        <v>27.72</v>
      </c>
      <c r="BX63">
        <v>31.62</v>
      </c>
      <c r="BY63">
        <v>5.88</v>
      </c>
      <c r="BZ63">
        <v>2.96</v>
      </c>
      <c r="CA63">
        <v>5.73</v>
      </c>
      <c r="CB63">
        <v>0.24</v>
      </c>
      <c r="CC63">
        <v>1.35</v>
      </c>
      <c r="CD63" t="s">
        <v>3740</v>
      </c>
      <c r="CE63" t="s">
        <v>253</v>
      </c>
      <c r="CF63" s="8">
        <v>1.4553014553014679E-2</v>
      </c>
      <c r="CG63" s="9">
        <v>2.2581017628635345</v>
      </c>
      <c r="CH63" s="8">
        <v>-1.9746867939829826E-2</v>
      </c>
      <c r="CI63" s="8">
        <v>0.11204958707094193</v>
      </c>
      <c r="CJ63" s="8">
        <v>0.35057029128074646</v>
      </c>
      <c r="CK63" s="8">
        <v>0.23822981119155884</v>
      </c>
      <c r="CL63" s="8">
        <v>0.35805627703666687</v>
      </c>
      <c r="CM63" s="9">
        <v>0.92381370067596436</v>
      </c>
      <c r="CN63" s="9">
        <v>-0.38564085960388184</v>
      </c>
      <c r="CO63" s="9">
        <v>-0.26125302910804749</v>
      </c>
      <c r="CP63" s="9">
        <v>0.24074074625968933</v>
      </c>
      <c r="CQ63" s="9">
        <v>0.2245536595582962</v>
      </c>
      <c r="CR63">
        <v>51.13007949533133</v>
      </c>
      <c r="CS63">
        <v>2.4601660882459528</v>
      </c>
      <c r="CT63">
        <v>0.39093041438623927</v>
      </c>
      <c r="CU63" s="8">
        <v>0.20783181972801684</v>
      </c>
      <c r="CV63" s="9">
        <v>0.14844284355640411</v>
      </c>
      <c r="CW63">
        <v>0.06</v>
      </c>
      <c r="CX63">
        <v>29.708791904583602</v>
      </c>
      <c r="CY63">
        <v>133317285.76243205</v>
      </c>
      <c r="CZ63">
        <v>0.20783181972801684</v>
      </c>
      <c r="DA63">
        <v>8.7987156499733299</v>
      </c>
      <c r="DB63">
        <v>450144732.20441049</v>
      </c>
      <c r="DC63">
        <v>0.19744022874161599</v>
      </c>
      <c r="DD63">
        <v>3.7766287472969307</v>
      </c>
      <c r="DE63">
        <v>1048738376.2131273</v>
      </c>
      <c r="DF63">
        <v>0.18289200136065481</v>
      </c>
      <c r="DG63">
        <v>1.9282101466497894</v>
      </c>
      <c r="DH63">
        <v>2054078756.3438542</v>
      </c>
      <c r="DI63">
        <v>0.16626545578241347</v>
      </c>
      <c r="DJ63">
        <v>0.67967403316924224</v>
      </c>
      <c r="DK63">
        <v>5827345619.6814375</v>
      </c>
      <c r="DL63">
        <v>0.14548227380961179</v>
      </c>
      <c r="DM63">
        <v>117000000</v>
      </c>
      <c r="DN63">
        <v>0.20783181972801684</v>
      </c>
      <c r="DO63">
        <v>3960695500</v>
      </c>
      <c r="DP63">
        <v>2632064300</v>
      </c>
      <c r="DQ63">
        <v>2327</v>
      </c>
      <c r="DR63">
        <v>-0.19327880517500218</v>
      </c>
      <c r="DS63">
        <v>2.1096589193071305</v>
      </c>
      <c r="DT63" s="10">
        <v>-9.000000000000008E-2</v>
      </c>
      <c r="DU63">
        <v>0.86666666666666659</v>
      </c>
      <c r="DV63">
        <v>0.77666666666666651</v>
      </c>
      <c r="DW63">
        <v>1.3500000000000002E-2</v>
      </c>
      <c r="DX63">
        <v>0.30937137404580117</v>
      </c>
      <c r="DY63">
        <v>1.8815135496183207E-3</v>
      </c>
      <c r="DZ63">
        <v>427</v>
      </c>
      <c r="EA63">
        <v>1.7241988275335306E-3</v>
      </c>
      <c r="EB63">
        <v>0</v>
      </c>
      <c r="EC63">
        <v>9.0287889527598308E-2</v>
      </c>
      <c r="ED63">
        <v>0.64782233902585373</v>
      </c>
      <c r="EE63" s="11">
        <v>-4.0441099999999999</v>
      </c>
      <c r="EF63">
        <v>-4.0417100000000001</v>
      </c>
      <c r="EG63">
        <v>17.139371374045801</v>
      </c>
      <c r="EH63" t="s">
        <v>1709</v>
      </c>
      <c r="EI63">
        <v>0</v>
      </c>
      <c r="EJ63">
        <v>1</v>
      </c>
      <c r="EK63" s="13">
        <v>45489</v>
      </c>
      <c r="EL63" s="14">
        <v>-2.21</v>
      </c>
      <c r="EM63" s="14">
        <v>3.52</v>
      </c>
      <c r="EN63" s="14">
        <v>0.98</v>
      </c>
      <c r="EO63" s="14">
        <v>-4.63</v>
      </c>
      <c r="EP63" s="14">
        <v>0.24</v>
      </c>
    </row>
    <row r="64" spans="1:146" ht="108" x14ac:dyDescent="0.25">
      <c r="A64" s="7"/>
      <c r="B64" s="7"/>
      <c r="C64" s="7" t="str">
        <f>""&amp;CHAR(10)&amp;Basic_Fundamental_Information_Constructure(F64)&amp;CHAR(10)&amp;Basic_Fundamental_Information_Concatenate("")</f>
        <v xml:space="preserve">
市值37.435026亿, 利润7786.14万; PE47.03; 平均PE48.85; 平均PEG6.19, PB3.33; ROIC10.0033%; ROE12.0233%; 股利率.6508%; 毛利13.66%; 净利5.5367%; 上一年度营收增5%, 利润增-3.32%; 当季营收增-12.88%, 利润增8.27%; 过往5年营收增7.89%, 利润增9.64%
Income profile:
</v>
      </c>
      <c r="D64" t="s">
        <v>1036</v>
      </c>
      <c r="E64" t="s">
        <v>1037</v>
      </c>
      <c r="F64">
        <v>43.14</v>
      </c>
      <c r="G64">
        <v>6.28</v>
      </c>
      <c r="H64" t="s">
        <v>3741</v>
      </c>
      <c r="I64">
        <v>3743502600</v>
      </c>
      <c r="J64">
        <v>47.03</v>
      </c>
      <c r="K64">
        <v>3.33</v>
      </c>
      <c r="L64" t="s">
        <v>1166</v>
      </c>
      <c r="M64" t="s">
        <v>797</v>
      </c>
      <c r="N64" t="s">
        <v>1257</v>
      </c>
      <c r="O64" t="s">
        <v>544</v>
      </c>
      <c r="P64">
        <v>-13.05</v>
      </c>
      <c r="Q64" t="s">
        <v>1653</v>
      </c>
      <c r="R64">
        <v>22694763</v>
      </c>
      <c r="S64" s="5">
        <v>8.2699999999999996E-2</v>
      </c>
      <c r="T64" t="s">
        <v>2696</v>
      </c>
      <c r="U64">
        <v>39384178</v>
      </c>
      <c r="V64">
        <v>86775675</v>
      </c>
      <c r="W64">
        <v>1.79</v>
      </c>
      <c r="X64">
        <v>0.18</v>
      </c>
      <c r="Y64">
        <v>6.11</v>
      </c>
      <c r="Z64" t="s">
        <v>515</v>
      </c>
      <c r="AA64" t="s">
        <v>219</v>
      </c>
      <c r="AB64" t="s">
        <v>2688</v>
      </c>
      <c r="AC64" t="s">
        <v>2689</v>
      </c>
      <c r="AD64" t="s">
        <v>60</v>
      </c>
      <c r="AE64">
        <v>3455720</v>
      </c>
      <c r="AF64" t="s">
        <v>168</v>
      </c>
      <c r="AG64" t="s">
        <v>60</v>
      </c>
      <c r="AH64" t="s">
        <v>2690</v>
      </c>
      <c r="AI64" t="s">
        <v>1234</v>
      </c>
      <c r="AJ64" t="s">
        <v>2691</v>
      </c>
      <c r="AK64" t="s">
        <v>2692</v>
      </c>
      <c r="AL64" t="s">
        <v>2693</v>
      </c>
      <c r="AM64" t="s">
        <v>60</v>
      </c>
      <c r="AN64">
        <v>0</v>
      </c>
      <c r="AO64" t="s">
        <v>459</v>
      </c>
      <c r="AP64" t="s">
        <v>373</v>
      </c>
      <c r="AQ64" t="s">
        <v>177</v>
      </c>
      <c r="AR64" t="s">
        <v>60</v>
      </c>
      <c r="AS64" t="s">
        <v>1628</v>
      </c>
      <c r="AT64" t="s">
        <v>60</v>
      </c>
      <c r="AU64" t="s">
        <v>1231</v>
      </c>
      <c r="AV64" t="s">
        <v>2694</v>
      </c>
      <c r="AW64" t="s">
        <v>2695</v>
      </c>
      <c r="AX64" t="s">
        <v>1443</v>
      </c>
      <c r="AY64" t="s">
        <v>1140</v>
      </c>
      <c r="AZ64" t="s">
        <v>781</v>
      </c>
      <c r="BA64" t="s">
        <v>1039</v>
      </c>
      <c r="BB64" t="s">
        <v>913</v>
      </c>
      <c r="BC64" t="s">
        <v>1444</v>
      </c>
      <c r="BD64" t="s">
        <v>1141</v>
      </c>
      <c r="BE64" t="s">
        <v>1038</v>
      </c>
      <c r="BF64" t="s">
        <v>1040</v>
      </c>
      <c r="BG64" t="s">
        <v>1041</v>
      </c>
      <c r="BH64" t="s">
        <v>1653</v>
      </c>
      <c r="BI64" t="s">
        <v>3742</v>
      </c>
      <c r="BJ64" t="s">
        <v>1443</v>
      </c>
      <c r="BK64" t="s">
        <v>2696</v>
      </c>
      <c r="BL64" t="s">
        <v>3743</v>
      </c>
      <c r="BM64" t="s">
        <v>1444</v>
      </c>
      <c r="BN64">
        <v>8.1</v>
      </c>
      <c r="BO64">
        <v>10.11</v>
      </c>
      <c r="BP64">
        <v>11.8</v>
      </c>
      <c r="BQ64">
        <v>10.039999999999999</v>
      </c>
      <c r="BR64">
        <v>10.26</v>
      </c>
      <c r="BS64">
        <v>15.77</v>
      </c>
      <c r="BT64" t="s">
        <v>2697</v>
      </c>
      <c r="BU64" t="s">
        <v>1166</v>
      </c>
      <c r="BV64">
        <v>15.3</v>
      </c>
      <c r="BW64">
        <v>12.34</v>
      </c>
      <c r="BX64">
        <v>13.34</v>
      </c>
      <c r="BY64">
        <v>5.08</v>
      </c>
      <c r="BZ64">
        <v>5.52</v>
      </c>
      <c r="CA64">
        <v>6.01</v>
      </c>
      <c r="CB64">
        <v>6.76</v>
      </c>
      <c r="CC64">
        <v>-4.26</v>
      </c>
      <c r="CD64" t="s">
        <v>3744</v>
      </c>
      <c r="CE64" t="s">
        <v>3745</v>
      </c>
      <c r="CF64" s="8">
        <v>-0.12880562060889916</v>
      </c>
      <c r="CG64" s="9">
        <v>8.2718919512043854E-2</v>
      </c>
      <c r="CH64" s="8">
        <v>5.0034224987030029E-2</v>
      </c>
      <c r="CI64" s="8">
        <v>0.24064631760120392</v>
      </c>
      <c r="CJ64" s="8">
        <v>-2.9702970758080482E-2</v>
      </c>
      <c r="CK64" s="8">
        <v>-0.10089020431041718</v>
      </c>
      <c r="CL64" s="8">
        <v>0.23443223536014557</v>
      </c>
      <c r="CM64" s="9">
        <v>-3.3156018704175949E-2</v>
      </c>
      <c r="CN64" s="9">
        <v>0.14020928740501404</v>
      </c>
      <c r="CO64" s="9">
        <v>-0.28731372952461243</v>
      </c>
      <c r="CP64" s="9">
        <v>0.30914607644081116</v>
      </c>
      <c r="CQ64" s="9">
        <v>0.3530748188495636</v>
      </c>
      <c r="CR64">
        <v>48.85272114318029</v>
      </c>
      <c r="CS64">
        <v>6.1914187262900509</v>
      </c>
      <c r="CT64">
        <v>0.65078349559573478</v>
      </c>
      <c r="CU64" s="8">
        <v>7.8903920575976366E-2</v>
      </c>
      <c r="CV64" s="9">
        <v>9.6392086893320086E-2</v>
      </c>
      <c r="CW64">
        <v>0.06</v>
      </c>
      <c r="CX64">
        <v>45.722446763949002</v>
      </c>
      <c r="CY64">
        <v>79249971.435409725</v>
      </c>
      <c r="CZ64">
        <v>7.8903920575976366E-2</v>
      </c>
      <c r="DA64">
        <v>15.082899573762251</v>
      </c>
      <c r="DB64">
        <v>240239125.26098984</v>
      </c>
      <c r="DC64">
        <v>7.4958724547177544E-2</v>
      </c>
      <c r="DD64">
        <v>7.5185638429449133</v>
      </c>
      <c r="DE64">
        <v>481940790.24814481</v>
      </c>
      <c r="DF64">
        <v>6.9435450106859198E-2</v>
      </c>
      <c r="DG64">
        <v>4.5789245633319409</v>
      </c>
      <c r="DH64">
        <v>791343589.50069487</v>
      </c>
      <c r="DI64">
        <v>6.312313646078109E-2</v>
      </c>
      <c r="DJ64">
        <v>2.4388469580072298</v>
      </c>
      <c r="DK64">
        <v>1485744149.7521217</v>
      </c>
      <c r="DL64">
        <v>5.5232744403183452E-2</v>
      </c>
      <c r="DM64">
        <v>77861400</v>
      </c>
      <c r="DN64">
        <v>7.8903920575976366E-2</v>
      </c>
      <c r="DO64">
        <v>3623502600</v>
      </c>
      <c r="DP64">
        <v>1080029700</v>
      </c>
      <c r="DQ64">
        <v>2526</v>
      </c>
      <c r="DR64">
        <v>-0.20770954118487553</v>
      </c>
      <c r="DS64">
        <v>-1.3673167381276233E-2</v>
      </c>
      <c r="DT64" s="10">
        <v>-0.19000000000000003</v>
      </c>
      <c r="DU64">
        <v>8.3333333333333301E-2</v>
      </c>
      <c r="DV64">
        <v>-0.10666666666666673</v>
      </c>
      <c r="DW64">
        <v>5.6301775147928996</v>
      </c>
      <c r="DX64">
        <v>0.69649607278672243</v>
      </c>
      <c r="DY64">
        <v>5.1679398328508039</v>
      </c>
      <c r="DZ64">
        <v>2051</v>
      </c>
      <c r="EA64">
        <v>5.1004942489117013</v>
      </c>
      <c r="EB64">
        <v>5</v>
      </c>
      <c r="EC64">
        <v>0.17282262569550741</v>
      </c>
      <c r="ED64">
        <v>0.64849970916388722</v>
      </c>
      <c r="EE64" s="11">
        <v>1.08291</v>
      </c>
      <c r="EF64">
        <v>1.0201100000000001</v>
      </c>
      <c r="EG64">
        <v>43.266496072786722</v>
      </c>
      <c r="EH64" t="s">
        <v>1229</v>
      </c>
      <c r="EI64">
        <v>1</v>
      </c>
      <c r="EJ64">
        <v>0</v>
      </c>
      <c r="EK64" s="13">
        <v>45489</v>
      </c>
      <c r="EL64" s="14">
        <v>-2.36</v>
      </c>
      <c r="EM64" s="14">
        <v>4.63</v>
      </c>
      <c r="EN64" s="14">
        <v>0.3</v>
      </c>
      <c r="EO64" s="14">
        <v>-5.32</v>
      </c>
      <c r="EP64" s="14">
        <v>6.28</v>
      </c>
    </row>
    <row r="65" spans="1:146" ht="96" x14ac:dyDescent="0.25">
      <c r="C65" s="7" t="str">
        <f>""&amp;CHAR(10)&amp;Basic_Fundamental_Information_Constructure(F65)&amp;CHAR(10)&amp;Basic_Fundamental_Information_Concatenate("")</f>
        <v xml:space="preserve">
市值32.85744亿, 利润6340.15万; PE42.75; 平均PE53.24; 平均PEG7.08, PB2.25; ROIC11.3033%; ROE10.325%; 股利率.7499%; 毛利35.4933%; 净利17.3167%; 上一年度营收增1.22%, 利润增-12.25%; 当季营收增223.27%, 利润增312.85%; 过往5年营收增7.52%, 利润增5.08%
Income profile:
</v>
      </c>
      <c r="D65" s="5" t="s">
        <v>1505</v>
      </c>
      <c r="E65" t="s">
        <v>1506</v>
      </c>
      <c r="F65">
        <v>26.67</v>
      </c>
      <c r="G65">
        <v>0.95</v>
      </c>
      <c r="H65" t="s">
        <v>3746</v>
      </c>
      <c r="I65">
        <v>3285744000</v>
      </c>
      <c r="J65">
        <v>42.75</v>
      </c>
      <c r="K65">
        <v>2.25</v>
      </c>
      <c r="L65" t="s">
        <v>1166</v>
      </c>
      <c r="M65" t="s">
        <v>538</v>
      </c>
      <c r="N65" t="s">
        <v>2698</v>
      </c>
      <c r="O65" t="s">
        <v>2699</v>
      </c>
      <c r="P65" s="5">
        <v>223.27</v>
      </c>
      <c r="Q65" t="s">
        <v>328</v>
      </c>
      <c r="R65">
        <v>9150493</v>
      </c>
      <c r="S65">
        <v>3.1280000000000001</v>
      </c>
      <c r="T65" t="s">
        <v>2714</v>
      </c>
      <c r="U65">
        <v>29219726</v>
      </c>
      <c r="V65">
        <v>123200000</v>
      </c>
      <c r="W65">
        <v>1.21</v>
      </c>
      <c r="X65">
        <v>0.03</v>
      </c>
      <c r="Y65">
        <v>16.61</v>
      </c>
      <c r="Z65" t="s">
        <v>2700</v>
      </c>
      <c r="AA65" t="s">
        <v>2701</v>
      </c>
      <c r="AB65" t="s">
        <v>2702</v>
      </c>
      <c r="AC65" t="s">
        <v>2703</v>
      </c>
      <c r="AD65" t="s">
        <v>60</v>
      </c>
      <c r="AE65">
        <v>-5835592</v>
      </c>
      <c r="AF65" t="s">
        <v>2704</v>
      </c>
      <c r="AG65">
        <v>0.02</v>
      </c>
      <c r="AH65" t="s">
        <v>2705</v>
      </c>
      <c r="AI65" t="s">
        <v>1230</v>
      </c>
      <c r="AJ65" t="s">
        <v>2706</v>
      </c>
      <c r="AK65" t="s">
        <v>2707</v>
      </c>
      <c r="AL65" t="s">
        <v>2708</v>
      </c>
      <c r="AM65" t="s">
        <v>60</v>
      </c>
      <c r="AN65">
        <v>0</v>
      </c>
      <c r="AO65" t="s">
        <v>60</v>
      </c>
      <c r="AP65" t="s">
        <v>2709</v>
      </c>
      <c r="AQ65" t="s">
        <v>2710</v>
      </c>
      <c r="AR65" t="s">
        <v>60</v>
      </c>
      <c r="AS65" t="s">
        <v>225</v>
      </c>
      <c r="AT65" t="s">
        <v>60</v>
      </c>
      <c r="AU65" t="s">
        <v>2711</v>
      </c>
      <c r="AV65" t="s">
        <v>2712</v>
      </c>
      <c r="AW65" t="s">
        <v>2713</v>
      </c>
      <c r="AX65" t="s">
        <v>393</v>
      </c>
      <c r="AY65" t="s">
        <v>496</v>
      </c>
      <c r="AZ65" t="s">
        <v>354</v>
      </c>
      <c r="BA65" t="s">
        <v>62</v>
      </c>
      <c r="BB65" t="s">
        <v>322</v>
      </c>
      <c r="BC65" t="s">
        <v>1672</v>
      </c>
      <c r="BD65" t="s">
        <v>1673</v>
      </c>
      <c r="BE65" t="s">
        <v>1674</v>
      </c>
      <c r="BF65" t="s">
        <v>1675</v>
      </c>
      <c r="BG65" t="s">
        <v>1676</v>
      </c>
      <c r="BH65" t="s">
        <v>328</v>
      </c>
      <c r="BI65" t="s">
        <v>3747</v>
      </c>
      <c r="BJ65" t="s">
        <v>393</v>
      </c>
      <c r="BK65" t="s">
        <v>2714</v>
      </c>
      <c r="BL65" t="s">
        <v>3748</v>
      </c>
      <c r="BM65" t="s">
        <v>1672</v>
      </c>
      <c r="BN65">
        <v>4.01</v>
      </c>
      <c r="BO65">
        <v>14.27</v>
      </c>
      <c r="BP65">
        <v>15.63</v>
      </c>
      <c r="BQ65">
        <v>5.87</v>
      </c>
      <c r="BR65">
        <v>14.78</v>
      </c>
      <c r="BS65" t="s">
        <v>60</v>
      </c>
      <c r="BT65" t="s">
        <v>1347</v>
      </c>
      <c r="BU65" t="s">
        <v>1166</v>
      </c>
      <c r="BV65">
        <v>35.630000000000003</v>
      </c>
      <c r="BW65">
        <v>36.54</v>
      </c>
      <c r="BX65">
        <v>34.31</v>
      </c>
      <c r="BY65">
        <v>15.27</v>
      </c>
      <c r="BZ65">
        <v>17.63</v>
      </c>
      <c r="CA65">
        <v>19.05</v>
      </c>
      <c r="CB65">
        <v>-1.66</v>
      </c>
      <c r="CC65" s="8">
        <v>-13.18</v>
      </c>
      <c r="CD65" s="9" t="s">
        <v>3749</v>
      </c>
      <c r="CE65" s="8" t="s">
        <v>3750</v>
      </c>
      <c r="CF65" s="8">
        <v>2.2327137415556897</v>
      </c>
      <c r="CG65" s="8">
        <v>3.1284671210253308</v>
      </c>
      <c r="CH65" s="8">
        <v>1.2195121496915817E-2</v>
      </c>
      <c r="CI65" s="8">
        <v>0.15819208323955536</v>
      </c>
      <c r="CJ65" s="9">
        <v>7.9268291592597961E-2</v>
      </c>
      <c r="CK65" s="9">
        <v>0.11945392191410065</v>
      </c>
      <c r="CL65" s="9">
        <v>6.8728523328900337E-3</v>
      </c>
      <c r="CM65" s="9">
        <v>-0.12250576168298721</v>
      </c>
      <c r="CN65" s="9">
        <v>7.1073375642299652E-2</v>
      </c>
      <c r="CO65">
        <v>8.2854978740215302E-2</v>
      </c>
      <c r="CP65">
        <v>0.1458442211151123</v>
      </c>
      <c r="CQ65">
        <v>7.6769508421421051E-2</v>
      </c>
      <c r="CR65" s="8">
        <v>53.243683099242006</v>
      </c>
      <c r="CS65" s="9">
        <v>7.0806108779630614</v>
      </c>
      <c r="CT65">
        <v>0.74990626171728525</v>
      </c>
      <c r="CU65">
        <v>7.5196454115211961E-2</v>
      </c>
      <c r="CV65">
        <v>5.0807264447212216E-2</v>
      </c>
      <c r="CW65">
        <v>0.06</v>
      </c>
      <c r="CX65">
        <v>33.691947211096526</v>
      </c>
      <c r="CY65">
        <v>64310441.495835468</v>
      </c>
      <c r="CZ65">
        <v>7.5196454115211961E-2</v>
      </c>
      <c r="DA65">
        <v>11.149333160523071</v>
      </c>
      <c r="DB65">
        <v>194338438.79308268</v>
      </c>
      <c r="DC65">
        <v>7.1436631409451362E-2</v>
      </c>
      <c r="DD65">
        <v>5.5809648203498341</v>
      </c>
      <c r="DE65">
        <v>388238247.28287411</v>
      </c>
      <c r="DF65">
        <v>6.6172879621386529E-2</v>
      </c>
      <c r="DG65">
        <v>3.4147105987606889</v>
      </c>
      <c r="DH65">
        <v>634532250.19607306</v>
      </c>
      <c r="DI65">
        <v>6.0157163292169573E-2</v>
      </c>
      <c r="DJ65">
        <v>1.8370081605683319</v>
      </c>
      <c r="DK65">
        <v>1179496121.1983156</v>
      </c>
      <c r="DL65">
        <v>5.2637517880648368E-2</v>
      </c>
      <c r="DM65">
        <v>63401500</v>
      </c>
      <c r="DN65">
        <v>7.5196454115211961E-2</v>
      </c>
      <c r="DO65">
        <v>2166744000</v>
      </c>
      <c r="DP65">
        <v>1405351800</v>
      </c>
      <c r="DQ65" s="10">
        <v>2599</v>
      </c>
      <c r="DR65">
        <v>2.1575172874404775</v>
      </c>
      <c r="DS65">
        <v>3.0776598565781184</v>
      </c>
      <c r="DT65">
        <v>-0.28999999999999998</v>
      </c>
      <c r="DU65">
        <v>0</v>
      </c>
      <c r="DV65">
        <v>-0.28999999999999998</v>
      </c>
      <c r="DW65">
        <v>-2.1318000000000001</v>
      </c>
      <c r="DX65">
        <v>0.27829952552303922</v>
      </c>
      <c r="DY65">
        <v>-2.0129558774639364</v>
      </c>
      <c r="DZ65">
        <v>2488</v>
      </c>
      <c r="EA65">
        <v>-2.006644104773458</v>
      </c>
      <c r="EB65" s="11">
        <v>2</v>
      </c>
      <c r="EC65" s="11">
        <v>5.011201298701299E-2</v>
      </c>
      <c r="ED65">
        <v>0.50978896103896099</v>
      </c>
      <c r="EE65">
        <v>1.0054000000000001</v>
      </c>
      <c r="EF65">
        <v>1.0148999999999999</v>
      </c>
      <c r="EG65">
        <v>18.098299525523039</v>
      </c>
      <c r="EH65" s="13" t="s">
        <v>1228</v>
      </c>
      <c r="EI65">
        <v>0</v>
      </c>
      <c r="EJ65">
        <v>0</v>
      </c>
      <c r="EK65">
        <v>45489</v>
      </c>
      <c r="EL65">
        <v>4.42</v>
      </c>
      <c r="EM65">
        <v>2.19</v>
      </c>
      <c r="EN65" s="14">
        <v>-1.97</v>
      </c>
      <c r="EO65" s="14">
        <v>-1.89</v>
      </c>
      <c r="EP65" s="14">
        <v>0.95</v>
      </c>
    </row>
    <row r="66" spans="1:146" ht="108" x14ac:dyDescent="0.25">
      <c r="A66" s="7"/>
      <c r="B66" s="7"/>
      <c r="C66" s="7" t="str">
        <f>""&amp;CHAR(10)&amp;Basic_Fundamental_Information_Constructure(F66)&amp;CHAR(10)&amp;Basic_Fundamental_Information_Concatenate("")</f>
        <v xml:space="preserve">
市值14.913122亿, 利润638.90万; PE1705; 平均PE37.87; 平均PEG2.16, PB1.85; ROIC7.135%; ROE7.1267%; 股利率.4509%; 毛利22.6533%; 净利7.33%; 上一年度营收增-6.61%, 利润增-83.85%; 当季营收增-19.3%, 利润增-164.37%; 过往5年营收增17.54%, 利润增-9.49%
Income profile:
</v>
      </c>
      <c r="D66" t="s">
        <v>1142</v>
      </c>
      <c r="E66" t="s">
        <v>1143</v>
      </c>
      <c r="F66">
        <v>22.18</v>
      </c>
      <c r="G66">
        <v>3.02</v>
      </c>
      <c r="H66" t="s">
        <v>3751</v>
      </c>
      <c r="I66">
        <v>1491312200</v>
      </c>
      <c r="J66">
        <v>1705</v>
      </c>
      <c r="K66">
        <v>1.85</v>
      </c>
      <c r="L66" t="s">
        <v>1166</v>
      </c>
      <c r="M66" t="s">
        <v>365</v>
      </c>
      <c r="N66" t="s">
        <v>2715</v>
      </c>
      <c r="O66" t="s">
        <v>2716</v>
      </c>
      <c r="P66">
        <v>-19.3</v>
      </c>
      <c r="Q66" t="s">
        <v>393</v>
      </c>
      <c r="R66">
        <v>-8868716</v>
      </c>
      <c r="S66" s="5">
        <v>-1.6439999999999999</v>
      </c>
      <c r="T66" t="s">
        <v>2732</v>
      </c>
      <c r="U66">
        <v>43598856</v>
      </c>
      <c r="V66">
        <v>67236800</v>
      </c>
      <c r="W66">
        <v>1.23</v>
      </c>
      <c r="X66">
        <v>0.04</v>
      </c>
      <c r="Y66">
        <v>-25.39</v>
      </c>
      <c r="Z66" t="s">
        <v>2717</v>
      </c>
      <c r="AA66" t="s">
        <v>2718</v>
      </c>
      <c r="AB66" t="s">
        <v>2719</v>
      </c>
      <c r="AC66" t="s">
        <v>2720</v>
      </c>
      <c r="AD66" t="s">
        <v>60</v>
      </c>
      <c r="AE66">
        <v>-1866527</v>
      </c>
      <c r="AF66" t="s">
        <v>168</v>
      </c>
      <c r="AG66" t="s">
        <v>2721</v>
      </c>
      <c r="AH66" t="s">
        <v>2722</v>
      </c>
      <c r="AI66" t="s">
        <v>380</v>
      </c>
      <c r="AJ66" t="s">
        <v>2723</v>
      </c>
      <c r="AK66" t="s">
        <v>60</v>
      </c>
      <c r="AL66" t="s">
        <v>2724</v>
      </c>
      <c r="AM66" t="s">
        <v>60</v>
      </c>
      <c r="AN66" t="s">
        <v>2725</v>
      </c>
      <c r="AO66" t="s">
        <v>2726</v>
      </c>
      <c r="AP66" t="s">
        <v>2727</v>
      </c>
      <c r="AQ66" t="s">
        <v>2728</v>
      </c>
      <c r="AR66" t="s">
        <v>60</v>
      </c>
      <c r="AS66" t="s">
        <v>247</v>
      </c>
      <c r="AT66" t="s">
        <v>60</v>
      </c>
      <c r="AU66" t="s">
        <v>2729</v>
      </c>
      <c r="AV66" t="s">
        <v>2730</v>
      </c>
      <c r="AW66" t="s">
        <v>2731</v>
      </c>
      <c r="AX66" t="s">
        <v>742</v>
      </c>
      <c r="AY66" t="s">
        <v>659</v>
      </c>
      <c r="AZ66" t="s">
        <v>620</v>
      </c>
      <c r="BA66" t="s">
        <v>198</v>
      </c>
      <c r="BB66" t="s">
        <v>542</v>
      </c>
      <c r="BC66" t="s">
        <v>1445</v>
      </c>
      <c r="BD66" t="s">
        <v>1144</v>
      </c>
      <c r="BE66" t="s">
        <v>1145</v>
      </c>
      <c r="BF66" t="s">
        <v>1146</v>
      </c>
      <c r="BG66" t="s">
        <v>1147</v>
      </c>
      <c r="BH66" t="s">
        <v>393</v>
      </c>
      <c r="BI66" t="s">
        <v>3752</v>
      </c>
      <c r="BJ66" t="s">
        <v>742</v>
      </c>
      <c r="BK66" t="s">
        <v>2732</v>
      </c>
      <c r="BL66" t="s">
        <v>3753</v>
      </c>
      <c r="BM66" t="s">
        <v>1445</v>
      </c>
      <c r="BN66" t="s">
        <v>60</v>
      </c>
      <c r="BO66">
        <v>4.24</v>
      </c>
      <c r="BP66">
        <v>10.029999999999999</v>
      </c>
      <c r="BQ66">
        <v>-0.56000000000000005</v>
      </c>
      <c r="BR66">
        <v>4.72</v>
      </c>
      <c r="BS66">
        <v>17.22</v>
      </c>
      <c r="BT66" t="s">
        <v>1344</v>
      </c>
      <c r="BU66" t="s">
        <v>1166</v>
      </c>
      <c r="BV66">
        <v>20.239999999999998</v>
      </c>
      <c r="BW66">
        <v>22.53</v>
      </c>
      <c r="BX66">
        <v>25.19</v>
      </c>
      <c r="BY66">
        <v>1.07</v>
      </c>
      <c r="BZ66">
        <v>9.01</v>
      </c>
      <c r="CA66">
        <v>11.91</v>
      </c>
      <c r="CB66">
        <v>9.26</v>
      </c>
      <c r="CC66">
        <v>12.76</v>
      </c>
      <c r="CD66" t="s">
        <v>3754</v>
      </c>
      <c r="CE66" t="s">
        <v>180</v>
      </c>
      <c r="CF66" s="8">
        <v>-0.19299375872630053</v>
      </c>
      <c r="CG66" s="9">
        <v>-1.6437476897394623</v>
      </c>
      <c r="CH66" s="8">
        <v>-6.6059224307537079E-2</v>
      </c>
      <c r="CI66" s="8">
        <v>-5.9957172721624374E-2</v>
      </c>
      <c r="CJ66" s="8">
        <v>0.27247956395149231</v>
      </c>
      <c r="CK66" s="8">
        <v>0.32971015572547913</v>
      </c>
      <c r="CL66" s="8">
        <v>0.40101522207260132</v>
      </c>
      <c r="CM66" s="9">
        <v>-0.83850950002670288</v>
      </c>
      <c r="CN66" s="9">
        <v>-0.28917065262794495</v>
      </c>
      <c r="CO66" s="9">
        <v>2.1938111633062363E-2</v>
      </c>
      <c r="CP66" s="9">
        <v>0.13192877173423767</v>
      </c>
      <c r="CQ66" s="9">
        <v>0.49917742609977722</v>
      </c>
      <c r="CR66">
        <v>37.869834776326535</v>
      </c>
      <c r="CS66">
        <v>2.1585915026054572</v>
      </c>
      <c r="CT66">
        <v>0.45085662759242562</v>
      </c>
      <c r="CU66" s="8">
        <v>0.17543770894408225</v>
      </c>
      <c r="CV66" s="9">
        <v>-9.4927168637514117E-2</v>
      </c>
      <c r="CW66">
        <v>0.06</v>
      </c>
      <c r="CX66">
        <v>125.52424221676316</v>
      </c>
      <c r="CY66">
        <v>7084784.4551356044</v>
      </c>
      <c r="CZ66">
        <v>0.17543770894408225</v>
      </c>
      <c r="DA66">
        <v>38.184671267744719</v>
      </c>
      <c r="DB66">
        <v>23289769.702724088</v>
      </c>
      <c r="DC66">
        <v>0.16666582349687814</v>
      </c>
      <c r="DD66">
        <v>17.030019968165313</v>
      </c>
      <c r="DE66">
        <v>52220267.601706624</v>
      </c>
      <c r="DF66">
        <v>0.15438518387079239</v>
      </c>
      <c r="DG66">
        <v>9.1111219277123308</v>
      </c>
      <c r="DH66">
        <v>97607320.707131982</v>
      </c>
      <c r="DI66">
        <v>0.1403501671552658</v>
      </c>
      <c r="DJ66">
        <v>3.6011215030429513</v>
      </c>
      <c r="DK66">
        <v>246954233.35439536</v>
      </c>
      <c r="DL66">
        <v>0.12280639626085757</v>
      </c>
      <c r="DM66">
        <v>6389000</v>
      </c>
      <c r="DN66">
        <v>0.17543770894408225</v>
      </c>
      <c r="DO66">
        <v>889312200</v>
      </c>
      <c r="DP66">
        <v>692296050</v>
      </c>
      <c r="DQ66">
        <v>2603</v>
      </c>
      <c r="DR66">
        <v>-0.36843146767038282</v>
      </c>
      <c r="DS66">
        <v>-1.5488205211019481</v>
      </c>
      <c r="DT66" s="10">
        <v>-9.000000000000008E-2</v>
      </c>
      <c r="DU66">
        <v>-1.2816666666666665</v>
      </c>
      <c r="DV66">
        <v>-1.3716666666666666</v>
      </c>
      <c r="DW66">
        <v>9.7257053291536053</v>
      </c>
      <c r="DX66">
        <v>0.46618449612402985</v>
      </c>
      <c r="DY66">
        <v>9.1931715073752756</v>
      </c>
      <c r="DZ66">
        <v>3938</v>
      </c>
      <c r="EA66">
        <v>9.0442172492895434</v>
      </c>
      <c r="EB66">
        <v>9</v>
      </c>
      <c r="EC66">
        <v>0.51069949789401037</v>
      </c>
      <c r="ED66">
        <v>1.9185921995097923</v>
      </c>
      <c r="EE66" s="11">
        <v>2.691E-2</v>
      </c>
      <c r="EF66">
        <v>3.3000000000000008E-3</v>
      </c>
      <c r="EG66">
        <v>20.26618449612403</v>
      </c>
      <c r="EH66" t="s">
        <v>1060</v>
      </c>
      <c r="EI66">
        <v>1</v>
      </c>
      <c r="EJ66">
        <v>0</v>
      </c>
      <c r="EK66" s="13">
        <v>45489</v>
      </c>
      <c r="EL66" s="14">
        <v>-2.0299999999999998</v>
      </c>
      <c r="EM66" s="14">
        <v>1.99</v>
      </c>
      <c r="EN66" s="14">
        <v>-2.23</v>
      </c>
      <c r="EO66" s="14">
        <v>0.28000000000000003</v>
      </c>
      <c r="EP66" s="14">
        <v>3.02</v>
      </c>
    </row>
    <row r="67" spans="1:146" ht="108" x14ac:dyDescent="0.25">
      <c r="A67" s="7"/>
      <c r="B67" s="7"/>
      <c r="C67" s="7" t="str">
        <f>""&amp;CHAR(10)&amp;Basic_Fundamental_Information_Constructure(F67)&amp;CHAR(10)&amp;Basic_Fundamental_Information_Concatenate("")</f>
        <v xml:space="preserve">
市值30.540015亿, 利润1.46亿; PE21.97; 平均PE28.79; 平均PEG1.85, PB2.04; ROIC14.27%; ROE15.6867%; 股利率1.5324%; 毛利26.5467%; 净利10.49%; 上一年度营收增5.74%, 利润增2.82%; 当季营收增-16.59%, 利润增-27.28%; 过往5年营收增15.57%, 利润增18.99%
Income profile:
</v>
      </c>
      <c r="D67" t="s">
        <v>1266</v>
      </c>
      <c r="E67" t="s">
        <v>1267</v>
      </c>
      <c r="F67">
        <v>25.45</v>
      </c>
      <c r="G67">
        <v>-0.16</v>
      </c>
      <c r="H67" t="s">
        <v>3755</v>
      </c>
      <c r="I67">
        <v>3054001500</v>
      </c>
      <c r="J67">
        <v>21.97</v>
      </c>
      <c r="K67">
        <v>2.04</v>
      </c>
      <c r="L67" t="s">
        <v>1166</v>
      </c>
      <c r="M67" t="s">
        <v>493</v>
      </c>
      <c r="N67" t="s">
        <v>2733</v>
      </c>
      <c r="O67" t="s">
        <v>476</v>
      </c>
      <c r="P67">
        <v>-16.84</v>
      </c>
      <c r="Q67" t="s">
        <v>1380</v>
      </c>
      <c r="R67">
        <v>19240375</v>
      </c>
      <c r="S67" s="5">
        <v>-0.27279999999999999</v>
      </c>
      <c r="T67" t="s">
        <v>293</v>
      </c>
      <c r="U67">
        <v>43374060</v>
      </c>
      <c r="V67">
        <v>120000060</v>
      </c>
      <c r="W67">
        <v>1.22</v>
      </c>
      <c r="X67">
        <v>0.09</v>
      </c>
      <c r="Y67">
        <v>10.96</v>
      </c>
      <c r="Z67" t="s">
        <v>274</v>
      </c>
      <c r="AA67" t="s">
        <v>296</v>
      </c>
      <c r="AB67" t="s">
        <v>2734</v>
      </c>
      <c r="AC67" t="s">
        <v>2735</v>
      </c>
      <c r="AD67" t="s">
        <v>60</v>
      </c>
      <c r="AE67">
        <v>-5066176</v>
      </c>
      <c r="AF67" t="s">
        <v>2736</v>
      </c>
      <c r="AG67">
        <v>1.31</v>
      </c>
      <c r="AH67" t="s">
        <v>2737</v>
      </c>
      <c r="AI67" t="s">
        <v>1659</v>
      </c>
      <c r="AJ67" t="s">
        <v>2738</v>
      </c>
      <c r="AK67" t="s">
        <v>2739</v>
      </c>
      <c r="AL67" t="s">
        <v>2740</v>
      </c>
      <c r="AM67" t="s">
        <v>60</v>
      </c>
      <c r="AN67">
        <v>0</v>
      </c>
      <c r="AO67" t="s">
        <v>60</v>
      </c>
      <c r="AP67" t="s">
        <v>60</v>
      </c>
      <c r="AQ67" t="s">
        <v>295</v>
      </c>
      <c r="AR67" t="s">
        <v>60</v>
      </c>
      <c r="AS67" t="s">
        <v>1597</v>
      </c>
      <c r="AT67" t="s">
        <v>60</v>
      </c>
      <c r="AU67" t="s">
        <v>693</v>
      </c>
      <c r="AV67" t="s">
        <v>2741</v>
      </c>
      <c r="AW67" t="s">
        <v>2742</v>
      </c>
      <c r="AX67" t="s">
        <v>1446</v>
      </c>
      <c r="AY67" t="s">
        <v>597</v>
      </c>
      <c r="AZ67" t="s">
        <v>1268</v>
      </c>
      <c r="BA67" t="s">
        <v>750</v>
      </c>
      <c r="BB67" t="s">
        <v>786</v>
      </c>
      <c r="BC67" t="s">
        <v>249</v>
      </c>
      <c r="BD67" t="s">
        <v>178</v>
      </c>
      <c r="BE67" t="s">
        <v>1269</v>
      </c>
      <c r="BF67" t="s">
        <v>1270</v>
      </c>
      <c r="BG67" t="s">
        <v>1271</v>
      </c>
      <c r="BH67" t="s">
        <v>1380</v>
      </c>
      <c r="BI67" t="s">
        <v>492</v>
      </c>
      <c r="BJ67" t="s">
        <v>1446</v>
      </c>
      <c r="BK67" t="s">
        <v>293</v>
      </c>
      <c r="BL67" t="s">
        <v>3756</v>
      </c>
      <c r="BM67" t="s">
        <v>249</v>
      </c>
      <c r="BN67">
        <v>4.78</v>
      </c>
      <c r="BO67">
        <v>13.59</v>
      </c>
      <c r="BP67">
        <v>24.44</v>
      </c>
      <c r="BQ67">
        <v>5.8</v>
      </c>
      <c r="BR67">
        <v>15.78</v>
      </c>
      <c r="BS67">
        <v>25.48</v>
      </c>
      <c r="BT67" t="s">
        <v>2743</v>
      </c>
      <c r="BU67" t="s">
        <v>1166</v>
      </c>
      <c r="BV67">
        <v>24.96</v>
      </c>
      <c r="BW67">
        <v>27.16</v>
      </c>
      <c r="BX67">
        <v>27.52</v>
      </c>
      <c r="BY67">
        <v>10.44</v>
      </c>
      <c r="BZ67">
        <v>10.68</v>
      </c>
      <c r="CA67">
        <v>10.35</v>
      </c>
      <c r="CB67">
        <v>0.35</v>
      </c>
      <c r="CC67">
        <v>4.09</v>
      </c>
      <c r="CD67" t="s">
        <v>3757</v>
      </c>
      <c r="CE67" t="s">
        <v>368</v>
      </c>
      <c r="CF67" s="8">
        <v>-0.16587677725118483</v>
      </c>
      <c r="CG67" s="9">
        <v>-0.27277082522271906</v>
      </c>
      <c r="CH67" s="8">
        <v>5.7358492165803909E-2</v>
      </c>
      <c r="CI67" s="8">
        <v>0.12003369629383087</v>
      </c>
      <c r="CJ67" s="8">
        <v>0.44268301129341125</v>
      </c>
      <c r="CK67" s="8">
        <v>9.8522165790200233E-3</v>
      </c>
      <c r="CL67" s="8">
        <v>0.14851485192775726</v>
      </c>
      <c r="CM67" s="9">
        <v>2.8169013559818268E-2</v>
      </c>
      <c r="CN67" s="9">
        <v>0.16393442451953888</v>
      </c>
      <c r="CO67" s="9">
        <v>0.41610020399093628</v>
      </c>
      <c r="CP67" s="9">
        <v>0.11373520642518997</v>
      </c>
      <c r="CQ67" s="9">
        <v>0.22748982906341553</v>
      </c>
      <c r="CR67">
        <v>28.787594193153602</v>
      </c>
      <c r="CS67">
        <v>1.8490513276923621</v>
      </c>
      <c r="CT67">
        <v>1.5324165029469548</v>
      </c>
      <c r="CU67" s="8">
        <v>0.15568845365196465</v>
      </c>
      <c r="CV67" s="9">
        <v>0.18988573551177979</v>
      </c>
      <c r="CW67">
        <v>0.06</v>
      </c>
      <c r="CX67">
        <v>13.023024317718855</v>
      </c>
      <c r="CY67">
        <v>159179730.40866685</v>
      </c>
      <c r="CZ67">
        <v>0.15568845365196465</v>
      </c>
      <c r="DA67">
        <v>4.0272419387071343</v>
      </c>
      <c r="DB67">
        <v>514744714.0127607</v>
      </c>
      <c r="DC67">
        <v>0.14790403096936641</v>
      </c>
      <c r="DD67">
        <v>1.8381732091910532</v>
      </c>
      <c r="DE67">
        <v>1127750904.8846874</v>
      </c>
      <c r="DF67">
        <v>0.13700583921372889</v>
      </c>
      <c r="DG67">
        <v>1.0111186285689782</v>
      </c>
      <c r="DH67">
        <v>2050206020.7652285</v>
      </c>
      <c r="DI67">
        <v>0.12455076292157173</v>
      </c>
      <c r="DJ67">
        <v>0.42715638958952429</v>
      </c>
      <c r="DK67">
        <v>4853027018.9614859</v>
      </c>
      <c r="DL67">
        <v>0.10898191755637525</v>
      </c>
      <c r="DM67">
        <v>146000000</v>
      </c>
      <c r="DN67">
        <v>0.15568845365196465</v>
      </c>
      <c r="DO67">
        <v>2073001500</v>
      </c>
      <c r="DP67">
        <v>1297882800</v>
      </c>
      <c r="DQ67">
        <v>2630</v>
      </c>
      <c r="DR67">
        <v>-0.32156523090314948</v>
      </c>
      <c r="DS67">
        <v>-0.46265656073449885</v>
      </c>
      <c r="DT67" s="10">
        <v>-0.3066666666666667</v>
      </c>
      <c r="DU67">
        <v>0.1633333333333333</v>
      </c>
      <c r="DV67">
        <v>-0.1433333333333334</v>
      </c>
      <c r="DW67">
        <v>1.0408999999999999</v>
      </c>
      <c r="DX67">
        <v>0.22327981220657364</v>
      </c>
      <c r="DY67">
        <v>1.0025881443192488</v>
      </c>
      <c r="DZ67">
        <v>2140</v>
      </c>
      <c r="EA67">
        <v>1.0015036272166069</v>
      </c>
      <c r="EB67">
        <v>1</v>
      </c>
      <c r="EC67">
        <v>0.1123216105058614</v>
      </c>
      <c r="ED67">
        <v>1.7749991125004438</v>
      </c>
      <c r="EE67" s="11">
        <v>4.0660100000000003</v>
      </c>
      <c r="EF67">
        <v>4.0676100000000002</v>
      </c>
      <c r="EG67">
        <v>16.063279812206574</v>
      </c>
      <c r="EH67" t="s">
        <v>1489</v>
      </c>
      <c r="EI67">
        <v>0</v>
      </c>
      <c r="EJ67">
        <v>0</v>
      </c>
      <c r="EK67" s="13">
        <v>45489</v>
      </c>
      <c r="EL67" s="14">
        <v>-1.98</v>
      </c>
      <c r="EM67" s="14">
        <v>2.59</v>
      </c>
      <c r="EN67" s="14">
        <v>-2.33</v>
      </c>
      <c r="EO67" s="14">
        <v>-0.23</v>
      </c>
      <c r="EP67" s="14">
        <v>-0.16</v>
      </c>
    </row>
    <row r="68" spans="1:146" ht="108" x14ac:dyDescent="0.25">
      <c r="A68" s="7"/>
      <c r="B68" s="7"/>
      <c r="C68" s="7" t="str">
        <f>""&amp;CHAR(10)&amp;Basic_Fundamental_Information_Constructure(F68)&amp;CHAR(10)&amp;Basic_Fundamental_Information_Concatenate("")</f>
        <v xml:space="preserve">
市值24.222096亿, 利润3286.90万; PE71.5; 平均PE57.3; 平均PEG3.74, PB2.59; ROIC7.1767%; ROE8.2833%; 股利率.2166%; 毛利25.2433%; 净利9.0333%; 上一年度营收增19.07%, 利润增-12.03%; 当季营收增37.4%, 利润增46.15%; 过往5年营收增15.33%, 利润增10.64%
Income profile:
</v>
      </c>
      <c r="D68" t="s">
        <v>1148</v>
      </c>
      <c r="E68" t="s">
        <v>1149</v>
      </c>
      <c r="F68">
        <v>21.24</v>
      </c>
      <c r="G68">
        <v>-0.19</v>
      </c>
      <c r="H68" t="s">
        <v>3758</v>
      </c>
      <c r="I68">
        <v>2422209600</v>
      </c>
      <c r="J68">
        <v>71.5</v>
      </c>
      <c r="K68">
        <v>2.59</v>
      </c>
      <c r="L68" t="s">
        <v>1166</v>
      </c>
      <c r="M68" t="s">
        <v>827</v>
      </c>
      <c r="N68" t="s">
        <v>1099</v>
      </c>
      <c r="O68" t="s">
        <v>2744</v>
      </c>
      <c r="P68">
        <v>37.4</v>
      </c>
      <c r="Q68" t="s">
        <v>889</v>
      </c>
      <c r="R68">
        <v>-1178346</v>
      </c>
      <c r="S68" s="5">
        <v>0.46150000000000002</v>
      </c>
      <c r="T68" t="s">
        <v>2761</v>
      </c>
      <c r="U68">
        <v>56040468</v>
      </c>
      <c r="V68">
        <v>114040000</v>
      </c>
      <c r="W68">
        <v>1.48</v>
      </c>
      <c r="X68">
        <v>0.03</v>
      </c>
      <c r="Y68">
        <v>-3.48</v>
      </c>
      <c r="Z68" t="s">
        <v>2745</v>
      </c>
      <c r="AA68" t="s">
        <v>2746</v>
      </c>
      <c r="AB68" t="s">
        <v>2747</v>
      </c>
      <c r="AC68" t="s">
        <v>2748</v>
      </c>
      <c r="AD68" t="s">
        <v>60</v>
      </c>
      <c r="AE68">
        <v>-3280835</v>
      </c>
      <c r="AF68" t="s">
        <v>2749</v>
      </c>
      <c r="AG68" t="s">
        <v>2750</v>
      </c>
      <c r="AH68" t="s">
        <v>2751</v>
      </c>
      <c r="AI68" t="s">
        <v>1254</v>
      </c>
      <c r="AJ68" t="s">
        <v>2752</v>
      </c>
      <c r="AK68" t="s">
        <v>2753</v>
      </c>
      <c r="AL68" t="s">
        <v>2754</v>
      </c>
      <c r="AM68" t="s">
        <v>60</v>
      </c>
      <c r="AN68" t="s">
        <v>248</v>
      </c>
      <c r="AO68" t="s">
        <v>60</v>
      </c>
      <c r="AP68" t="s">
        <v>2755</v>
      </c>
      <c r="AQ68" t="s">
        <v>210</v>
      </c>
      <c r="AR68" t="s">
        <v>2756</v>
      </c>
      <c r="AS68" t="s">
        <v>665</v>
      </c>
      <c r="AT68" t="s">
        <v>2757</v>
      </c>
      <c r="AU68" t="s">
        <v>2758</v>
      </c>
      <c r="AV68" t="s">
        <v>2759</v>
      </c>
      <c r="AW68" t="s">
        <v>2760</v>
      </c>
      <c r="AX68" t="s">
        <v>622</v>
      </c>
      <c r="AY68" t="s">
        <v>1013</v>
      </c>
      <c r="AZ68" t="s">
        <v>241</v>
      </c>
      <c r="BA68" t="s">
        <v>393</v>
      </c>
      <c r="BB68" t="s">
        <v>422</v>
      </c>
      <c r="BC68" t="s">
        <v>1447</v>
      </c>
      <c r="BD68" t="s">
        <v>1150</v>
      </c>
      <c r="BE68" t="s">
        <v>1151</v>
      </c>
      <c r="BF68" t="s">
        <v>1152</v>
      </c>
      <c r="BG68" t="s">
        <v>1153</v>
      </c>
      <c r="BH68" t="s">
        <v>889</v>
      </c>
      <c r="BI68" t="s">
        <v>3759</v>
      </c>
      <c r="BJ68" t="s">
        <v>622</v>
      </c>
      <c r="BK68" t="s">
        <v>2761</v>
      </c>
      <c r="BL68" t="s">
        <v>3760</v>
      </c>
      <c r="BM68" t="s">
        <v>1447</v>
      </c>
      <c r="BN68">
        <v>-2.21</v>
      </c>
      <c r="BO68">
        <v>4.2</v>
      </c>
      <c r="BP68">
        <v>19.54</v>
      </c>
      <c r="BQ68">
        <v>0.43</v>
      </c>
      <c r="BR68">
        <v>4.92</v>
      </c>
      <c r="BS68">
        <v>19.5</v>
      </c>
      <c r="BT68" t="s">
        <v>2762</v>
      </c>
      <c r="BU68" t="s">
        <v>1166</v>
      </c>
      <c r="BV68">
        <v>25.32</v>
      </c>
      <c r="BW68">
        <v>24.34</v>
      </c>
      <c r="BX68">
        <v>26.07</v>
      </c>
      <c r="BY68">
        <v>6.97</v>
      </c>
      <c r="BZ68">
        <v>8.27</v>
      </c>
      <c r="CA68">
        <v>11.86</v>
      </c>
      <c r="CB68">
        <v>-7.49</v>
      </c>
      <c r="CC68">
        <v>1.82</v>
      </c>
      <c r="CD68" t="s">
        <v>3761</v>
      </c>
      <c r="CE68" t="s">
        <v>429</v>
      </c>
      <c r="CF68" s="8">
        <v>0.37402466043733745</v>
      </c>
      <c r="CG68" s="9">
        <v>0.46152447105058719</v>
      </c>
      <c r="CH68" s="8">
        <v>0.19067797064781189</v>
      </c>
      <c r="CI68" s="8">
        <v>-9.9236644804477692E-2</v>
      </c>
      <c r="CJ68" s="8">
        <v>0.11965811997652054</v>
      </c>
      <c r="CK68" s="8">
        <v>0.14146341383457184</v>
      </c>
      <c r="CL68" s="8">
        <v>0.41379311680793762</v>
      </c>
      <c r="CM68" s="9">
        <v>-0.12029355019330978</v>
      </c>
      <c r="CN68" s="9">
        <v>-0.37724843621253967</v>
      </c>
      <c r="CO68" s="9">
        <v>0.14600495994091034</v>
      </c>
      <c r="CP68" s="9">
        <v>0.16563543677330017</v>
      </c>
      <c r="CQ68" s="9">
        <v>0.71793854236602783</v>
      </c>
      <c r="CR68">
        <v>57.298195688813983</v>
      </c>
      <c r="CS68">
        <v>3.738353810021334</v>
      </c>
      <c r="CT68">
        <v>0.21657250470809794</v>
      </c>
      <c r="CU68" s="8">
        <v>0.15327119529247285</v>
      </c>
      <c r="CV68" s="9">
        <v>0.10640739053487777</v>
      </c>
      <c r="CW68">
        <v>0.06</v>
      </c>
      <c r="CX68">
        <v>54.869793407521712</v>
      </c>
      <c r="CY68">
        <v>35761198.979309708</v>
      </c>
      <c r="CZ68">
        <v>0.15327119529247285</v>
      </c>
      <c r="DA68">
        <v>17.002187109740284</v>
      </c>
      <c r="DB68">
        <v>115409246.31254534</v>
      </c>
      <c r="DC68">
        <v>0.14560763552784919</v>
      </c>
      <c r="DD68">
        <v>7.7823124218440469</v>
      </c>
      <c r="DE68">
        <v>252137089.03439876</v>
      </c>
      <c r="DF68">
        <v>0.1348786518573761</v>
      </c>
      <c r="DG68">
        <v>4.295191369646691</v>
      </c>
      <c r="DH68">
        <v>456838690.32392037</v>
      </c>
      <c r="DI68">
        <v>0.12261695623397828</v>
      </c>
      <c r="DJ68">
        <v>1.8290631296398938</v>
      </c>
      <c r="DK68">
        <v>1072794901.5003763</v>
      </c>
      <c r="DL68">
        <v>0.107289836704731</v>
      </c>
      <c r="DM68">
        <v>32869000</v>
      </c>
      <c r="DN68">
        <v>0.15327119529247285</v>
      </c>
      <c r="DO68">
        <v>1962209600</v>
      </c>
      <c r="DP68">
        <v>787012870</v>
      </c>
      <c r="DQ68">
        <v>2639</v>
      </c>
      <c r="DR68">
        <v>0.2207534651448646</v>
      </c>
      <c r="DS68">
        <v>0.35511708051570945</v>
      </c>
      <c r="DT68" s="10">
        <v>-0.17333333333333334</v>
      </c>
      <c r="DU68">
        <v>-0.29166666666666674</v>
      </c>
      <c r="DV68">
        <v>-0.46500000000000008</v>
      </c>
      <c r="DW68">
        <v>-5.2429906542056077</v>
      </c>
      <c r="DX68">
        <v>0.28996453488372176</v>
      </c>
      <c r="DY68">
        <v>-5.0388698869810913</v>
      </c>
      <c r="DZ68">
        <v>2890</v>
      </c>
      <c r="EA68">
        <v>-5.0168738083879143</v>
      </c>
      <c r="EB68">
        <v>5</v>
      </c>
      <c r="EC68">
        <v>0.24126534549280954</v>
      </c>
      <c r="ED68">
        <v>1.5082427218519818</v>
      </c>
      <c r="EE68" s="11">
        <v>1.0318100000000001</v>
      </c>
      <c r="EF68">
        <v>1.0337099999999999</v>
      </c>
      <c r="EG68">
        <v>13.159964534883722</v>
      </c>
      <c r="EH68" t="s">
        <v>1229</v>
      </c>
      <c r="EI68">
        <v>0</v>
      </c>
      <c r="EJ68">
        <v>0</v>
      </c>
      <c r="EK68" s="13">
        <v>45489</v>
      </c>
      <c r="EL68" s="14">
        <v>-0.71</v>
      </c>
      <c r="EM68" s="14">
        <v>3.68</v>
      </c>
      <c r="EN68" s="14">
        <v>-3.54</v>
      </c>
      <c r="EO68" s="14">
        <v>-3.45</v>
      </c>
      <c r="EP68" s="14">
        <v>-0.19</v>
      </c>
    </row>
    <row r="69" spans="1:146" ht="96" x14ac:dyDescent="0.25">
      <c r="A69" s="7"/>
      <c r="B69" s="7"/>
      <c r="C69" s="7" t="str">
        <f>""&amp;CHAR(10)&amp;Basic_Fundamental_Information_Constructure(F69)&amp;CHAR(10)&amp;Basic_Fundamental_Information_Concatenate("")</f>
        <v xml:space="preserve">
市值325.90588亿, 利润5.34亿; PE166.5; 平均PE41.34; 平均PEG2.36, PB3.17; ROIC9.0133%; ROE11.7133%; 股利率.5263%; 毛利21.73%; 净利4.46%; 上一年度营收增-7.97%, 利润增-45.12%; 当季营收增29.65%, 利润增-557.51%; 过往5年营收增17.54%, 利润增28.33%
Income profile:
</v>
      </c>
      <c r="D69" t="s">
        <v>1154</v>
      </c>
      <c r="E69" t="s">
        <v>1155</v>
      </c>
      <c r="F69">
        <v>34.200000000000003</v>
      </c>
      <c r="G69">
        <v>6.38</v>
      </c>
      <c r="H69" t="s">
        <v>3762</v>
      </c>
      <c r="I69">
        <v>32590588000</v>
      </c>
      <c r="J69">
        <v>166.5</v>
      </c>
      <c r="K69">
        <v>3.17</v>
      </c>
      <c r="L69" t="s">
        <v>1166</v>
      </c>
      <c r="M69" t="s">
        <v>2763</v>
      </c>
      <c r="N69" t="s">
        <v>2764</v>
      </c>
      <c r="O69" t="s">
        <v>2765</v>
      </c>
      <c r="P69">
        <v>29.65</v>
      </c>
      <c r="Q69" t="s">
        <v>2782</v>
      </c>
      <c r="R69">
        <v>-277477790</v>
      </c>
      <c r="S69" s="5">
        <v>-5.5750000000000002</v>
      </c>
      <c r="T69" t="s">
        <v>706</v>
      </c>
      <c r="U69">
        <v>680315390</v>
      </c>
      <c r="V69">
        <v>952941180</v>
      </c>
      <c r="W69">
        <v>2.04</v>
      </c>
      <c r="X69">
        <v>0.3</v>
      </c>
      <c r="Y69">
        <v>-5.37</v>
      </c>
      <c r="Z69" t="s">
        <v>2766</v>
      </c>
      <c r="AA69" t="s">
        <v>2767</v>
      </c>
      <c r="AB69" t="s">
        <v>202</v>
      </c>
      <c r="AC69" t="s">
        <v>688</v>
      </c>
      <c r="AD69" t="s">
        <v>60</v>
      </c>
      <c r="AE69">
        <v>25721628</v>
      </c>
      <c r="AF69" t="s">
        <v>2768</v>
      </c>
      <c r="AG69" t="s">
        <v>2769</v>
      </c>
      <c r="AH69" t="s">
        <v>2770</v>
      </c>
      <c r="AI69" t="s">
        <v>2771</v>
      </c>
      <c r="AJ69" t="s">
        <v>2772</v>
      </c>
      <c r="AK69" t="s">
        <v>2773</v>
      </c>
      <c r="AL69" t="s">
        <v>2774</v>
      </c>
      <c r="AM69" t="s">
        <v>60</v>
      </c>
      <c r="AN69" t="s">
        <v>2775</v>
      </c>
      <c r="AO69" t="s">
        <v>2776</v>
      </c>
      <c r="AP69" t="s">
        <v>60</v>
      </c>
      <c r="AQ69" t="s">
        <v>2777</v>
      </c>
      <c r="AR69" t="s">
        <v>60</v>
      </c>
      <c r="AS69" t="s">
        <v>2778</v>
      </c>
      <c r="AT69" t="s">
        <v>1600</v>
      </c>
      <c r="AU69" t="s">
        <v>2779</v>
      </c>
      <c r="AV69" t="s">
        <v>2780</v>
      </c>
      <c r="AW69" t="s">
        <v>2781</v>
      </c>
      <c r="AX69" t="s">
        <v>1448</v>
      </c>
      <c r="AY69" t="s">
        <v>1156</v>
      </c>
      <c r="AZ69" t="s">
        <v>1158</v>
      </c>
      <c r="BA69" t="s">
        <v>1159</v>
      </c>
      <c r="BB69" t="s">
        <v>1160</v>
      </c>
      <c r="BC69" t="s">
        <v>828</v>
      </c>
      <c r="BD69" t="s">
        <v>302</v>
      </c>
      <c r="BE69" t="s">
        <v>1161</v>
      </c>
      <c r="BF69" t="s">
        <v>277</v>
      </c>
      <c r="BG69" t="s">
        <v>722</v>
      </c>
      <c r="BH69" t="s">
        <v>2782</v>
      </c>
      <c r="BI69" t="s">
        <v>3763</v>
      </c>
      <c r="BJ69" t="s">
        <v>1448</v>
      </c>
      <c r="BK69" t="s">
        <v>706</v>
      </c>
      <c r="BL69" t="s">
        <v>3764</v>
      </c>
      <c r="BM69" t="s">
        <v>828</v>
      </c>
      <c r="BN69">
        <v>2.72</v>
      </c>
      <c r="BO69">
        <v>10.050000000000001</v>
      </c>
      <c r="BP69">
        <v>14.27</v>
      </c>
      <c r="BQ69">
        <v>3.45</v>
      </c>
      <c r="BR69">
        <v>11.14</v>
      </c>
      <c r="BS69">
        <v>20.55</v>
      </c>
      <c r="BT69" t="s">
        <v>1955</v>
      </c>
      <c r="BU69" t="s">
        <v>1166</v>
      </c>
      <c r="BV69">
        <v>19.260000000000002</v>
      </c>
      <c r="BW69">
        <v>21.26</v>
      </c>
      <c r="BX69">
        <v>24.67</v>
      </c>
      <c r="BY69">
        <v>2.77</v>
      </c>
      <c r="BZ69">
        <v>4.97</v>
      </c>
      <c r="CA69">
        <v>5.64</v>
      </c>
      <c r="CB69">
        <v>0.65</v>
      </c>
      <c r="CC69">
        <v>-14.35</v>
      </c>
      <c r="CD69" t="s">
        <v>314</v>
      </c>
      <c r="CE69" t="s">
        <v>3765</v>
      </c>
      <c r="CF69" s="8">
        <v>0.29645491315726863</v>
      </c>
      <c r="CG69" s="9">
        <v>-5.5750892419913045</v>
      </c>
      <c r="CH69" s="8">
        <v>-7.9721488058567047E-2</v>
      </c>
      <c r="CI69" s="8">
        <v>0.14925107359886169</v>
      </c>
      <c r="CJ69" s="8">
        <v>0.27879062294960022</v>
      </c>
      <c r="CK69" s="8">
        <v>0.22574262320995331</v>
      </c>
      <c r="CL69" s="8">
        <v>0.30298560857772827</v>
      </c>
      <c r="CM69" s="9">
        <v>-0.45118191838264465</v>
      </c>
      <c r="CN69" s="9">
        <v>2.9629629105329514E-2</v>
      </c>
      <c r="CO69" s="9">
        <v>-0.24940432608127594</v>
      </c>
      <c r="CP69" s="9">
        <v>0.76825851202011108</v>
      </c>
      <c r="CQ69" s="9">
        <v>1.3192182779312134</v>
      </c>
      <c r="CR69">
        <v>41.341126427061312</v>
      </c>
      <c r="CS69">
        <v>2.3568325606951248</v>
      </c>
      <c r="CT69">
        <v>0.52631578947368418</v>
      </c>
      <c r="CU69" s="8">
        <v>0.17540968805551529</v>
      </c>
      <c r="CV69" s="9">
        <v>0.28330403491854667</v>
      </c>
      <c r="CW69">
        <v>0.06</v>
      </c>
      <c r="CX69">
        <v>45.974890741641069</v>
      </c>
      <c r="CY69">
        <v>592140352.28457093</v>
      </c>
      <c r="CZ69">
        <v>0.17540968805551529</v>
      </c>
      <c r="DA69">
        <v>13.985959032335794</v>
      </c>
      <c r="DB69">
        <v>1946494190.1415958</v>
      </c>
      <c r="DC69">
        <v>0.16663920365273951</v>
      </c>
      <c r="DD69">
        <v>6.237817553769311</v>
      </c>
      <c r="DE69">
        <v>4364280898.7816048</v>
      </c>
      <c r="DF69">
        <v>0.15436052548885346</v>
      </c>
      <c r="DG69">
        <v>3.3373876788560732</v>
      </c>
      <c r="DH69">
        <v>8157154822.7598143</v>
      </c>
      <c r="DI69">
        <v>0.14032775044441223</v>
      </c>
      <c r="DJ69">
        <v>1.31921137876072</v>
      </c>
      <c r="DK69">
        <v>20636259236.616123</v>
      </c>
      <c r="DL69">
        <v>0.1227867816388607</v>
      </c>
      <c r="DM69">
        <v>534000000</v>
      </c>
      <c r="DN69">
        <v>0.17540968805551529</v>
      </c>
      <c r="DO69">
        <v>27223588000</v>
      </c>
      <c r="DP69">
        <v>8624498000</v>
      </c>
      <c r="DQ69">
        <v>2656</v>
      </c>
      <c r="DR69">
        <v>0.12104522510175333</v>
      </c>
      <c r="DS69">
        <v>-5.858393276909851</v>
      </c>
      <c r="DT69" s="10">
        <v>-9.000000000000008E-2</v>
      </c>
      <c r="DU69">
        <v>-0.76500000000000012</v>
      </c>
      <c r="DV69">
        <v>-0.8550000000000002</v>
      </c>
      <c r="DW69">
        <v>-2.1435</v>
      </c>
      <c r="DX69">
        <v>0.55838383838383798</v>
      </c>
      <c r="DY69">
        <v>-2.0198580808080808</v>
      </c>
      <c r="DZ69">
        <v>3472</v>
      </c>
      <c r="EA69">
        <v>-2.0063575410458609</v>
      </c>
      <c r="EB69">
        <v>2</v>
      </c>
      <c r="EC69">
        <v>0.14376543156630087</v>
      </c>
      <c r="ED69">
        <v>1.0388888850411522</v>
      </c>
      <c r="EE69" s="11">
        <v>5.0270000000000001</v>
      </c>
      <c r="EF69">
        <v>5.0907999999999998</v>
      </c>
      <c r="EG69">
        <v>42.138383838383838</v>
      </c>
      <c r="EH69" t="s">
        <v>3766</v>
      </c>
      <c r="EI69">
        <v>0</v>
      </c>
      <c r="EJ69">
        <v>0</v>
      </c>
      <c r="EK69" s="13">
        <v>45489</v>
      </c>
      <c r="EL69" s="14">
        <v>-0.62</v>
      </c>
      <c r="EM69" s="14">
        <v>1.34</v>
      </c>
      <c r="EN69" s="14">
        <v>-3.3</v>
      </c>
      <c r="EO69" s="14">
        <v>-2.04</v>
      </c>
      <c r="EP69" s="14">
        <v>6.38</v>
      </c>
    </row>
    <row r="70" spans="1:146" ht="96" x14ac:dyDescent="0.25">
      <c r="A70" s="7"/>
      <c r="B70" s="7"/>
      <c r="C70" s="7" t="str">
        <f>""&amp;CHAR(10)&amp;Basic_Fundamental_Information_Constructure(F70)&amp;CHAR(10)&amp;Basic_Fundamental_Information_Concatenate("")</f>
        <v xml:space="preserve">
市值23.609088亿, 利润662.03万; PE; 平均PE35.29; 平均PEG1.85, PB1.48; ROIC5.9367%; ROE7.68%; 股利率.651%; 毛利24.5167%; 净利6.48%; 上一年度营收增13.58%, 利润增-88.24%; 当季营收增-13.3%, 利润增-88.79%; 过往5年营收增19.04%, 利润增-1.9%
Income profile:
</v>
      </c>
      <c r="D70" t="s">
        <v>1162</v>
      </c>
      <c r="E70" t="s">
        <v>1163</v>
      </c>
      <c r="F70">
        <v>15.36</v>
      </c>
      <c r="G70">
        <v>-0.65</v>
      </c>
      <c r="H70" t="s">
        <v>3767</v>
      </c>
      <c r="I70">
        <v>2360908800</v>
      </c>
      <c r="K70">
        <v>1.48</v>
      </c>
      <c r="L70" t="s">
        <v>1166</v>
      </c>
      <c r="M70" t="s">
        <v>468</v>
      </c>
      <c r="N70" t="s">
        <v>2783</v>
      </c>
      <c r="O70" t="s">
        <v>546</v>
      </c>
      <c r="P70">
        <v>-12.95</v>
      </c>
      <c r="Q70" t="s">
        <v>2799</v>
      </c>
      <c r="R70">
        <v>1347459</v>
      </c>
      <c r="S70" s="5">
        <v>-0.88790000000000002</v>
      </c>
      <c r="T70" t="s">
        <v>2800</v>
      </c>
      <c r="U70">
        <v>101745375</v>
      </c>
      <c r="V70">
        <v>153705000</v>
      </c>
      <c r="W70">
        <v>1.44</v>
      </c>
      <c r="X70">
        <v>7.0000000000000007E-2</v>
      </c>
      <c r="Y70">
        <v>0.56000000000000005</v>
      </c>
      <c r="Z70" t="s">
        <v>191</v>
      </c>
      <c r="AA70" t="s">
        <v>371</v>
      </c>
      <c r="AB70" t="s">
        <v>2784</v>
      </c>
      <c r="AC70" t="s">
        <v>2785</v>
      </c>
      <c r="AD70" t="s">
        <v>60</v>
      </c>
      <c r="AE70">
        <v>-2888313</v>
      </c>
      <c r="AF70" t="s">
        <v>2786</v>
      </c>
      <c r="AG70">
        <v>2250.42</v>
      </c>
      <c r="AH70" t="s">
        <v>2787</v>
      </c>
      <c r="AI70" t="s">
        <v>483</v>
      </c>
      <c r="AJ70" t="s">
        <v>2788</v>
      </c>
      <c r="AK70" t="s">
        <v>2789</v>
      </c>
      <c r="AL70" t="s">
        <v>2790</v>
      </c>
      <c r="AM70" t="s">
        <v>60</v>
      </c>
      <c r="AN70" t="s">
        <v>2791</v>
      </c>
      <c r="AO70" t="s">
        <v>2792</v>
      </c>
      <c r="AP70" t="s">
        <v>2793</v>
      </c>
      <c r="AQ70" t="s">
        <v>502</v>
      </c>
      <c r="AR70" t="s">
        <v>60</v>
      </c>
      <c r="AS70" t="s">
        <v>857</v>
      </c>
      <c r="AT70" t="s">
        <v>2794</v>
      </c>
      <c r="AU70" t="s">
        <v>2795</v>
      </c>
      <c r="AV70" t="s">
        <v>2796</v>
      </c>
      <c r="AW70" t="s">
        <v>2797</v>
      </c>
      <c r="AX70" t="s">
        <v>556</v>
      </c>
      <c r="AY70" t="s">
        <v>978</v>
      </c>
      <c r="AZ70" t="s">
        <v>1046</v>
      </c>
      <c r="BA70" t="s">
        <v>1014</v>
      </c>
      <c r="BB70" t="s">
        <v>435</v>
      </c>
      <c r="BC70" t="s">
        <v>2798</v>
      </c>
      <c r="BD70" t="s">
        <v>402</v>
      </c>
      <c r="BE70" t="s">
        <v>207</v>
      </c>
      <c r="BF70" t="s">
        <v>1164</v>
      </c>
      <c r="BG70" t="s">
        <v>1165</v>
      </c>
      <c r="BH70" t="s">
        <v>2799</v>
      </c>
      <c r="BI70" t="s">
        <v>788</v>
      </c>
      <c r="BJ70" t="s">
        <v>556</v>
      </c>
      <c r="BK70" t="s">
        <v>2800</v>
      </c>
      <c r="BL70" t="s">
        <v>3768</v>
      </c>
      <c r="BM70" t="s">
        <v>2798</v>
      </c>
      <c r="BN70">
        <v>-1.37</v>
      </c>
      <c r="BO70">
        <v>3.96</v>
      </c>
      <c r="BP70">
        <v>15.22</v>
      </c>
      <c r="BQ70">
        <v>0.12</v>
      </c>
      <c r="BR70">
        <v>4.51</v>
      </c>
      <c r="BS70">
        <v>18.41</v>
      </c>
      <c r="BT70" t="s">
        <v>1344</v>
      </c>
      <c r="BU70" t="s">
        <v>1166</v>
      </c>
      <c r="BV70">
        <v>19.329999999999998</v>
      </c>
      <c r="BW70">
        <v>26.37</v>
      </c>
      <c r="BX70">
        <v>27.85</v>
      </c>
      <c r="BY70">
        <v>0.77</v>
      </c>
      <c r="BZ70">
        <v>7.49</v>
      </c>
      <c r="CA70">
        <v>11.18</v>
      </c>
      <c r="CB70">
        <v>2.95</v>
      </c>
      <c r="CC70">
        <v>11.47</v>
      </c>
      <c r="CD70" t="s">
        <v>3769</v>
      </c>
      <c r="CE70" t="s">
        <v>341</v>
      </c>
      <c r="CF70" s="8">
        <v>-0.13297872340425532</v>
      </c>
      <c r="CG70" s="9">
        <v>-0.8879125733061598</v>
      </c>
      <c r="CH70" s="8">
        <v>0.13581891357898712</v>
      </c>
      <c r="CI70" s="8">
        <v>-0.20106382668018341</v>
      </c>
      <c r="CJ70" s="8">
        <v>0.26855599880218506</v>
      </c>
      <c r="CK70" s="8">
        <v>9.5367850735783577E-3</v>
      </c>
      <c r="CL70" s="8">
        <v>0.73933649063110352</v>
      </c>
      <c r="CM70" s="9">
        <v>-0.88244974613189697</v>
      </c>
      <c r="CN70" s="9">
        <v>-0.46362951397895813</v>
      </c>
      <c r="CO70" s="9">
        <v>-0.17322835326194763</v>
      </c>
      <c r="CP70" s="9">
        <v>1.0832923650741577</v>
      </c>
      <c r="CQ70" s="9">
        <v>0.34089109301567078</v>
      </c>
      <c r="CR70">
        <v>35.293317082067233</v>
      </c>
      <c r="CS70">
        <v>1.8532817021887</v>
      </c>
      <c r="CT70">
        <v>0.65104166666666674</v>
      </c>
      <c r="CU70" s="8">
        <v>0.19043687228113412</v>
      </c>
      <c r="CV70" s="9">
        <v>-1.9024831056594849E-2</v>
      </c>
      <c r="CW70">
        <v>0.06</v>
      </c>
      <c r="CX70">
        <v>200.52702156382549</v>
      </c>
      <c r="CY70">
        <v>7434952.0995875392</v>
      </c>
      <c r="CZ70">
        <v>0.19043687228113412</v>
      </c>
      <c r="DA70">
        <v>60.247501465399452</v>
      </c>
      <c r="DB70">
        <v>24746400.493574642</v>
      </c>
      <c r="DC70">
        <v>0.1809150286670774</v>
      </c>
      <c r="DD70">
        <v>26.39867602118203</v>
      </c>
      <c r="DE70">
        <v>56476650.526098728</v>
      </c>
      <c r="DF70">
        <v>0.16758444760739802</v>
      </c>
      <c r="DG70">
        <v>13.823384165222439</v>
      </c>
      <c r="DH70">
        <v>107854110.26562533</v>
      </c>
      <c r="DI70">
        <v>0.15234949782490731</v>
      </c>
      <c r="DJ70">
        <v>5.1855392738049684</v>
      </c>
      <c r="DK70">
        <v>287512777.60664284</v>
      </c>
      <c r="DL70">
        <v>0.13330581059679389</v>
      </c>
      <c r="DM70">
        <v>6620300</v>
      </c>
      <c r="DN70">
        <v>0.19043687228113412</v>
      </c>
      <c r="DO70">
        <v>1490908800</v>
      </c>
      <c r="DP70">
        <v>980131100</v>
      </c>
      <c r="DQ70">
        <v>2661</v>
      </c>
      <c r="DR70">
        <v>-0.32341559568538947</v>
      </c>
      <c r="DS70">
        <v>-0.868887742249565</v>
      </c>
      <c r="DT70" s="10">
        <v>-0.25666666666666665</v>
      </c>
      <c r="DU70">
        <v>-0.72333333333333327</v>
      </c>
      <c r="DV70">
        <v>-0.98</v>
      </c>
      <c r="DW70">
        <v>8.2571926765475148</v>
      </c>
      <c r="DX70">
        <v>0.33970938628158709</v>
      </c>
      <c r="DY70">
        <v>8.0462199380584725</v>
      </c>
      <c r="DZ70">
        <v>3594</v>
      </c>
      <c r="EA70">
        <v>8.0136931204782584</v>
      </c>
      <c r="EB70">
        <v>8</v>
      </c>
      <c r="EC70">
        <v>0.32386389512377606</v>
      </c>
      <c r="ED70">
        <v>1.8021534758140594</v>
      </c>
      <c r="EE70" s="11">
        <v>1.03501</v>
      </c>
      <c r="EF70">
        <v>1.0415099999999999</v>
      </c>
      <c r="EG70">
        <v>16.179709386281587</v>
      </c>
      <c r="EH70" t="s">
        <v>1229</v>
      </c>
      <c r="EI70">
        <v>0</v>
      </c>
      <c r="EJ70">
        <v>0</v>
      </c>
      <c r="EK70" s="13">
        <v>45489</v>
      </c>
      <c r="EL70" s="14">
        <v>-3.19</v>
      </c>
      <c r="EM70" s="14">
        <v>0.77</v>
      </c>
      <c r="EN70" s="14">
        <v>-4.58</v>
      </c>
      <c r="EO70" s="14">
        <v>3</v>
      </c>
      <c r="EP70" s="14">
        <v>-0.65</v>
      </c>
    </row>
    <row r="71" spans="1:146" ht="108" x14ac:dyDescent="0.25">
      <c r="C71" s="7" t="str">
        <f>""&amp;CHAR(10)&amp;Basic_Fundamental_Information_Constructure(F71)&amp;CHAR(10)&amp;Basic_Fundamental_Information_Concatenate("")</f>
        <v xml:space="preserve">
市值57.001425亿, 利润8245.34万; PE67.52; 平均PE92.66; 平均PEG2.59, PB5.5; ROIC9.9267%; ROE10.4%; 股利率.5614%; 毛利24.3633%; 净利7.71%; 上一年度营收增14.78%, 利润增-7.81%; 当季营收增21.85%, 利润增15.17%; 过往5年营收增35.76%, 利润增42.61%
Income profile:
</v>
      </c>
      <c r="D71" t="s">
        <v>1288</v>
      </c>
      <c r="E71" t="s">
        <v>1289</v>
      </c>
      <c r="F71">
        <v>14.25</v>
      </c>
      <c r="G71">
        <v>0.99</v>
      </c>
      <c r="H71" t="s">
        <v>3770</v>
      </c>
      <c r="I71">
        <v>5700142500</v>
      </c>
      <c r="J71">
        <v>67.52</v>
      </c>
      <c r="K71">
        <v>5.5</v>
      </c>
      <c r="L71" t="s">
        <v>1166</v>
      </c>
      <c r="M71" t="s">
        <v>1263</v>
      </c>
      <c r="N71" t="s">
        <v>866</v>
      </c>
      <c r="O71" t="s">
        <v>216</v>
      </c>
      <c r="P71">
        <v>21.86</v>
      </c>
      <c r="Q71" t="s">
        <v>1670</v>
      </c>
      <c r="R71">
        <v>14937599</v>
      </c>
      <c r="S71">
        <v>0.1517</v>
      </c>
      <c r="T71" t="s">
        <v>2817</v>
      </c>
      <c r="U71">
        <v>242826500</v>
      </c>
      <c r="V71">
        <v>400010000</v>
      </c>
      <c r="W71">
        <v>1.34</v>
      </c>
      <c r="X71">
        <v>0.24</v>
      </c>
      <c r="Y71">
        <v>4.1100000000000003</v>
      </c>
      <c r="Z71" t="s">
        <v>262</v>
      </c>
      <c r="AA71" t="s">
        <v>529</v>
      </c>
      <c r="AB71" t="s">
        <v>2801</v>
      </c>
      <c r="AC71" t="s">
        <v>2802</v>
      </c>
      <c r="AD71" t="s">
        <v>60</v>
      </c>
      <c r="AE71">
        <v>-105139</v>
      </c>
      <c r="AF71" t="s">
        <v>2803</v>
      </c>
      <c r="AG71" t="s">
        <v>2804</v>
      </c>
      <c r="AH71" t="s">
        <v>2805</v>
      </c>
      <c r="AI71" t="s">
        <v>681</v>
      </c>
      <c r="AJ71" t="s">
        <v>2806</v>
      </c>
      <c r="AK71" t="s">
        <v>2807</v>
      </c>
      <c r="AL71" t="s">
        <v>2808</v>
      </c>
      <c r="AM71" t="s">
        <v>60</v>
      </c>
      <c r="AN71">
        <v>0</v>
      </c>
      <c r="AO71" t="s">
        <v>2809</v>
      </c>
      <c r="AP71" t="s">
        <v>60</v>
      </c>
      <c r="AQ71" t="s">
        <v>2810</v>
      </c>
      <c r="AR71" t="s">
        <v>2811</v>
      </c>
      <c r="AS71" t="s">
        <v>62</v>
      </c>
      <c r="AT71" t="s">
        <v>2812</v>
      </c>
      <c r="AU71" t="s">
        <v>2813</v>
      </c>
      <c r="AV71" t="s">
        <v>2814</v>
      </c>
      <c r="AW71" t="s">
        <v>2815</v>
      </c>
      <c r="AX71" t="s">
        <v>859</v>
      </c>
      <c r="AY71" t="s">
        <v>946</v>
      </c>
      <c r="AZ71" t="s">
        <v>318</v>
      </c>
      <c r="BA71" t="s">
        <v>660</v>
      </c>
      <c r="BB71" t="s">
        <v>513</v>
      </c>
      <c r="BC71" t="s">
        <v>2816</v>
      </c>
      <c r="BD71" t="s">
        <v>1290</v>
      </c>
      <c r="BE71" t="s">
        <v>1291</v>
      </c>
      <c r="BF71" t="s">
        <v>1292</v>
      </c>
      <c r="BG71" t="s">
        <v>1293</v>
      </c>
      <c r="BH71" t="s">
        <v>1670</v>
      </c>
      <c r="BI71" t="s">
        <v>225</v>
      </c>
      <c r="BJ71" t="s">
        <v>859</v>
      </c>
      <c r="BK71" t="s">
        <v>2817</v>
      </c>
      <c r="BL71" t="s">
        <v>3771</v>
      </c>
      <c r="BM71" t="s">
        <v>2816</v>
      </c>
      <c r="BN71">
        <v>4.8</v>
      </c>
      <c r="BO71">
        <v>10.71</v>
      </c>
      <c r="BP71">
        <v>14.27</v>
      </c>
      <c r="BQ71">
        <v>5.2</v>
      </c>
      <c r="BR71">
        <v>12.43</v>
      </c>
      <c r="BS71">
        <v>13.57</v>
      </c>
      <c r="BT71" t="s">
        <v>1355</v>
      </c>
      <c r="BU71" t="s">
        <v>1166</v>
      </c>
      <c r="BV71">
        <v>24.27</v>
      </c>
      <c r="BW71">
        <v>24.44</v>
      </c>
      <c r="BX71">
        <v>24.38</v>
      </c>
      <c r="BY71">
        <v>6.91</v>
      </c>
      <c r="BZ71">
        <v>7.71</v>
      </c>
      <c r="CA71">
        <v>8.51</v>
      </c>
      <c r="CB71">
        <v>0.85</v>
      </c>
      <c r="CC71" s="8">
        <v>-9.92</v>
      </c>
      <c r="CD71" s="9" t="s">
        <v>3772</v>
      </c>
      <c r="CE71" s="8" t="s">
        <v>203</v>
      </c>
      <c r="CF71" s="8">
        <v>0.2185430463576159</v>
      </c>
      <c r="CG71" s="8">
        <v>0.15170385505011566</v>
      </c>
      <c r="CH71" s="8">
        <v>0.14780411124229431</v>
      </c>
      <c r="CI71" s="8">
        <v>0.28976035118103027</v>
      </c>
      <c r="CJ71" s="9">
        <v>0.33430233597755432</v>
      </c>
      <c r="CK71" s="9">
        <v>0.27407407760620117</v>
      </c>
      <c r="CL71" s="9">
        <v>0.74193549156188965</v>
      </c>
      <c r="CM71" s="9">
        <v>-7.8141734004020691E-2</v>
      </c>
      <c r="CN71" s="9">
        <v>0.16912171244621277</v>
      </c>
      <c r="CO71">
        <v>0.16465331614017487</v>
      </c>
      <c r="CP71">
        <v>0.7583274245262146</v>
      </c>
      <c r="CQ71">
        <v>1.1163953542709351</v>
      </c>
      <c r="CR71" s="8">
        <v>92.660459112968965</v>
      </c>
      <c r="CS71" s="9">
        <v>2.5913553306530428</v>
      </c>
      <c r="CT71">
        <v>0.5614035087719299</v>
      </c>
      <c r="CU71">
        <v>0.35757527351379392</v>
      </c>
      <c r="CV71">
        <v>0.42607121467590331</v>
      </c>
      <c r="CW71">
        <v>0.06</v>
      </c>
      <c r="CX71">
        <v>47.283251955327287</v>
      </c>
      <c r="CY71">
        <v>105600657.6010776</v>
      </c>
      <c r="CZ71">
        <v>0.35757527351379392</v>
      </c>
      <c r="DA71">
        <v>12.409105009909721</v>
      </c>
      <c r="DB71">
        <v>402377326.64946848</v>
      </c>
      <c r="DC71">
        <v>0.33969650983810423</v>
      </c>
      <c r="DD71">
        <v>4.444033501570944</v>
      </c>
      <c r="DE71">
        <v>1123560949.3571434</v>
      </c>
      <c r="DF71">
        <v>0.31466624069213867</v>
      </c>
      <c r="DG71">
        <v>1.8007419733326175</v>
      </c>
      <c r="DH71">
        <v>2772825076.5206714</v>
      </c>
      <c r="DI71">
        <v>0.28606021881103516</v>
      </c>
      <c r="DJ71">
        <v>0.3521205519935785</v>
      </c>
      <c r="DK71">
        <v>14180207521.914421</v>
      </c>
      <c r="DL71">
        <v>0.25030269145965572</v>
      </c>
      <c r="DM71">
        <v>82453400</v>
      </c>
      <c r="DN71">
        <v>0.35757527351379392</v>
      </c>
      <c r="DO71">
        <v>4993142500</v>
      </c>
      <c r="DP71">
        <v>709732720</v>
      </c>
      <c r="DQ71" s="10">
        <v>2718</v>
      </c>
      <c r="DR71">
        <v>-0.13903222715617802</v>
      </c>
      <c r="DS71">
        <v>-0.27436735962578762</v>
      </c>
      <c r="DT71">
        <v>0.16</v>
      </c>
      <c r="DU71">
        <v>0.93666666666666665</v>
      </c>
      <c r="DV71">
        <v>1.0966666666666667</v>
      </c>
      <c r="DW71">
        <v>-2.0992000000000002</v>
      </c>
      <c r="DX71">
        <v>0.31030370370370491</v>
      </c>
      <c r="DY71">
        <v>-2.0119341274074074</v>
      </c>
      <c r="DZ71">
        <v>188</v>
      </c>
      <c r="EA71">
        <v>-2.0114948057013975</v>
      </c>
      <c r="EB71" s="11">
        <v>2</v>
      </c>
      <c r="EC71">
        <v>4.8721781955451113E-2</v>
      </c>
      <c r="ED71">
        <v>0.40498987525311869</v>
      </c>
      <c r="EE71">
        <v>1.5100000000000048E-3</v>
      </c>
      <c r="EF71">
        <v>8.3999999999999995E-3</v>
      </c>
      <c r="EG71">
        <v>19.120303703703705</v>
      </c>
      <c r="EH71" s="13" t="s">
        <v>1060</v>
      </c>
      <c r="EI71" s="14">
        <v>0</v>
      </c>
      <c r="EJ71" s="14">
        <v>1</v>
      </c>
      <c r="EK71" s="14">
        <v>45489</v>
      </c>
      <c r="EL71" s="14">
        <v>-4.37</v>
      </c>
      <c r="EM71" s="14">
        <v>3.21</v>
      </c>
      <c r="EN71" s="14">
        <v>-1.62</v>
      </c>
      <c r="EO71" s="14">
        <v>-3.16</v>
      </c>
      <c r="EP71" s="14">
        <v>0.99</v>
      </c>
    </row>
    <row r="72" spans="1:146" ht="108" x14ac:dyDescent="0.25">
      <c r="A72" s="7"/>
      <c r="B72" s="7" t="s">
        <v>1360</v>
      </c>
      <c r="C72" s="7" t="str">
        <f>""&amp;CHAR(10)&amp;Basic_Fundamental_Information_Constructure(F72)&amp;CHAR(10)&amp;Basic_Fundamental_Information_Concatenate("")</f>
        <v xml:space="preserve">
市值21.196387亿, 利润4221.76万; PE69.25; 平均PE40.12; 平均PEG2.44, PB1.66; ROIC10.33%; ROE12.84%; 股利率.776%; 毛利26.4567%; 净利8.55%; 上一年度营收增3.35%, 利润增-33.08%; 当季营收增-27.91%, 利润增-491.49%; 过往5年营收增16.46%, 利润增21.77%
Income profile:
</v>
      </c>
      <c r="D72" t="s">
        <v>1320</v>
      </c>
      <c r="E72" t="s">
        <v>1321</v>
      </c>
      <c r="F72">
        <v>19.329999999999998</v>
      </c>
      <c r="G72">
        <v>-3.54</v>
      </c>
      <c r="H72" t="s">
        <v>3773</v>
      </c>
      <c r="I72">
        <v>2119638700</v>
      </c>
      <c r="J72">
        <v>69.25</v>
      </c>
      <c r="K72">
        <v>1.66</v>
      </c>
      <c r="L72" t="s">
        <v>1166</v>
      </c>
      <c r="M72" t="s">
        <v>1007</v>
      </c>
      <c r="N72" t="s">
        <v>1700</v>
      </c>
      <c r="O72" t="s">
        <v>2818</v>
      </c>
      <c r="P72">
        <v>-27.91</v>
      </c>
      <c r="Q72" t="s">
        <v>2835</v>
      </c>
      <c r="R72">
        <v>-9247082</v>
      </c>
      <c r="S72">
        <v>-4.915</v>
      </c>
      <c r="T72" t="s">
        <v>2836</v>
      </c>
      <c r="U72">
        <v>50943699</v>
      </c>
      <c r="V72">
        <v>109655391</v>
      </c>
      <c r="W72">
        <v>1.58</v>
      </c>
      <c r="X72">
        <v>0.02</v>
      </c>
      <c r="Y72">
        <v>-20.329999999999998</v>
      </c>
      <c r="Z72" t="s">
        <v>2819</v>
      </c>
      <c r="AA72" t="s">
        <v>2820</v>
      </c>
      <c r="AB72" t="s">
        <v>2821</v>
      </c>
      <c r="AC72" t="s">
        <v>2822</v>
      </c>
      <c r="AD72" t="s">
        <v>60</v>
      </c>
      <c r="AE72">
        <v>1031562</v>
      </c>
      <c r="AF72" t="s">
        <v>2823</v>
      </c>
      <c r="AG72" t="s">
        <v>2824</v>
      </c>
      <c r="AH72" t="s">
        <v>2825</v>
      </c>
      <c r="AI72" t="s">
        <v>426</v>
      </c>
      <c r="AJ72" t="s">
        <v>2826</v>
      </c>
      <c r="AK72" t="s">
        <v>2827</v>
      </c>
      <c r="AL72" t="s">
        <v>2828</v>
      </c>
      <c r="AM72" t="s">
        <v>60</v>
      </c>
      <c r="AN72" t="s">
        <v>2829</v>
      </c>
      <c r="AO72" t="s">
        <v>2830</v>
      </c>
      <c r="AP72" t="s">
        <v>464</v>
      </c>
      <c r="AQ72" t="s">
        <v>476</v>
      </c>
      <c r="AR72" t="s">
        <v>60</v>
      </c>
      <c r="AS72" t="s">
        <v>190</v>
      </c>
      <c r="AT72" t="s">
        <v>2831</v>
      </c>
      <c r="AU72" t="s">
        <v>2832</v>
      </c>
      <c r="AV72" t="s">
        <v>2833</v>
      </c>
      <c r="AW72" t="s">
        <v>2834</v>
      </c>
      <c r="AX72" t="s">
        <v>1236</v>
      </c>
      <c r="AY72" t="s">
        <v>1297</v>
      </c>
      <c r="AZ72" t="s">
        <v>411</v>
      </c>
      <c r="BA72" t="s">
        <v>903</v>
      </c>
      <c r="BB72" t="s">
        <v>184</v>
      </c>
      <c r="BC72" t="s">
        <v>1449</v>
      </c>
      <c r="BD72" t="s">
        <v>1322</v>
      </c>
      <c r="BE72" t="s">
        <v>1323</v>
      </c>
      <c r="BF72" t="s">
        <v>1324</v>
      </c>
      <c r="BG72" t="s">
        <v>1325</v>
      </c>
      <c r="BH72" t="s">
        <v>2835</v>
      </c>
      <c r="BI72" t="s">
        <v>3774</v>
      </c>
      <c r="BJ72" t="s">
        <v>1236</v>
      </c>
      <c r="BK72" t="s">
        <v>2836</v>
      </c>
      <c r="BL72" t="s">
        <v>3775</v>
      </c>
      <c r="BM72" t="s">
        <v>1449</v>
      </c>
      <c r="BN72">
        <v>0.34</v>
      </c>
      <c r="BO72">
        <v>7.36</v>
      </c>
      <c r="BP72">
        <v>23.29</v>
      </c>
      <c r="BQ72">
        <v>0.34</v>
      </c>
      <c r="BR72">
        <v>12.84</v>
      </c>
      <c r="BS72">
        <v>25.34</v>
      </c>
      <c r="BT72" t="s">
        <v>1357</v>
      </c>
      <c r="BU72" t="s">
        <v>1166</v>
      </c>
      <c r="BV72">
        <v>23.79</v>
      </c>
      <c r="BW72">
        <v>27.6</v>
      </c>
      <c r="BX72">
        <v>27.98</v>
      </c>
      <c r="BY72">
        <v>5.45</v>
      </c>
      <c r="BZ72">
        <v>8.2799999999999994</v>
      </c>
      <c r="CA72">
        <v>11.92</v>
      </c>
      <c r="CB72">
        <v>-7.91</v>
      </c>
      <c r="CC72" s="8">
        <v>1.79</v>
      </c>
      <c r="CD72" s="9" t="s">
        <v>3776</v>
      </c>
      <c r="CE72" s="8" t="s">
        <v>378</v>
      </c>
      <c r="CF72" s="8">
        <v>-0.2791157698840927</v>
      </c>
      <c r="CG72" s="8">
        <v>-4.9149373412362403</v>
      </c>
      <c r="CH72" s="8">
        <v>3.3512063324451447E-2</v>
      </c>
      <c r="CI72" s="8">
        <v>2.0519835874438286E-2</v>
      </c>
      <c r="CJ72" s="9">
        <v>0.28924161195755005</v>
      </c>
      <c r="CK72" s="9">
        <v>0.41044774651527405</v>
      </c>
      <c r="CL72" s="9">
        <v>6.9148935377597809E-2</v>
      </c>
      <c r="CM72" s="9">
        <v>-0.33077380061149597</v>
      </c>
      <c r="CN72" s="9">
        <v>-0.28430521488189697</v>
      </c>
      <c r="CO72">
        <v>0.35091143846511841</v>
      </c>
      <c r="CP72">
        <v>0.87781828641891479</v>
      </c>
      <c r="CQ72">
        <v>0.47501358389854431</v>
      </c>
      <c r="CR72" s="8">
        <v>40.119724161427392</v>
      </c>
      <c r="CS72" s="9">
        <v>2.4377917987742181</v>
      </c>
      <c r="CT72">
        <v>0.77599586135540621</v>
      </c>
      <c r="CU72">
        <v>0.16457403860986233</v>
      </c>
      <c r="CV72">
        <v>0.21773285865783693</v>
      </c>
      <c r="CW72">
        <v>0.06</v>
      </c>
      <c r="CX72">
        <v>37.290706723524103</v>
      </c>
      <c r="CY72">
        <v>46382566.917373322</v>
      </c>
      <c r="CZ72">
        <v>0.16457403860986233</v>
      </c>
      <c r="DA72">
        <v>11.446752683637261</v>
      </c>
      <c r="DB72">
        <v>151103002.55481705</v>
      </c>
      <c r="DC72">
        <v>0.1563453366793692</v>
      </c>
      <c r="DD72">
        <v>5.170677404523544</v>
      </c>
      <c r="DE72">
        <v>334509110.64125437</v>
      </c>
      <c r="DF72">
        <v>0.14482515397667886</v>
      </c>
      <c r="DG72">
        <v>2.8091130744427493</v>
      </c>
      <c r="DH72">
        <v>615724128.63555264</v>
      </c>
      <c r="DI72">
        <v>0.13165923088788986</v>
      </c>
      <c r="DJ72">
        <v>1.1520773660664965</v>
      </c>
      <c r="DK72">
        <v>1501321656.813252</v>
      </c>
      <c r="DL72">
        <v>0.11520182702690362</v>
      </c>
      <c r="DM72">
        <v>42217600</v>
      </c>
      <c r="DN72">
        <v>0.16457403860986233</v>
      </c>
      <c r="DO72">
        <v>1729638700</v>
      </c>
      <c r="DP72">
        <v>1080206700</v>
      </c>
      <c r="DQ72" s="10">
        <v>2779</v>
      </c>
      <c r="DR72">
        <v>-0.44368980849395501</v>
      </c>
      <c r="DS72">
        <v>-5.1326701998940774</v>
      </c>
      <c r="DT72">
        <v>-0.19000000000000003</v>
      </c>
      <c r="DU72">
        <v>-0.74833333333333341</v>
      </c>
      <c r="DV72">
        <v>-0.93833333333333346</v>
      </c>
      <c r="DW72">
        <v>-5.2262958280657399</v>
      </c>
      <c r="DX72">
        <v>0.4224179687500012</v>
      </c>
      <c r="DY72">
        <v>-5.050332258414981</v>
      </c>
      <c r="DZ72">
        <v>3546</v>
      </c>
      <c r="EA72">
        <v>-5.0153845027189714</v>
      </c>
      <c r="EB72" s="11">
        <v>5</v>
      </c>
      <c r="EC72">
        <v>0.25962699818379198</v>
      </c>
      <c r="ED72">
        <v>1.167293270606276</v>
      </c>
      <c r="EE72">
        <v>49.034709999999997</v>
      </c>
      <c r="EF72">
        <v>49.07011</v>
      </c>
      <c r="EG72">
        <v>20.222417968750001</v>
      </c>
      <c r="EH72" s="13" t="s">
        <v>3777</v>
      </c>
      <c r="EI72" s="14">
        <v>0</v>
      </c>
      <c r="EJ72" s="14">
        <v>0</v>
      </c>
      <c r="EK72" s="14">
        <v>45489</v>
      </c>
      <c r="EL72" s="14">
        <v>0.55000000000000004</v>
      </c>
      <c r="EM72" s="14">
        <v>2.27</v>
      </c>
      <c r="EN72" s="14">
        <v>4.29</v>
      </c>
      <c r="EO72" s="14">
        <v>-7.31</v>
      </c>
      <c r="EP72" s="14">
        <v>-3.54</v>
      </c>
    </row>
    <row r="73" spans="1:146" ht="216" x14ac:dyDescent="0.25">
      <c r="A73" s="7" t="s">
        <v>1059</v>
      </c>
      <c r="B73" s="7" t="s">
        <v>1058</v>
      </c>
      <c r="C73" s="7" t="str">
        <f>"公司是电力行业主要的“云网融合”产品提供商和运营服务商；公司产品线涵盖了信息通信产业链各环节，拥有大量技术产品和解决方案，已经形成底层算
力资源和上层应用服务的全方位产业布局，可以为客户提供一体化的信息技术服务；"&amp;CHAR(10)&amp;Basic_Fundamental_Information_Constructure(F73)&amp;CHAR(10)&amp;Basic_Fundamental_Information_Concatenate("云网基础设施 36.53亿 52.10%（毛利15.10%，增速5%）
企业通用数字化应用 19.77亿 28.20%（毛利26.19%，增速8%）
电力数字化应用 13.60亿 19.40%（毛利19.31%，增速34%）
其他业务 2082.06万 0.30%（毛利5.90%）")</f>
        <v>公司是电力行业主要的“云网融合”产品提供商和运营服务商；公司产品线涵盖了信息通信产业链各环节，拥有大量技术产品和解决方案，已经形成底层算
力资源和上层应用服务的全方位产业布局，可以为客户提供一体化的信息技术服务；
市值187.03572亿, 利润8.28亿; PE24.35; 平均PE29.47; 平均PEG8.22, PB2.95; ROIC10.5633%; ROE11.5267%; 股利率1.3303%; 毛利20.4%; 净利10.13%; 上一年度营收增.76%, 利润增3.37%; 当季营收增-22.98%, 利润增-83.22%; 过往5年营收增3.58%, 利润增15.44%
Income profile:
云网基础设施 36.53亿 52.10%（毛利15.10%，增速5%）
企业通用数字化应用 19.77亿 28.20%（毛利26.19%，增速8%）
电力数字化应用 13.60亿 19.40%（毛利19.31%，增速34%）
其他业务 2082.06万 0.30%（毛利5.90%）</v>
      </c>
      <c r="D73" t="s">
        <v>70</v>
      </c>
      <c r="E73" t="s">
        <v>153</v>
      </c>
      <c r="F73">
        <v>15.56</v>
      </c>
      <c r="G73">
        <v>-0.57999999999999996</v>
      </c>
      <c r="H73" t="s">
        <v>3778</v>
      </c>
      <c r="I73">
        <v>18703572000</v>
      </c>
      <c r="J73">
        <v>24.35</v>
      </c>
      <c r="K73">
        <v>2.95</v>
      </c>
      <c r="L73" t="s">
        <v>1166</v>
      </c>
      <c r="M73" t="s">
        <v>2837</v>
      </c>
      <c r="N73" t="s">
        <v>926</v>
      </c>
      <c r="O73" t="s">
        <v>848</v>
      </c>
      <c r="P73">
        <v>-22.98</v>
      </c>
      <c r="Q73" t="s">
        <v>2847</v>
      </c>
      <c r="R73">
        <v>12102467</v>
      </c>
      <c r="S73" s="5">
        <v>-0.83220000000000005</v>
      </c>
      <c r="T73" t="s">
        <v>1103</v>
      </c>
      <c r="U73">
        <v>1194314020</v>
      </c>
      <c r="V73">
        <v>1202029040</v>
      </c>
      <c r="W73">
        <v>2.0499999999999998</v>
      </c>
      <c r="X73">
        <v>0.08</v>
      </c>
      <c r="Y73">
        <v>1.19</v>
      </c>
      <c r="Z73" t="s">
        <v>3779</v>
      </c>
      <c r="AA73" t="s">
        <v>824</v>
      </c>
      <c r="AB73" t="s">
        <v>3780</v>
      </c>
      <c r="AC73" t="s">
        <v>3781</v>
      </c>
      <c r="AD73" t="s">
        <v>60</v>
      </c>
      <c r="AE73">
        <v>-5239251</v>
      </c>
      <c r="AF73" t="s">
        <v>2838</v>
      </c>
      <c r="AG73" t="s">
        <v>2839</v>
      </c>
      <c r="AH73" t="s">
        <v>2840</v>
      </c>
      <c r="AI73" t="s">
        <v>1678</v>
      </c>
      <c r="AJ73" t="s">
        <v>2841</v>
      </c>
      <c r="AK73" t="s">
        <v>3782</v>
      </c>
      <c r="AL73" t="s">
        <v>2842</v>
      </c>
      <c r="AM73" t="s">
        <v>60</v>
      </c>
      <c r="AN73" t="s">
        <v>434</v>
      </c>
      <c r="AO73" t="s">
        <v>3783</v>
      </c>
      <c r="AP73" t="s">
        <v>1121</v>
      </c>
      <c r="AQ73" t="s">
        <v>2843</v>
      </c>
      <c r="AR73" t="s">
        <v>60</v>
      </c>
      <c r="AS73" t="s">
        <v>3784</v>
      </c>
      <c r="AT73" t="s">
        <v>60</v>
      </c>
      <c r="AU73" t="s">
        <v>2844</v>
      </c>
      <c r="AV73" t="s">
        <v>2845</v>
      </c>
      <c r="AW73" t="s">
        <v>2846</v>
      </c>
      <c r="AX73" t="s">
        <v>1451</v>
      </c>
      <c r="AY73" t="s">
        <v>3785</v>
      </c>
      <c r="AZ73" t="s">
        <v>905</v>
      </c>
      <c r="BA73" t="s">
        <v>582</v>
      </c>
      <c r="BB73" t="s">
        <v>906</v>
      </c>
      <c r="BC73" t="s">
        <v>1235</v>
      </c>
      <c r="BD73" t="s">
        <v>661</v>
      </c>
      <c r="BE73" t="s">
        <v>3786</v>
      </c>
      <c r="BF73" t="s">
        <v>583</v>
      </c>
      <c r="BG73" t="s">
        <v>408</v>
      </c>
      <c r="BH73" t="s">
        <v>2847</v>
      </c>
      <c r="BI73" t="s">
        <v>3787</v>
      </c>
      <c r="BJ73" t="s">
        <v>1451</v>
      </c>
      <c r="BK73" t="s">
        <v>1103</v>
      </c>
      <c r="BL73" t="s">
        <v>3788</v>
      </c>
      <c r="BM73" t="s">
        <v>1235</v>
      </c>
      <c r="BN73">
        <v>5.56</v>
      </c>
      <c r="BO73">
        <v>13.7</v>
      </c>
      <c r="BP73">
        <v>12.43</v>
      </c>
      <c r="BQ73">
        <v>5.91</v>
      </c>
      <c r="BR73">
        <v>14.81</v>
      </c>
      <c r="BS73">
        <v>13.86</v>
      </c>
      <c r="BT73" t="s">
        <v>2848</v>
      </c>
      <c r="BU73" t="s">
        <v>1166</v>
      </c>
      <c r="BV73">
        <v>21.56</v>
      </c>
      <c r="BW73">
        <v>20.6</v>
      </c>
      <c r="BX73">
        <v>19.04</v>
      </c>
      <c r="BY73">
        <v>10.79</v>
      </c>
      <c r="BZ73">
        <v>10.53</v>
      </c>
      <c r="CA73">
        <v>9.07</v>
      </c>
      <c r="CB73">
        <v>-4.83</v>
      </c>
      <c r="CC73">
        <v>-12.54</v>
      </c>
      <c r="CD73" t="s">
        <v>3789</v>
      </c>
      <c r="CE73" t="s">
        <v>483</v>
      </c>
      <c r="CF73" s="8">
        <v>-0.22978080120937264</v>
      </c>
      <c r="CG73" s="9">
        <v>-0.83215099724977915</v>
      </c>
      <c r="CH73" s="8">
        <v>7.6165292412042618E-3</v>
      </c>
      <c r="CI73" s="8">
        <v>1.99571643024683E-2</v>
      </c>
      <c r="CJ73" s="8">
        <v>6.4898028969764709E-2</v>
      </c>
      <c r="CK73" s="8">
        <v>-9.7102425992488861E-2</v>
      </c>
      <c r="CL73" s="8">
        <v>0.18386951088905334</v>
      </c>
      <c r="CM73" s="9">
        <v>3.3707864582538605E-2</v>
      </c>
      <c r="CN73" s="9">
        <v>0.18316100537776947</v>
      </c>
      <c r="CO73" s="9">
        <v>0.11532124876976013</v>
      </c>
      <c r="CP73" s="9">
        <v>0.24640657007694244</v>
      </c>
      <c r="CQ73" s="9">
        <v>0.19362744688987732</v>
      </c>
      <c r="CR73">
        <v>29.469913865546221</v>
      </c>
      <c r="CS73">
        <v>8.220851915772613</v>
      </c>
      <c r="CT73">
        <v>1.3303341902313623</v>
      </c>
      <c r="CU73" s="8">
        <v>3.5847761482000348E-2</v>
      </c>
      <c r="CV73" s="9">
        <v>0.1544448271393776</v>
      </c>
      <c r="CW73">
        <v>0.06</v>
      </c>
      <c r="CX73">
        <v>24.225374457999152</v>
      </c>
      <c r="CY73">
        <v>809133911.79914725</v>
      </c>
      <c r="CZ73">
        <v>3.5847761482000348E-2</v>
      </c>
      <c r="DA73">
        <v>8.2903822911141756</v>
      </c>
      <c r="DB73">
        <v>2364374924.0622377</v>
      </c>
      <c r="DC73">
        <v>3.4055373407900331E-2</v>
      </c>
      <c r="DD73">
        <v>4.3351175777016087</v>
      </c>
      <c r="DE73">
        <v>4521577938.4679012</v>
      </c>
      <c r="DF73">
        <v>3.1546030104160308E-2</v>
      </c>
      <c r="DG73">
        <v>2.7816012635981391</v>
      </c>
      <c r="DH73">
        <v>7046866226.4858179</v>
      </c>
      <c r="DI73">
        <v>2.8678209185600281E-2</v>
      </c>
      <c r="DJ73">
        <v>1.6514309156592075</v>
      </c>
      <c r="DK73">
        <v>11869447164.960922</v>
      </c>
      <c r="DL73">
        <v>2.5093433037400241E-2</v>
      </c>
      <c r="DM73">
        <v>827999999.99999988</v>
      </c>
      <c r="DN73">
        <v>3.5847761482000348E-2</v>
      </c>
      <c r="DO73">
        <v>19601572000</v>
      </c>
      <c r="DP73">
        <v>3804577400</v>
      </c>
      <c r="DQ73">
        <v>2945</v>
      </c>
      <c r="DR73">
        <v>-0.26562856269137297</v>
      </c>
      <c r="DS73">
        <v>-0.98659582438915672</v>
      </c>
      <c r="DT73" s="10">
        <v>-0.34</v>
      </c>
      <c r="DU73">
        <v>-7.3333333333333403E-2</v>
      </c>
      <c r="DV73">
        <v>-0.41333333333333344</v>
      </c>
      <c r="DW73">
        <v>-8.3851674641148328</v>
      </c>
      <c r="DX73">
        <v>0.3087702912621364</v>
      </c>
      <c r="DY73">
        <v>-8.0341914279741715</v>
      </c>
      <c r="DZ73">
        <v>2775</v>
      </c>
      <c r="EA73">
        <v>-8.0156127687557799</v>
      </c>
      <c r="EB73">
        <v>8</v>
      </c>
      <c r="EC73">
        <v>3.8032941367206904E-2</v>
      </c>
      <c r="ED73">
        <v>0.42844222798477488</v>
      </c>
      <c r="EE73" s="11">
        <v>-3.0348099999999998</v>
      </c>
      <c r="EF73">
        <v>-3.04061</v>
      </c>
      <c r="EG73">
        <v>22.088770291262136</v>
      </c>
      <c r="EH73" t="s">
        <v>1368</v>
      </c>
      <c r="EI73">
        <v>0</v>
      </c>
      <c r="EJ73">
        <v>0</v>
      </c>
      <c r="EK73" s="13">
        <v>45489</v>
      </c>
      <c r="EL73" s="14">
        <v>-3.43</v>
      </c>
      <c r="EM73" s="14">
        <v>0.5</v>
      </c>
      <c r="EN73" s="14">
        <v>0.94</v>
      </c>
      <c r="EO73" s="14">
        <v>-2.67</v>
      </c>
      <c r="EP73" s="14">
        <v>-0.57999999999999996</v>
      </c>
    </row>
    <row r="74" spans="1:146" ht="96" x14ac:dyDescent="0.25">
      <c r="A74" s="7"/>
      <c r="B74" s="7"/>
      <c r="C74" s="7" t="str">
        <f>""&amp;CHAR(10)&amp;Basic_Fundamental_Information_Constructure(F74)&amp;CHAR(10)&amp;Basic_Fundamental_Information_Concatenate("")</f>
        <v xml:space="preserve">
市值53.900031亿, 利润-1.22亿; PE; 平均PE-7.77; 平均PEG-.33, PB2.6; ROIC15.3167%; ROE10.18%; 股利率0%; 毛利39.92%; 净利39.29%; 上一年度营收增-31.35%, 利润增-130.42%; 当季营收增718.55%, 利润增-3013.12%; 过往5年营收增-23.26%, 利润增-104.88%
Income profile:
</v>
      </c>
      <c r="D74" t="s">
        <v>1042</v>
      </c>
      <c r="E74" t="s">
        <v>1294</v>
      </c>
      <c r="F74">
        <v>1.58</v>
      </c>
      <c r="G74">
        <v>-0.63</v>
      </c>
      <c r="H74" t="s">
        <v>3790</v>
      </c>
      <c r="I74">
        <v>5390003100</v>
      </c>
      <c r="K74">
        <v>2.6</v>
      </c>
      <c r="L74" t="s">
        <v>1166</v>
      </c>
      <c r="M74" t="s">
        <v>2849</v>
      </c>
      <c r="N74" t="s">
        <v>1429</v>
      </c>
      <c r="O74" t="s">
        <v>852</v>
      </c>
      <c r="P74">
        <v>718.04</v>
      </c>
      <c r="Q74" t="s">
        <v>1361</v>
      </c>
      <c r="R74">
        <v>-109585000</v>
      </c>
      <c r="S74" s="5">
        <v>-9.7840000000000007</v>
      </c>
      <c r="T74" t="s">
        <v>1240</v>
      </c>
      <c r="U74">
        <v>3408825400</v>
      </c>
      <c r="V74">
        <v>3411394400</v>
      </c>
      <c r="W74">
        <v>3.18</v>
      </c>
      <c r="X74">
        <v>7.0000000000000007E-2</v>
      </c>
      <c r="Y74">
        <v>-8.42</v>
      </c>
      <c r="Z74" t="s">
        <v>3791</v>
      </c>
      <c r="AA74" t="s">
        <v>352</v>
      </c>
      <c r="AB74" t="s">
        <v>3792</v>
      </c>
      <c r="AC74" t="s">
        <v>3793</v>
      </c>
      <c r="AD74" t="s">
        <v>60</v>
      </c>
      <c r="AE74">
        <v>35500122</v>
      </c>
      <c r="AF74" t="s">
        <v>2850</v>
      </c>
      <c r="AG74" t="s">
        <v>2851</v>
      </c>
      <c r="AH74" t="s">
        <v>2852</v>
      </c>
      <c r="AI74" t="s">
        <v>345</v>
      </c>
      <c r="AJ74" t="s">
        <v>2853</v>
      </c>
      <c r="AK74" t="s">
        <v>60</v>
      </c>
      <c r="AL74" t="s">
        <v>2854</v>
      </c>
      <c r="AM74" t="s">
        <v>60</v>
      </c>
      <c r="AN74" t="s">
        <v>1612</v>
      </c>
      <c r="AO74" t="s">
        <v>3794</v>
      </c>
      <c r="AP74" t="s">
        <v>60</v>
      </c>
      <c r="AQ74" t="s">
        <v>1609</v>
      </c>
      <c r="AR74" t="s">
        <v>2855</v>
      </c>
      <c r="AS74" t="s">
        <v>1169</v>
      </c>
      <c r="AT74" t="s">
        <v>598</v>
      </c>
      <c r="AU74" t="s">
        <v>2856</v>
      </c>
      <c r="AV74" t="s">
        <v>2857</v>
      </c>
      <c r="AW74" t="s">
        <v>415</v>
      </c>
      <c r="AX74" t="s">
        <v>928</v>
      </c>
      <c r="AY74" t="s">
        <v>942</v>
      </c>
      <c r="AZ74" t="s">
        <v>1043</v>
      </c>
      <c r="BA74" t="s">
        <v>597</v>
      </c>
      <c r="BB74" t="s">
        <v>1044</v>
      </c>
      <c r="BC74" t="s">
        <v>230</v>
      </c>
      <c r="BD74" t="s">
        <v>1127</v>
      </c>
      <c r="BE74" t="s">
        <v>3795</v>
      </c>
      <c r="BF74" t="s">
        <v>3796</v>
      </c>
      <c r="BG74" t="s">
        <v>3797</v>
      </c>
      <c r="BH74" t="s">
        <v>1361</v>
      </c>
      <c r="BI74" t="s">
        <v>3798</v>
      </c>
      <c r="BJ74" t="s">
        <v>928</v>
      </c>
      <c r="BK74" t="s">
        <v>1240</v>
      </c>
      <c r="BL74" t="s">
        <v>3799</v>
      </c>
      <c r="BM74" t="s">
        <v>230</v>
      </c>
      <c r="BN74">
        <v>2.81</v>
      </c>
      <c r="BO74">
        <v>11</v>
      </c>
      <c r="BP74">
        <v>32.14</v>
      </c>
      <c r="BQ74">
        <v>1.91</v>
      </c>
      <c r="BR74">
        <v>18.45</v>
      </c>
      <c r="BS74" t="s">
        <v>60</v>
      </c>
      <c r="BT74" t="s">
        <v>1343</v>
      </c>
      <c r="BU74" t="s">
        <v>1166</v>
      </c>
      <c r="BV74">
        <v>22.43</v>
      </c>
      <c r="BW74">
        <v>38.1</v>
      </c>
      <c r="BX74">
        <v>59.23</v>
      </c>
      <c r="BY74">
        <v>-23.97</v>
      </c>
      <c r="BZ74">
        <v>43.9</v>
      </c>
      <c r="CA74">
        <v>97.94</v>
      </c>
      <c r="CB74">
        <v>-3.66</v>
      </c>
      <c r="CC74">
        <v>-26.51</v>
      </c>
      <c r="CD74" t="s">
        <v>279</v>
      </c>
      <c r="CE74" t="s">
        <v>3800</v>
      </c>
      <c r="CF74" s="8">
        <v>7.1855139268059576</v>
      </c>
      <c r="CG74" s="9">
        <v>-30.131217863128889</v>
      </c>
      <c r="CH74" s="8">
        <v>-0.31346577405929565</v>
      </c>
      <c r="CI74" s="8">
        <v>0.11302211135625839</v>
      </c>
      <c r="CJ74" s="8">
        <v>-0.24768947064876556</v>
      </c>
      <c r="CK74" s="8">
        <v>-8.5376210510730743E-2</v>
      </c>
      <c r="CL74" s="8">
        <v>-0.62950199842453003</v>
      </c>
      <c r="CM74" s="9">
        <v>-1.3042393922805786</v>
      </c>
      <c r="CN74" s="9">
        <v>-0.48457583785057068</v>
      </c>
      <c r="CO74" s="9">
        <v>1.1985199451446533</v>
      </c>
      <c r="CP74" s="9">
        <v>-3.2971491813659668</v>
      </c>
      <c r="CQ74" s="9">
        <v>-1.3565891981124878</v>
      </c>
      <c r="CR74">
        <v>-7.7721746214852203</v>
      </c>
      <c r="CS74">
        <v>-0.33414010417994838</v>
      </c>
      <c r="CT74">
        <v>0</v>
      </c>
      <c r="CU74" s="8">
        <v>-0.23260226845741272</v>
      </c>
      <c r="CV74" s="9">
        <v>-1.0488067328929902</v>
      </c>
      <c r="CW74">
        <v>0.06</v>
      </c>
      <c r="CX74" t="e">
        <v>#VALUE!</v>
      </c>
      <c r="CY74" t="s">
        <v>1223</v>
      </c>
      <c r="CZ74">
        <v>-0.23260226845741272</v>
      </c>
      <c r="DA74" t="e">
        <v>#VALUE!</v>
      </c>
      <c r="DB74" t="s">
        <v>1224</v>
      </c>
      <c r="DC74">
        <v>-0.22097215503454207</v>
      </c>
      <c r="DD74" t="e">
        <v>#VALUE!</v>
      </c>
      <c r="DE74" t="s">
        <v>1224</v>
      </c>
      <c r="DF74">
        <v>-0.20468999624252318</v>
      </c>
      <c r="DG74" t="e">
        <v>#VALUE!</v>
      </c>
      <c r="DH74" t="s">
        <v>1224</v>
      </c>
      <c r="DI74">
        <v>-0.18608181476593019</v>
      </c>
      <c r="DJ74" t="e">
        <v>#VALUE!</v>
      </c>
      <c r="DK74" t="s">
        <v>1224</v>
      </c>
      <c r="DL74">
        <v>-0.16282158792018889</v>
      </c>
      <c r="DM74">
        <v>-122000000</v>
      </c>
      <c r="DN74">
        <v>-0.23260226845741272</v>
      </c>
      <c r="DO74">
        <v>8284003100</v>
      </c>
      <c r="DP74">
        <v>-505878300</v>
      </c>
      <c r="DQ74">
        <v>3019</v>
      </c>
      <c r="DR74">
        <v>7.4181161952633703</v>
      </c>
      <c r="DS74">
        <v>-29.082411130235897</v>
      </c>
      <c r="DT74" s="10">
        <v>-0.94</v>
      </c>
      <c r="DU74">
        <v>-2.7983333333333333</v>
      </c>
      <c r="DV74">
        <v>-3.7383333333333333</v>
      </c>
      <c r="DW74">
        <v>-8.1380611090154655</v>
      </c>
      <c r="DX74">
        <v>0.32381123058542244</v>
      </c>
      <c r="DY74">
        <v>-8.0184741268933486</v>
      </c>
      <c r="DZ74">
        <v>5059</v>
      </c>
      <c r="EA74">
        <v>-8.0001736358118034</v>
      </c>
      <c r="EB74">
        <v>8</v>
      </c>
      <c r="EC74">
        <v>3.2831149631951093E-2</v>
      </c>
      <c r="ED74">
        <v>0.24535421644592015</v>
      </c>
      <c r="EE74" s="11">
        <v>5.4010000000000002E-2</v>
      </c>
      <c r="EF74">
        <v>6.0310000000000002E-2</v>
      </c>
      <c r="EG74">
        <v>19.133811230585422</v>
      </c>
      <c r="EH74">
        <v>-1</v>
      </c>
      <c r="EI74">
        <v>0</v>
      </c>
      <c r="EJ74">
        <v>0</v>
      </c>
      <c r="EK74" s="13">
        <v>45489</v>
      </c>
      <c r="EL74" s="14">
        <v>-1.8</v>
      </c>
      <c r="EM74" s="14">
        <v>3.7</v>
      </c>
      <c r="EN74" s="14">
        <v>0</v>
      </c>
      <c r="EO74" s="14">
        <v>-5.36</v>
      </c>
      <c r="EP74" s="14">
        <v>-0.63</v>
      </c>
    </row>
    <row r="75" spans="1:146" ht="96" x14ac:dyDescent="0.25">
      <c r="A75" s="7"/>
      <c r="B75" s="7"/>
      <c r="C75" s="7" t="str">
        <f>""&amp;CHAR(10)&amp;Basic_Fundamental_Information_Constructure(F75)&amp;CHAR(10)&amp;Basic_Fundamental_Information_Concatenate("")</f>
        <v xml:space="preserve">
市值146.00731亿, 利润2.03亿; PE; 平均PE13.72; 平均PEG1.16, PB1.06; ROIC9.5033%; ROE6.3733%; 股利率.4188%; 毛利26.9567%; 净利8.4667%; 上一年度营收增-34.89%, 利润增-81.17%; 当季营收增-56.7%, 利润增-128.46%; 过往5年营收增-11.83%, 利润增-23.24%
Income profile:
</v>
      </c>
      <c r="D75" t="s">
        <v>129</v>
      </c>
      <c r="E75" t="s">
        <v>35</v>
      </c>
      <c r="F75">
        <v>7.88</v>
      </c>
      <c r="G75">
        <v>0</v>
      </c>
      <c r="H75" t="s">
        <v>3801</v>
      </c>
      <c r="I75">
        <v>14600731000</v>
      </c>
      <c r="K75">
        <v>1.06</v>
      </c>
      <c r="L75" t="s">
        <v>1166</v>
      </c>
      <c r="M75" t="s">
        <v>2858</v>
      </c>
      <c r="N75" t="s">
        <v>2859</v>
      </c>
      <c r="O75" t="s">
        <v>783</v>
      </c>
      <c r="P75">
        <v>-56.7</v>
      </c>
      <c r="Q75" t="s">
        <v>2874</v>
      </c>
      <c r="R75">
        <v>-70000000</v>
      </c>
      <c r="S75" s="5">
        <v>-2.2120000000000002</v>
      </c>
      <c r="T75" t="s">
        <v>739</v>
      </c>
      <c r="U75">
        <v>1852884600</v>
      </c>
      <c r="V75">
        <v>1852884600</v>
      </c>
      <c r="W75">
        <v>1.28</v>
      </c>
      <c r="X75">
        <v>7.0000000000000007E-2</v>
      </c>
      <c r="Y75">
        <v>-29.55</v>
      </c>
      <c r="Z75" t="s">
        <v>2860</v>
      </c>
      <c r="AA75" t="s">
        <v>782</v>
      </c>
      <c r="AB75" t="s">
        <v>503</v>
      </c>
      <c r="AC75" t="s">
        <v>315</v>
      </c>
      <c r="AD75" t="s">
        <v>60</v>
      </c>
      <c r="AE75">
        <v>-16523703</v>
      </c>
      <c r="AF75" t="s">
        <v>2861</v>
      </c>
      <c r="AG75" t="s">
        <v>2862</v>
      </c>
      <c r="AH75" t="s">
        <v>2863</v>
      </c>
      <c r="AI75" t="s">
        <v>2864</v>
      </c>
      <c r="AJ75" t="s">
        <v>2865</v>
      </c>
      <c r="AK75" t="s">
        <v>2866</v>
      </c>
      <c r="AL75" t="s">
        <v>2867</v>
      </c>
      <c r="AM75" t="s">
        <v>60</v>
      </c>
      <c r="AN75">
        <v>0</v>
      </c>
      <c r="AO75" t="s">
        <v>212</v>
      </c>
      <c r="AP75" t="s">
        <v>353</v>
      </c>
      <c r="AQ75" t="s">
        <v>2868</v>
      </c>
      <c r="AR75" t="s">
        <v>2869</v>
      </c>
      <c r="AS75" t="s">
        <v>2870</v>
      </c>
      <c r="AT75" t="s">
        <v>2871</v>
      </c>
      <c r="AU75" t="s">
        <v>2872</v>
      </c>
      <c r="AV75" t="s">
        <v>474</v>
      </c>
      <c r="AW75" t="s">
        <v>2873</v>
      </c>
      <c r="AX75" t="s">
        <v>1454</v>
      </c>
      <c r="AY75" t="s">
        <v>1167</v>
      </c>
      <c r="AZ75" t="s">
        <v>907</v>
      </c>
      <c r="BA75" t="s">
        <v>908</v>
      </c>
      <c r="BB75" t="s">
        <v>909</v>
      </c>
      <c r="BC75" t="s">
        <v>1669</v>
      </c>
      <c r="BD75" t="s">
        <v>1168</v>
      </c>
      <c r="BE75" t="s">
        <v>724</v>
      </c>
      <c r="BF75" t="s">
        <v>818</v>
      </c>
      <c r="BG75" t="s">
        <v>910</v>
      </c>
      <c r="BH75" t="s">
        <v>2874</v>
      </c>
      <c r="BI75" t="s">
        <v>3802</v>
      </c>
      <c r="BJ75" t="s">
        <v>1454</v>
      </c>
      <c r="BK75" t="s">
        <v>739</v>
      </c>
      <c r="BL75" t="s">
        <v>345</v>
      </c>
      <c r="BM75" t="s">
        <v>1669</v>
      </c>
      <c r="BN75">
        <v>4.47</v>
      </c>
      <c r="BO75">
        <v>11.31</v>
      </c>
      <c r="BP75">
        <v>12.73</v>
      </c>
      <c r="BQ75">
        <v>3.26</v>
      </c>
      <c r="BR75">
        <v>7.9</v>
      </c>
      <c r="BS75">
        <v>7.96</v>
      </c>
      <c r="BT75" t="s">
        <v>2875</v>
      </c>
      <c r="BU75" t="s">
        <v>1166</v>
      </c>
      <c r="BV75">
        <v>29.28</v>
      </c>
      <c r="BW75">
        <v>26.25</v>
      </c>
      <c r="BX75">
        <v>25.34</v>
      </c>
      <c r="BY75">
        <v>5.18</v>
      </c>
      <c r="BZ75">
        <v>10.68</v>
      </c>
      <c r="CA75">
        <v>9.5399999999999991</v>
      </c>
      <c r="CB75">
        <v>-4.37</v>
      </c>
      <c r="CC75">
        <v>0.94</v>
      </c>
      <c r="CD75" t="s">
        <v>378</v>
      </c>
      <c r="CE75" t="s">
        <v>858</v>
      </c>
      <c r="CF75" s="8">
        <v>-0.56702795208214485</v>
      </c>
      <c r="CG75" s="9">
        <v>-1.2845528455284554</v>
      </c>
      <c r="CH75" s="8">
        <v>-0.34891790151596069</v>
      </c>
      <c r="CI75" s="8">
        <v>-0.17868687212467194</v>
      </c>
      <c r="CJ75" s="8">
        <v>7.8072711825370789E-2</v>
      </c>
      <c r="CK75" s="8">
        <v>-0.35804468393325806</v>
      </c>
      <c r="CL75" s="8">
        <v>0.21614177525043488</v>
      </c>
      <c r="CM75" s="9">
        <v>-0.81168830394744873</v>
      </c>
      <c r="CN75" s="9">
        <v>5.1707316190004349E-2</v>
      </c>
      <c r="CO75" s="9">
        <v>-8.7040616199374199E-3</v>
      </c>
      <c r="CP75" s="9">
        <v>-0.27591037750244141</v>
      </c>
      <c r="CQ75" s="9">
        <v>-0.11742892116308212</v>
      </c>
      <c r="CR75">
        <v>13.718193861572189</v>
      </c>
      <c r="CS75">
        <v>1.1597381407814984</v>
      </c>
      <c r="CT75">
        <v>0.41878172588832491</v>
      </c>
      <c r="CU75" s="8">
        <v>-0.118286994099617</v>
      </c>
      <c r="CV75" s="9">
        <v>-0.23240486960858106</v>
      </c>
      <c r="CW75">
        <v>0.06</v>
      </c>
      <c r="CX75" t="e">
        <v>#VALUE!</v>
      </c>
      <c r="CY75" t="s">
        <v>3572</v>
      </c>
      <c r="CZ75">
        <v>-0.118286994099617</v>
      </c>
      <c r="DA75">
        <v>4.6859293924466341</v>
      </c>
      <c r="DB75" t="s">
        <v>3803</v>
      </c>
      <c r="DC75">
        <v>-0.11237264439463615</v>
      </c>
      <c r="DD75">
        <v>2.342964696223317</v>
      </c>
      <c r="DE75" t="s">
        <v>3804</v>
      </c>
      <c r="DF75">
        <v>-0.10409255480766297</v>
      </c>
      <c r="DG75">
        <v>1.40577881773399</v>
      </c>
      <c r="DH75" t="s">
        <v>3805</v>
      </c>
      <c r="DI75">
        <v>-9.4629595279693612E-2</v>
      </c>
      <c r="DJ75">
        <v>0.70288940886699502</v>
      </c>
      <c r="DK75" t="s">
        <v>3806</v>
      </c>
      <c r="DL75">
        <v>-8.2800895869731897E-2</v>
      </c>
      <c r="DM75">
        <v>202999999.99999997</v>
      </c>
      <c r="DN75">
        <v>-0.118286994099617</v>
      </c>
      <c r="DO75">
        <v>2853731000</v>
      </c>
      <c r="DP75">
        <v>9410404000</v>
      </c>
      <c r="DQ75">
        <v>3054</v>
      </c>
      <c r="DR75">
        <v>-0.44874095798252783</v>
      </c>
      <c r="DS75">
        <v>-1.0521479759198744</v>
      </c>
      <c r="DT75" s="10">
        <v>-0.77333333333333332</v>
      </c>
      <c r="DU75">
        <v>-1.3483333333333334</v>
      </c>
      <c r="DV75">
        <v>-2.1216666666666666</v>
      </c>
      <c r="DW75">
        <v>-4.2151029748283753</v>
      </c>
      <c r="DX75">
        <v>0.31968798751949989</v>
      </c>
      <c r="DY75">
        <v>-4.0429534801529359</v>
      </c>
      <c r="DZ75">
        <v>4455</v>
      </c>
      <c r="EA75">
        <v>-4.0054837809006685</v>
      </c>
      <c r="EB75">
        <v>4</v>
      </c>
      <c r="EC75">
        <v>6.9081474367049089E-2</v>
      </c>
      <c r="ED75">
        <v>0.34594707085373799</v>
      </c>
      <c r="EE75" s="11">
        <v>-1.00231</v>
      </c>
      <c r="EF75">
        <v>-1.00231</v>
      </c>
      <c r="EG75">
        <v>12.1996879875195</v>
      </c>
      <c r="EH75" t="s">
        <v>1227</v>
      </c>
      <c r="EI75">
        <v>0</v>
      </c>
      <c r="EJ75">
        <v>0</v>
      </c>
      <c r="EK75" s="13">
        <v>45489</v>
      </c>
      <c r="EL75" s="14">
        <v>-2.36</v>
      </c>
      <c r="EM75" s="14">
        <v>2.2599999999999998</v>
      </c>
      <c r="EN75" s="14">
        <v>0.37</v>
      </c>
      <c r="EO75" s="14">
        <v>-3.55</v>
      </c>
      <c r="EP75" s="14">
        <v>0</v>
      </c>
    </row>
    <row r="76" spans="1:146" ht="96" x14ac:dyDescent="0.25">
      <c r="A76" s="7"/>
      <c r="B76" s="7"/>
      <c r="C76" s="7" t="str">
        <f>""&amp;CHAR(10)&amp;Basic_Fundamental_Information_Constructure(F76)&amp;CHAR(10)&amp;Basic_Fundamental_Information_Concatenate("")</f>
        <v xml:space="preserve">
市值41.118551亿, 利润-2.21亿; PE; 平均PE-54.47; 平均PEG-13.38, PB.994; ROIC1.025%; ROE-2.1833%; 股利率0%; 毛利12.7067%; 净利-4.2233%; 上一年度营收增2.29%, 利润增31.79%; 当季营收增-5.12%, 利润增-507.38%; 过往5年营收增-4.07%, 利润增-280.09%
Income profile:
</v>
      </c>
      <c r="D76" t="s">
        <v>135</v>
      </c>
      <c r="E76" t="s">
        <v>15</v>
      </c>
      <c r="F76">
        <v>3.75</v>
      </c>
      <c r="G76">
        <v>1.9</v>
      </c>
      <c r="H76" t="s">
        <v>3807</v>
      </c>
      <c r="I76">
        <v>4111855100</v>
      </c>
      <c r="K76">
        <v>0.99399999999999999</v>
      </c>
      <c r="L76" t="s">
        <v>1166</v>
      </c>
      <c r="M76" t="s">
        <v>2876</v>
      </c>
      <c r="N76" t="s">
        <v>2877</v>
      </c>
      <c r="O76" t="s">
        <v>2878</v>
      </c>
      <c r="P76">
        <v>-5.16</v>
      </c>
      <c r="Q76" t="s">
        <v>2892</v>
      </c>
      <c r="R76">
        <v>-250000000</v>
      </c>
      <c r="S76" s="5">
        <v>-3.7429999999999999</v>
      </c>
      <c r="T76" t="s">
        <v>1639</v>
      </c>
      <c r="U76">
        <v>1096494680</v>
      </c>
      <c r="V76">
        <v>1096494680</v>
      </c>
      <c r="W76">
        <v>1.8</v>
      </c>
      <c r="X76">
        <v>0.1</v>
      </c>
      <c r="Y76">
        <v>-18.77</v>
      </c>
      <c r="Z76" t="s">
        <v>558</v>
      </c>
      <c r="AA76" t="s">
        <v>1682</v>
      </c>
      <c r="AB76" t="s">
        <v>2879</v>
      </c>
      <c r="AC76" t="s">
        <v>2880</v>
      </c>
      <c r="AD76" t="s">
        <v>60</v>
      </c>
      <c r="AE76">
        <v>12027466</v>
      </c>
      <c r="AF76" t="s">
        <v>2881</v>
      </c>
      <c r="AG76" t="s">
        <v>2882</v>
      </c>
      <c r="AH76" t="s">
        <v>2883</v>
      </c>
      <c r="AI76" t="s">
        <v>883</v>
      </c>
      <c r="AJ76" t="s">
        <v>2884</v>
      </c>
      <c r="AK76" t="s">
        <v>2885</v>
      </c>
      <c r="AL76" t="s">
        <v>2886</v>
      </c>
      <c r="AM76" t="s">
        <v>60</v>
      </c>
      <c r="AN76" t="s">
        <v>2887</v>
      </c>
      <c r="AO76" t="s">
        <v>2888</v>
      </c>
      <c r="AP76" t="s">
        <v>259</v>
      </c>
      <c r="AQ76" t="s">
        <v>1633</v>
      </c>
      <c r="AR76" t="s">
        <v>2889</v>
      </c>
      <c r="AS76" t="s">
        <v>1618</v>
      </c>
      <c r="AT76" t="s">
        <v>206</v>
      </c>
      <c r="AU76" t="s">
        <v>516</v>
      </c>
      <c r="AV76" t="s">
        <v>2890</v>
      </c>
      <c r="AW76" t="s">
        <v>2891</v>
      </c>
      <c r="AX76" t="s">
        <v>1455</v>
      </c>
      <c r="AY76" t="s">
        <v>1169</v>
      </c>
      <c r="AZ76" t="s">
        <v>912</v>
      </c>
      <c r="BA76" t="s">
        <v>586</v>
      </c>
      <c r="BB76" t="s">
        <v>914</v>
      </c>
      <c r="BC76" t="s">
        <v>1411</v>
      </c>
      <c r="BD76" t="s">
        <v>1170</v>
      </c>
      <c r="BE76" t="s">
        <v>356</v>
      </c>
      <c r="BF76" t="s">
        <v>283</v>
      </c>
      <c r="BG76" t="s">
        <v>915</v>
      </c>
      <c r="BH76" t="s">
        <v>2892</v>
      </c>
      <c r="BI76" t="s">
        <v>1012</v>
      </c>
      <c r="BJ76" t="s">
        <v>1455</v>
      </c>
      <c r="BK76" t="s">
        <v>1639</v>
      </c>
      <c r="BL76" t="s">
        <v>3808</v>
      </c>
      <c r="BM76" t="s">
        <v>1411</v>
      </c>
      <c r="BN76">
        <v>0.55000000000000004</v>
      </c>
      <c r="BO76" t="s">
        <v>60</v>
      </c>
      <c r="BP76">
        <v>1.5</v>
      </c>
      <c r="BQ76">
        <v>7.0000000000000007E-2</v>
      </c>
      <c r="BR76">
        <v>-7.11</v>
      </c>
      <c r="BS76">
        <v>0.49</v>
      </c>
      <c r="BT76" t="s">
        <v>1343</v>
      </c>
      <c r="BU76" t="s">
        <v>1166</v>
      </c>
      <c r="BV76">
        <v>13.08</v>
      </c>
      <c r="BW76">
        <v>13</v>
      </c>
      <c r="BX76">
        <v>12.04</v>
      </c>
      <c r="BY76">
        <v>-4.8899999999999997</v>
      </c>
      <c r="BZ76">
        <v>-9.2200000000000006</v>
      </c>
      <c r="CA76">
        <v>1.44</v>
      </c>
      <c r="CB76">
        <v>-1.32</v>
      </c>
      <c r="CC76">
        <v>-12.79</v>
      </c>
      <c r="CD76" t="s">
        <v>3809</v>
      </c>
      <c r="CE76" t="s">
        <v>821</v>
      </c>
      <c r="CF76" s="8">
        <v>-5.1227321237993478E-2</v>
      </c>
      <c r="CG76" s="9">
        <v>-5.0737511915722235</v>
      </c>
      <c r="CH76" s="8">
        <v>2.2850105538964272E-2</v>
      </c>
      <c r="CI76" s="8">
        <v>7.1334578096866608E-2</v>
      </c>
      <c r="CJ76" s="8">
        <v>-2.6147108525037766E-2</v>
      </c>
      <c r="CK76" s="8">
        <v>-0.14732243120670319</v>
      </c>
      <c r="CL76" s="8">
        <v>-0.12423428893089294</v>
      </c>
      <c r="CM76" s="9">
        <v>0.31790122389793396</v>
      </c>
      <c r="CN76" s="9">
        <v>-15.023242950439453</v>
      </c>
      <c r="CO76" s="9">
        <v>-0.82362979650497437</v>
      </c>
      <c r="CP76" s="9">
        <v>-0.20121951401233673</v>
      </c>
      <c r="CQ76" s="9">
        <v>1.7256636619567871</v>
      </c>
      <c r="CR76">
        <v>-54.474223303168174</v>
      </c>
      <c r="CS76">
        <v>-13.383070987251356</v>
      </c>
      <c r="CT76">
        <v>0</v>
      </c>
      <c r="CU76" s="8">
        <v>-4.0703829005360605E-2</v>
      </c>
      <c r="CV76" s="9">
        <v>-2.8009054750204085</v>
      </c>
      <c r="CW76">
        <v>0.06</v>
      </c>
      <c r="CX76" t="e">
        <v>#VALUE!</v>
      </c>
      <c r="CY76" t="s">
        <v>1223</v>
      </c>
      <c r="CZ76">
        <v>-4.0703829005360605E-2</v>
      </c>
      <c r="DA76" t="e">
        <v>#VALUE!</v>
      </c>
      <c r="DB76" t="s">
        <v>1224</v>
      </c>
      <c r="DC76">
        <v>-3.8668637555092575E-2</v>
      </c>
      <c r="DD76" t="e">
        <v>#VALUE!</v>
      </c>
      <c r="DE76" t="s">
        <v>1224</v>
      </c>
      <c r="DF76">
        <v>-3.5819369524717336E-2</v>
      </c>
      <c r="DG76" t="e">
        <v>#VALUE!</v>
      </c>
      <c r="DH76" t="s">
        <v>1224</v>
      </c>
      <c r="DI76">
        <v>-3.2563063204288485E-2</v>
      </c>
      <c r="DJ76" t="e">
        <v>#VALUE!</v>
      </c>
      <c r="DK76" t="s">
        <v>1224</v>
      </c>
      <c r="DL76">
        <v>-2.8492680303752422E-2</v>
      </c>
      <c r="DM76">
        <v>-221000000</v>
      </c>
      <c r="DN76">
        <v>-4.0703829005360605E-2</v>
      </c>
      <c r="DO76">
        <v>3155855100</v>
      </c>
      <c r="DP76">
        <v>720236400</v>
      </c>
      <c r="DQ76">
        <v>3163</v>
      </c>
      <c r="DR76">
        <v>-1.0523492232632874E-2</v>
      </c>
      <c r="DS76">
        <v>-2.272845716551815</v>
      </c>
      <c r="DT76" s="10">
        <v>-0.44</v>
      </c>
      <c r="DU76">
        <v>-2.0483333333333333</v>
      </c>
      <c r="DV76">
        <v>-2.4883333333333333</v>
      </c>
      <c r="DW76">
        <v>-2.1278999999999999</v>
      </c>
      <c r="DX76">
        <v>0.32399576719576662</v>
      </c>
      <c r="DY76">
        <v>-2.0196960586243384</v>
      </c>
      <c r="DZ76">
        <v>4656</v>
      </c>
      <c r="EA76">
        <v>-2.0017393621381587</v>
      </c>
      <c r="EB76">
        <v>2</v>
      </c>
      <c r="EC76">
        <v>5.3087717671370736E-2</v>
      </c>
      <c r="ED76">
        <v>0.34473491471933088</v>
      </c>
      <c r="EE76" s="11">
        <v>-2.0611100000000002</v>
      </c>
      <c r="EF76">
        <v>-2.0421100000000001</v>
      </c>
      <c r="EG76">
        <v>17.153995767195767</v>
      </c>
      <c r="EH76" t="s">
        <v>1399</v>
      </c>
      <c r="EI76">
        <v>0</v>
      </c>
      <c r="EJ76">
        <v>0</v>
      </c>
      <c r="EK76" s="13">
        <v>45489</v>
      </c>
      <c r="EL76" s="14">
        <v>-0.62</v>
      </c>
      <c r="EM76" s="14">
        <v>4.09</v>
      </c>
      <c r="EN76" s="14">
        <v>-1.31</v>
      </c>
      <c r="EO76" s="14">
        <v>-2.39</v>
      </c>
      <c r="EP76" s="14">
        <v>1.9</v>
      </c>
    </row>
    <row r="77" spans="1:146" ht="108" x14ac:dyDescent="0.25">
      <c r="A77" s="7"/>
      <c r="B77" s="7"/>
      <c r="C77" s="7" t="str">
        <f>""&amp;CHAR(10)&amp;Basic_Fundamental_Information_Constructure(F77)&amp;CHAR(10)&amp;Basic_Fundamental_Information_Concatenate("")</f>
        <v xml:space="preserve">
市值86.205653亿, 利润3.69亿; PE24.75; 平均PE37.86; 平均PEG7.09, PB2.25; ROIC4.5533%; ROE5.49%; 股利率.6586%; 毛利21.8933%; 净利4.7067%; 上一年度营收增-3.97%, 利润增37.17%; 当季营收增-13.84%, 利润增-36.04%; 过往5年营收增5.34%, 利润增74.03%
Income profile:
</v>
      </c>
      <c r="D77" t="s">
        <v>136</v>
      </c>
      <c r="E77" t="s">
        <v>3810</v>
      </c>
      <c r="F77">
        <v>9.11</v>
      </c>
      <c r="G77">
        <v>0</v>
      </c>
      <c r="H77" t="s">
        <v>3811</v>
      </c>
      <c r="I77">
        <v>8620565300</v>
      </c>
      <c r="J77">
        <v>24.75</v>
      </c>
      <c r="K77">
        <v>2.25</v>
      </c>
      <c r="L77" t="s">
        <v>1166</v>
      </c>
      <c r="M77" t="s">
        <v>2893</v>
      </c>
      <c r="N77" t="s">
        <v>2894</v>
      </c>
      <c r="O77" t="s">
        <v>1610</v>
      </c>
      <c r="P77">
        <v>-13.84</v>
      </c>
      <c r="Q77" t="s">
        <v>2905</v>
      </c>
      <c r="R77">
        <v>-79544244</v>
      </c>
      <c r="S77" s="5">
        <v>-0.3604</v>
      </c>
      <c r="T77" t="s">
        <v>495</v>
      </c>
      <c r="U77">
        <v>946275010</v>
      </c>
      <c r="V77">
        <v>946275010</v>
      </c>
      <c r="W77">
        <v>1.69</v>
      </c>
      <c r="X77">
        <v>0.16</v>
      </c>
      <c r="Y77">
        <v>-8.7200000000000006</v>
      </c>
      <c r="Z77" t="s">
        <v>2895</v>
      </c>
      <c r="AA77" t="s">
        <v>1615</v>
      </c>
      <c r="AB77" t="s">
        <v>2896</v>
      </c>
      <c r="AC77" t="s">
        <v>2897</v>
      </c>
      <c r="AD77" t="s">
        <v>60</v>
      </c>
      <c r="AE77">
        <v>-544753</v>
      </c>
      <c r="AF77" t="s">
        <v>2898</v>
      </c>
      <c r="AG77" t="s">
        <v>1608</v>
      </c>
      <c r="AH77" t="s">
        <v>2899</v>
      </c>
      <c r="AI77" t="s">
        <v>612</v>
      </c>
      <c r="AJ77" t="s">
        <v>2900</v>
      </c>
      <c r="AK77" t="s">
        <v>2901</v>
      </c>
      <c r="AL77" t="s">
        <v>2902</v>
      </c>
      <c r="AM77" t="s">
        <v>60</v>
      </c>
      <c r="AN77">
        <v>0</v>
      </c>
      <c r="AO77" t="s">
        <v>1332</v>
      </c>
      <c r="AP77" t="s">
        <v>2903</v>
      </c>
      <c r="AQ77" t="s">
        <v>572</v>
      </c>
      <c r="AR77" t="s">
        <v>60</v>
      </c>
      <c r="AS77" t="s">
        <v>560</v>
      </c>
      <c r="AT77" t="s">
        <v>1261</v>
      </c>
      <c r="AU77" t="s">
        <v>2832</v>
      </c>
      <c r="AV77" t="s">
        <v>970</v>
      </c>
      <c r="AW77" t="s">
        <v>2904</v>
      </c>
      <c r="AX77" t="s">
        <v>1456</v>
      </c>
      <c r="AY77" t="s">
        <v>1171</v>
      </c>
      <c r="AZ77" t="s">
        <v>916</v>
      </c>
      <c r="BA77" t="s">
        <v>589</v>
      </c>
      <c r="BB77" t="s">
        <v>917</v>
      </c>
      <c r="BC77" t="s">
        <v>636</v>
      </c>
      <c r="BD77" t="s">
        <v>434</v>
      </c>
      <c r="BE77" t="s">
        <v>593</v>
      </c>
      <c r="BF77" t="s">
        <v>452</v>
      </c>
      <c r="BG77" t="s">
        <v>723</v>
      </c>
      <c r="BH77" t="s">
        <v>2905</v>
      </c>
      <c r="BI77" t="s">
        <v>3812</v>
      </c>
      <c r="BJ77" t="s">
        <v>1456</v>
      </c>
      <c r="BK77" t="s">
        <v>495</v>
      </c>
      <c r="BL77" t="s">
        <v>3813</v>
      </c>
      <c r="BM77" t="s">
        <v>636</v>
      </c>
      <c r="BN77">
        <v>0.45</v>
      </c>
      <c r="BO77">
        <v>5.87</v>
      </c>
      <c r="BP77">
        <v>7.34</v>
      </c>
      <c r="BQ77">
        <v>1.1200000000000001</v>
      </c>
      <c r="BR77">
        <v>7.43</v>
      </c>
      <c r="BS77">
        <v>7.92</v>
      </c>
      <c r="BT77" t="s">
        <v>1352</v>
      </c>
      <c r="BU77" t="s">
        <v>1166</v>
      </c>
      <c r="BV77">
        <v>23.76</v>
      </c>
      <c r="BW77">
        <v>22.27</v>
      </c>
      <c r="BX77">
        <v>19.649999999999999</v>
      </c>
      <c r="BY77">
        <v>5.81</v>
      </c>
      <c r="BZ77">
        <v>4.07</v>
      </c>
      <c r="CA77">
        <v>4.24</v>
      </c>
      <c r="CB77">
        <v>-3.5</v>
      </c>
      <c r="CC77">
        <v>-14.62</v>
      </c>
      <c r="CD77" t="s">
        <v>3814</v>
      </c>
      <c r="CE77" t="s">
        <v>345</v>
      </c>
      <c r="CF77" s="8">
        <v>-0.13844936708860758</v>
      </c>
      <c r="CG77" s="9">
        <v>-0.36039109584824086</v>
      </c>
      <c r="CH77" s="8">
        <v>-3.9672728627920151E-2</v>
      </c>
      <c r="CI77" s="8">
        <v>-2.5278361514210701E-2</v>
      </c>
      <c r="CJ77" s="8">
        <v>0.17774239182472229</v>
      </c>
      <c r="CK77" s="8">
        <v>0.15753847360610962</v>
      </c>
      <c r="CL77" s="8">
        <v>-3.2713147811591625E-3</v>
      </c>
      <c r="CM77" s="9">
        <v>0.371747225522995</v>
      </c>
      <c r="CN77" s="9">
        <v>8.0321282148361206E-2</v>
      </c>
      <c r="CO77" s="9">
        <v>-0.30056178569793701</v>
      </c>
      <c r="CP77" s="9">
        <v>0.4895397424697876</v>
      </c>
      <c r="CQ77" s="9">
        <v>3.060344934463501</v>
      </c>
      <c r="CR77">
        <v>37.864854904831624</v>
      </c>
      <c r="CS77">
        <v>7.0892445857865445</v>
      </c>
      <c r="CT77">
        <v>0.65861690450054888</v>
      </c>
      <c r="CU77" s="8">
        <v>5.3411692101508382E-2</v>
      </c>
      <c r="CV77" s="9">
        <v>0.74027827978134153</v>
      </c>
      <c r="CW77">
        <v>0.06</v>
      </c>
      <c r="CX77">
        <v>20.164804376540086</v>
      </c>
      <c r="CY77">
        <v>366706523.0051477</v>
      </c>
      <c r="CZ77">
        <v>5.3411692101508382E-2</v>
      </c>
      <c r="DA77">
        <v>6.7978905731744312</v>
      </c>
      <c r="DB77">
        <v>1087773511.5625637</v>
      </c>
      <c r="DC77">
        <v>5.0741107496432958E-2</v>
      </c>
      <c r="DD77">
        <v>3.4865222986267179</v>
      </c>
      <c r="DE77">
        <v>2120900044.9853983</v>
      </c>
      <c r="DF77">
        <v>4.7002289049327378E-2</v>
      </c>
      <c r="DG77">
        <v>2.1909951634365208</v>
      </c>
      <c r="DH77">
        <v>3374980202.3304377</v>
      </c>
      <c r="DI77">
        <v>4.2729353681206707E-2</v>
      </c>
      <c r="DJ77">
        <v>1.246902340474634</v>
      </c>
      <c r="DK77">
        <v>5930348400.168417</v>
      </c>
      <c r="DL77">
        <v>3.7388184471055866E-2</v>
      </c>
      <c r="DM77">
        <v>369000000</v>
      </c>
      <c r="DN77">
        <v>5.3411692101508382E-2</v>
      </c>
      <c r="DO77">
        <v>7394565300</v>
      </c>
      <c r="DP77">
        <v>2473166000</v>
      </c>
      <c r="DQ77">
        <v>3182</v>
      </c>
      <c r="DR77">
        <v>-0.19186105919011598</v>
      </c>
      <c r="DS77">
        <v>-1.1006693756295824</v>
      </c>
      <c r="DT77" s="10">
        <v>-0.19000000000000003</v>
      </c>
      <c r="DU77">
        <v>-1.3333333333333419E-2</v>
      </c>
      <c r="DV77">
        <v>-0.20333333333333345</v>
      </c>
      <c r="DW77">
        <v>-8.2393980848153223</v>
      </c>
      <c r="DX77">
        <v>0.34600894308943225</v>
      </c>
      <c r="DY77">
        <v>-8.0373482421896725</v>
      </c>
      <c r="DZ77">
        <v>2290</v>
      </c>
      <c r="EA77">
        <v>-8.0206011353531057</v>
      </c>
      <c r="EB77">
        <v>8</v>
      </c>
      <c r="EC77">
        <v>4.0557131483372894E-2</v>
      </c>
      <c r="ED77">
        <v>0.25996670883235096</v>
      </c>
      <c r="EE77" s="11">
        <v>-4.1311099999999996</v>
      </c>
      <c r="EF77">
        <v>-4.1311099999999996</v>
      </c>
      <c r="EG77">
        <v>19.156008943089432</v>
      </c>
      <c r="EH77" t="s">
        <v>1709</v>
      </c>
      <c r="EI77">
        <v>0</v>
      </c>
      <c r="EJ77">
        <v>0</v>
      </c>
      <c r="EK77" s="13">
        <v>45489</v>
      </c>
      <c r="EL77" s="14">
        <v>-2.21</v>
      </c>
      <c r="EM77" s="14">
        <v>2.67</v>
      </c>
      <c r="EN77" s="14">
        <v>-1.25</v>
      </c>
      <c r="EO77" s="14">
        <v>-3.9</v>
      </c>
      <c r="EP77" s="14">
        <v>0</v>
      </c>
    </row>
    <row r="78" spans="1:146" ht="108" x14ac:dyDescent="0.25">
      <c r="A78" s="7"/>
      <c r="B78" s="7"/>
      <c r="C78" s="7" t="str">
        <f>""&amp;CHAR(10)&amp;Basic_Fundamental_Information_Constructure(F78)&amp;CHAR(10)&amp;Basic_Fundamental_Information_Concatenate("")</f>
        <v xml:space="preserve">
市值19.086795亿, 利润528.81万; PE196.2; 平均PE-129.74; 平均PEG-8.88, PB14.31; ROIC2.98%; ROE-15.0033%; 股利率0%; 毛利16.0367%; 净利-1.6567%; 上一年度营收增0%, 利润增113.44%; 当季营收增-17.46%, 利润增-87.75%; 过往5年营收增14.61%, 利润增-982.95%
Income profile:
</v>
      </c>
      <c r="D78" t="s">
        <v>137</v>
      </c>
      <c r="E78" t="s">
        <v>59</v>
      </c>
      <c r="F78">
        <v>11.85</v>
      </c>
      <c r="G78">
        <v>0.59</v>
      </c>
      <c r="H78" t="s">
        <v>3815</v>
      </c>
      <c r="I78">
        <v>1908679500</v>
      </c>
      <c r="J78">
        <v>196.2</v>
      </c>
      <c r="K78">
        <v>14.31</v>
      </c>
      <c r="L78" t="s">
        <v>1166</v>
      </c>
      <c r="M78" t="s">
        <v>2906</v>
      </c>
      <c r="N78" t="s">
        <v>511</v>
      </c>
      <c r="O78" t="s">
        <v>2907</v>
      </c>
      <c r="P78">
        <v>-17.46</v>
      </c>
      <c r="Q78" t="s">
        <v>215</v>
      </c>
      <c r="R78">
        <v>-4500000</v>
      </c>
      <c r="S78" s="5">
        <v>1.853</v>
      </c>
      <c r="T78" t="s">
        <v>2921</v>
      </c>
      <c r="U78">
        <v>161070000</v>
      </c>
      <c r="V78">
        <v>161070000</v>
      </c>
      <c r="W78">
        <v>7.77</v>
      </c>
      <c r="X78">
        <v>0.08</v>
      </c>
      <c r="Y78">
        <v>2.5499999999999998</v>
      </c>
      <c r="Z78" t="s">
        <v>2908</v>
      </c>
      <c r="AA78" t="s">
        <v>2909</v>
      </c>
      <c r="AB78" t="s">
        <v>2910</v>
      </c>
      <c r="AC78" t="s">
        <v>2911</v>
      </c>
      <c r="AD78" t="s">
        <v>60</v>
      </c>
      <c r="AE78">
        <v>901910</v>
      </c>
      <c r="AF78" t="s">
        <v>171</v>
      </c>
      <c r="AG78">
        <v>0</v>
      </c>
      <c r="AH78" t="s">
        <v>2912</v>
      </c>
      <c r="AI78" t="s">
        <v>2913</v>
      </c>
      <c r="AJ78" t="s">
        <v>2914</v>
      </c>
      <c r="AK78" t="s">
        <v>2915</v>
      </c>
      <c r="AL78" t="s">
        <v>2916</v>
      </c>
      <c r="AM78" t="s">
        <v>60</v>
      </c>
      <c r="AN78">
        <v>0</v>
      </c>
      <c r="AO78" t="s">
        <v>362</v>
      </c>
      <c r="AP78" t="s">
        <v>2917</v>
      </c>
      <c r="AQ78" t="s">
        <v>847</v>
      </c>
      <c r="AR78" t="s">
        <v>60</v>
      </c>
      <c r="AS78" t="s">
        <v>257</v>
      </c>
      <c r="AT78" t="s">
        <v>409</v>
      </c>
      <c r="AU78" t="s">
        <v>1262</v>
      </c>
      <c r="AV78" t="s">
        <v>2918</v>
      </c>
      <c r="AW78" t="s">
        <v>2919</v>
      </c>
      <c r="AX78" t="s">
        <v>215</v>
      </c>
      <c r="AY78" t="s">
        <v>269</v>
      </c>
      <c r="AZ78" t="s">
        <v>547</v>
      </c>
      <c r="BA78" t="s">
        <v>491</v>
      </c>
      <c r="BB78" t="s">
        <v>513</v>
      </c>
      <c r="BC78" t="s">
        <v>2920</v>
      </c>
      <c r="BD78" t="s">
        <v>1172</v>
      </c>
      <c r="BE78" t="s">
        <v>918</v>
      </c>
      <c r="BF78" t="s">
        <v>590</v>
      </c>
      <c r="BG78" t="s">
        <v>919</v>
      </c>
      <c r="BH78" t="s">
        <v>215</v>
      </c>
      <c r="BI78" t="s">
        <v>3816</v>
      </c>
      <c r="BJ78" t="s">
        <v>215</v>
      </c>
      <c r="BK78" t="s">
        <v>2921</v>
      </c>
      <c r="BL78" t="s">
        <v>3817</v>
      </c>
      <c r="BM78" t="s">
        <v>2920</v>
      </c>
      <c r="BN78" t="s">
        <v>60</v>
      </c>
      <c r="BO78" t="s">
        <v>60</v>
      </c>
      <c r="BP78">
        <v>2.98</v>
      </c>
      <c r="BQ78">
        <v>-20.309999999999999</v>
      </c>
      <c r="BR78">
        <v>-27.15</v>
      </c>
      <c r="BS78">
        <v>2.4500000000000002</v>
      </c>
      <c r="BT78" t="s">
        <v>1343</v>
      </c>
      <c r="BU78" t="s">
        <v>1166</v>
      </c>
      <c r="BV78">
        <v>19.88</v>
      </c>
      <c r="BW78">
        <v>11.67</v>
      </c>
      <c r="BX78">
        <v>16.559999999999999</v>
      </c>
      <c r="BY78">
        <v>0.9</v>
      </c>
      <c r="BZ78">
        <v>-6.72</v>
      </c>
      <c r="CA78">
        <v>0.85</v>
      </c>
      <c r="CB78">
        <v>-8.7100000000000009</v>
      </c>
      <c r="CC78">
        <v>-6.77</v>
      </c>
      <c r="CD78" t="s">
        <v>3818</v>
      </c>
      <c r="CE78" t="s">
        <v>477</v>
      </c>
      <c r="CF78" s="8">
        <v>-0.17463339415589421</v>
      </c>
      <c r="CG78" s="9">
        <v>-0.87750333778371159</v>
      </c>
      <c r="CH78" s="8">
        <v>0</v>
      </c>
      <c r="CI78" s="8">
        <v>0.26565873622894287</v>
      </c>
      <c r="CJ78" s="8">
        <v>0.35380116105079651</v>
      </c>
      <c r="CK78" s="8">
        <v>0.15932203829288483</v>
      </c>
      <c r="CL78" s="8">
        <v>-4.8387095332145691E-2</v>
      </c>
      <c r="CM78" s="9">
        <v>1.1344484090805054</v>
      </c>
      <c r="CN78" s="9">
        <v>-10.948099136352539</v>
      </c>
      <c r="CO78" s="9">
        <v>-0.10525482147932053</v>
      </c>
      <c r="CP78" s="9">
        <v>1.0687901973724365</v>
      </c>
      <c r="CQ78" s="9">
        <v>-40.297626495361328</v>
      </c>
      <c r="CR78">
        <v>-129.73550086380243</v>
      </c>
      <c r="CS78">
        <v>-8.881189578303136</v>
      </c>
      <c r="CT78">
        <v>0</v>
      </c>
      <c r="CU78" s="8">
        <v>0.1460789680480957</v>
      </c>
      <c r="CV78" s="9">
        <v>-9.8295483693480499</v>
      </c>
      <c r="CW78">
        <v>0.06</v>
      </c>
      <c r="CX78">
        <v>471.65125779136724</v>
      </c>
      <c r="CY78">
        <v>5717528.4820142761</v>
      </c>
      <c r="CZ78">
        <v>0.1460789680480957</v>
      </c>
      <c r="DA78">
        <v>147.0282242950457</v>
      </c>
      <c r="DB78">
        <v>18341236.949094187</v>
      </c>
      <c r="DC78">
        <v>0.13877501964569092</v>
      </c>
      <c r="DD78">
        <v>67.864521854595722</v>
      </c>
      <c r="DE78">
        <v>39736218.959559105</v>
      </c>
      <c r="DF78">
        <v>0.1285494918823242</v>
      </c>
      <c r="DG78">
        <v>37.829579754795148</v>
      </c>
      <c r="DH78">
        <v>71284944.677667961</v>
      </c>
      <c r="DI78">
        <v>0.11686317443847656</v>
      </c>
      <c r="DJ78">
        <v>16.4919432161823</v>
      </c>
      <c r="DK78">
        <v>163514963.92213815</v>
      </c>
      <c r="DL78">
        <v>0.10225527763366699</v>
      </c>
      <c r="DM78">
        <v>5288099.9999999991</v>
      </c>
      <c r="DN78">
        <v>0.1460789680480957</v>
      </c>
      <c r="DO78">
        <v>2696679500</v>
      </c>
      <c r="DP78">
        <v>-211815210</v>
      </c>
      <c r="DQ78">
        <v>3199</v>
      </c>
      <c r="DR78">
        <v>-0.32071236220398991</v>
      </c>
      <c r="DS78">
        <v>8.9520450315643387</v>
      </c>
      <c r="DT78" s="10">
        <v>-4.0000000000000036E-2</v>
      </c>
      <c r="DU78">
        <v>-1.665</v>
      </c>
      <c r="DV78">
        <v>-1.7050000000000001</v>
      </c>
      <c r="DW78">
        <v>-5.7772675086107919</v>
      </c>
      <c r="DX78">
        <v>0.39275850622406649</v>
      </c>
      <c r="DY78">
        <v>-5.2197789996712896</v>
      </c>
      <c r="DZ78">
        <v>4183</v>
      </c>
      <c r="EA78">
        <v>-5.0397642051490648</v>
      </c>
      <c r="EB78">
        <v>5</v>
      </c>
      <c r="EC78">
        <v>0.42307568138076612</v>
      </c>
      <c r="ED78">
        <v>1.4962438691252251</v>
      </c>
      <c r="EE78" s="11">
        <v>-2.0746099999999998</v>
      </c>
      <c r="EF78">
        <v>-2.0687099999999998</v>
      </c>
      <c r="EG78">
        <v>11.282758506224067</v>
      </c>
      <c r="EH78" t="s">
        <v>1399</v>
      </c>
      <c r="EI78">
        <v>0</v>
      </c>
      <c r="EJ78">
        <v>0</v>
      </c>
      <c r="EK78" s="13">
        <v>45489</v>
      </c>
      <c r="EL78" s="14">
        <v>-2.36</v>
      </c>
      <c r="EM78" s="14">
        <v>2.0099999999999998</v>
      </c>
      <c r="EN78" s="14">
        <v>-2.44</v>
      </c>
      <c r="EO78" s="14">
        <v>-5</v>
      </c>
      <c r="EP78" s="14">
        <v>0.59</v>
      </c>
    </row>
    <row r="79" spans="1:146" ht="96" x14ac:dyDescent="0.25">
      <c r="A79" s="7"/>
      <c r="B79" s="7"/>
      <c r="C79" s="7" t="str">
        <f>""&amp;CHAR(10)&amp;Basic_Fundamental_Information_Constructure(F79)&amp;CHAR(10)&amp;Basic_Fundamental_Information_Concatenate("")</f>
        <v xml:space="preserve">
市值246.63443亿, 利润-2.33亿; PE; 平均PE1083.35; 平均PEG96.63, PB11.39; ROIC5.915%; ROE-3.8867%; 股利率0%; 毛利32.69%; 净利1.4567%; 上一年度营收增-30.26%, 利润增-607.09%; 当季营收增-42.28%, 利润增-38.19%; 过往5年营收增11.21%, 利润增-134.55%
Income profile:
</v>
      </c>
      <c r="D79" t="s">
        <v>69</v>
      </c>
      <c r="E79" t="s">
        <v>58</v>
      </c>
      <c r="F79">
        <v>29.01</v>
      </c>
      <c r="G79">
        <v>1.83</v>
      </c>
      <c r="H79" t="s">
        <v>3819</v>
      </c>
      <c r="I79">
        <v>24663443000</v>
      </c>
      <c r="K79">
        <v>11.39</v>
      </c>
      <c r="L79" t="s">
        <v>1166</v>
      </c>
      <c r="M79" t="s">
        <v>2922</v>
      </c>
      <c r="N79" t="s">
        <v>1969</v>
      </c>
      <c r="O79" t="s">
        <v>550</v>
      </c>
      <c r="P79">
        <v>-42.32</v>
      </c>
      <c r="Q79" t="s">
        <v>2931</v>
      </c>
      <c r="R79">
        <v>-275000000</v>
      </c>
      <c r="S79" s="5">
        <v>0.443</v>
      </c>
      <c r="T79" t="s">
        <v>1697</v>
      </c>
      <c r="U79">
        <v>842954830</v>
      </c>
      <c r="V79">
        <v>850170400</v>
      </c>
      <c r="W79">
        <v>2.72</v>
      </c>
      <c r="X79">
        <v>0.08</v>
      </c>
      <c r="Y79">
        <v>-16.190000000000001</v>
      </c>
      <c r="Z79" t="s">
        <v>1187</v>
      </c>
      <c r="AA79" t="s">
        <v>1234</v>
      </c>
      <c r="AB79" t="s">
        <v>226</v>
      </c>
      <c r="AC79" t="s">
        <v>548</v>
      </c>
      <c r="AD79" t="s">
        <v>60</v>
      </c>
      <c r="AE79">
        <v>5151206</v>
      </c>
      <c r="AF79" t="s">
        <v>2923</v>
      </c>
      <c r="AG79" t="s">
        <v>2924</v>
      </c>
      <c r="AH79" t="s">
        <v>2925</v>
      </c>
      <c r="AI79" t="s">
        <v>1426</v>
      </c>
      <c r="AJ79" t="s">
        <v>2926</v>
      </c>
      <c r="AK79" t="s">
        <v>490</v>
      </c>
      <c r="AL79" t="s">
        <v>2927</v>
      </c>
      <c r="AM79" t="s">
        <v>60</v>
      </c>
      <c r="AN79">
        <v>0</v>
      </c>
      <c r="AO79" t="s">
        <v>1442</v>
      </c>
      <c r="AP79" t="s">
        <v>476</v>
      </c>
      <c r="AQ79" t="s">
        <v>2928</v>
      </c>
      <c r="AR79" t="s">
        <v>60</v>
      </c>
      <c r="AS79" t="s">
        <v>2929</v>
      </c>
      <c r="AT79" t="s">
        <v>2560</v>
      </c>
      <c r="AU79" t="s">
        <v>1337</v>
      </c>
      <c r="AV79" t="s">
        <v>274</v>
      </c>
      <c r="AW79" t="s">
        <v>371</v>
      </c>
      <c r="AX79" t="s">
        <v>1458</v>
      </c>
      <c r="AY79" t="s">
        <v>1173</v>
      </c>
      <c r="AZ79" t="s">
        <v>920</v>
      </c>
      <c r="BA79" t="s">
        <v>591</v>
      </c>
      <c r="BB79" t="s">
        <v>923</v>
      </c>
      <c r="BC79" t="s">
        <v>2930</v>
      </c>
      <c r="BD79" t="s">
        <v>1174</v>
      </c>
      <c r="BE79" t="s">
        <v>921</v>
      </c>
      <c r="BF79" t="s">
        <v>592</v>
      </c>
      <c r="BG79" t="s">
        <v>371</v>
      </c>
      <c r="BH79" t="s">
        <v>2931</v>
      </c>
      <c r="BI79" t="s">
        <v>3820</v>
      </c>
      <c r="BJ79" t="s">
        <v>1458</v>
      </c>
      <c r="BK79" t="s">
        <v>1697</v>
      </c>
      <c r="BL79" t="s">
        <v>3821</v>
      </c>
      <c r="BM79" t="s">
        <v>2930</v>
      </c>
      <c r="BN79" t="s">
        <v>60</v>
      </c>
      <c r="BO79">
        <v>5.97</v>
      </c>
      <c r="BP79">
        <v>5.86</v>
      </c>
      <c r="BQ79">
        <v>-16.73</v>
      </c>
      <c r="BR79">
        <v>1.84</v>
      </c>
      <c r="BS79">
        <v>3.23</v>
      </c>
      <c r="BT79" t="s">
        <v>1343</v>
      </c>
      <c r="BU79" t="s">
        <v>1166</v>
      </c>
      <c r="BV79">
        <v>36.89</v>
      </c>
      <c r="BW79">
        <v>31.42</v>
      </c>
      <c r="BX79">
        <v>29.76</v>
      </c>
      <c r="BY79">
        <v>-0.12</v>
      </c>
      <c r="BZ79">
        <v>2.5299999999999998</v>
      </c>
      <c r="CA79">
        <v>1.96</v>
      </c>
      <c r="CB79">
        <v>1.01</v>
      </c>
      <c r="CC79">
        <v>-4.26</v>
      </c>
      <c r="CD79" t="s">
        <v>3822</v>
      </c>
      <c r="CE79" t="s">
        <v>443</v>
      </c>
      <c r="CF79" s="8">
        <v>-0.42282430213464695</v>
      </c>
      <c r="CG79" s="9">
        <v>-0.38190954773869346</v>
      </c>
      <c r="CH79" s="8">
        <v>-0.30259335041046143</v>
      </c>
      <c r="CI79" s="8">
        <v>-6.8779028952121735E-2</v>
      </c>
      <c r="CJ79" s="8">
        <v>0.39740821719169617</v>
      </c>
      <c r="CK79" s="8">
        <v>0.27285218238830566</v>
      </c>
      <c r="CL79" s="8">
        <v>0.26165184378623962</v>
      </c>
      <c r="CM79" s="9">
        <v>-6.0708727836608887</v>
      </c>
      <c r="CN79" s="9">
        <v>-0.3920665979385376</v>
      </c>
      <c r="CO79" s="9">
        <v>0.1077437624335289</v>
      </c>
      <c r="CP79" s="9">
        <v>0.10343221575021744</v>
      </c>
      <c r="CQ79" s="9">
        <v>-0.47597712278366089</v>
      </c>
      <c r="CR79">
        <v>1083.348643733766</v>
      </c>
      <c r="CS79">
        <v>96.634397774668855</v>
      </c>
      <c r="CT79">
        <v>0</v>
      </c>
      <c r="CU79" s="8">
        <v>0.11210797280073166</v>
      </c>
      <c r="CV79" s="9">
        <v>-1.3455481052398681</v>
      </c>
      <c r="CW79">
        <v>0.06</v>
      </c>
      <c r="CX79" t="e">
        <v>#VALUE!</v>
      </c>
      <c r="CY79" t="s">
        <v>1223</v>
      </c>
      <c r="CZ79">
        <v>0.11210797280073166</v>
      </c>
      <c r="DA79" t="e">
        <v>#VALUE!</v>
      </c>
      <c r="DB79" t="s">
        <v>1224</v>
      </c>
      <c r="DC79">
        <v>0.10650257416069507</v>
      </c>
      <c r="DD79" t="e">
        <v>#VALUE!</v>
      </c>
      <c r="DE79" t="s">
        <v>1224</v>
      </c>
      <c r="DF79">
        <v>9.8655016064643858E-2</v>
      </c>
      <c r="DG79" t="e">
        <v>#VALUE!</v>
      </c>
      <c r="DH79" t="s">
        <v>1224</v>
      </c>
      <c r="DI79">
        <v>8.968637824058534E-2</v>
      </c>
      <c r="DJ79" t="e">
        <v>#VALUE!</v>
      </c>
      <c r="DK79" t="s">
        <v>1224</v>
      </c>
      <c r="DL79">
        <v>7.8475580960512159E-2</v>
      </c>
      <c r="DM79">
        <v>-233000000</v>
      </c>
      <c r="DN79">
        <v>0.11210797280073166</v>
      </c>
      <c r="DO79">
        <v>27253443000</v>
      </c>
      <c r="DP79">
        <v>1341281500</v>
      </c>
      <c r="DQ79">
        <v>3250</v>
      </c>
      <c r="DR79">
        <v>-0.53493227493537865</v>
      </c>
      <c r="DS79">
        <v>0.96363855750117466</v>
      </c>
      <c r="DT79" s="10">
        <v>-0.25666666666666677</v>
      </c>
      <c r="DU79">
        <v>-1.8983333333333334</v>
      </c>
      <c r="DV79">
        <v>-2.1550000000000002</v>
      </c>
      <c r="DW79">
        <v>-1.0426</v>
      </c>
      <c r="DX79">
        <v>0.41039521739130363</v>
      </c>
      <c r="DY79">
        <v>-1.0047028362608696</v>
      </c>
      <c r="DZ79">
        <v>4480</v>
      </c>
      <c r="EA79">
        <v>-1.000577379740663</v>
      </c>
      <c r="EB79">
        <v>1</v>
      </c>
      <c r="EC79">
        <v>5.9731319744841742E-2</v>
      </c>
      <c r="ED79">
        <v>0.54106800236752528</v>
      </c>
      <c r="EE79" s="11">
        <v>2.0312000000000001</v>
      </c>
      <c r="EF79">
        <v>2.0495000000000001</v>
      </c>
      <c r="EG79">
        <v>30.110395217391304</v>
      </c>
      <c r="EH79" t="s">
        <v>1376</v>
      </c>
      <c r="EI79">
        <v>0</v>
      </c>
      <c r="EJ79">
        <v>0</v>
      </c>
      <c r="EK79" s="13">
        <v>45489</v>
      </c>
      <c r="EL79" s="14">
        <v>-3.13</v>
      </c>
      <c r="EM79" s="14">
        <v>1.83</v>
      </c>
      <c r="EN79" s="14">
        <v>-1.07</v>
      </c>
      <c r="EO79" s="14">
        <v>-0.31</v>
      </c>
      <c r="EP79" s="14">
        <v>1.83</v>
      </c>
    </row>
    <row r="80" spans="1:146" ht="108" x14ac:dyDescent="0.25">
      <c r="A80" s="7"/>
      <c r="B80" s="7"/>
      <c r="C80" s="7" t="str">
        <f>""&amp;CHAR(10)&amp;Basic_Fundamental_Information_Constructure(F80)&amp;CHAR(10)&amp;Basic_Fundamental_Information_Concatenate("")</f>
        <v xml:space="preserve">
市值45.09298亿, 利润1.27亿; PE65.97; 平均PE57.79; 平均PEG4.55, PB3.89; ROIC15.835%; ROE6.0267%; 股利率2.6887%; 毛利35.44%; 净利5.9633%; 上一年度营收增38.43%, 利润增184.67%; 当季营收增5.83%, 利润增-706.91%; 过往5年营收增12.7%, 利润增79.42%
Income profile:
</v>
      </c>
      <c r="D80" t="s">
        <v>75</v>
      </c>
      <c r="E80" t="s">
        <v>5</v>
      </c>
      <c r="F80">
        <v>9.67</v>
      </c>
      <c r="G80">
        <v>0.83</v>
      </c>
      <c r="H80" t="s">
        <v>3823</v>
      </c>
      <c r="I80">
        <v>4509298000</v>
      </c>
      <c r="J80">
        <v>65.97</v>
      </c>
      <c r="K80">
        <v>3.89</v>
      </c>
      <c r="L80" t="s">
        <v>1166</v>
      </c>
      <c r="M80" t="s">
        <v>1434</v>
      </c>
      <c r="N80" t="s">
        <v>1700</v>
      </c>
      <c r="O80" t="s">
        <v>372</v>
      </c>
      <c r="P80">
        <v>5.72</v>
      </c>
      <c r="Q80" t="s">
        <v>2943</v>
      </c>
      <c r="R80">
        <v>-60000000</v>
      </c>
      <c r="S80" s="5">
        <v>-5.9569999999999999</v>
      </c>
      <c r="T80" t="s">
        <v>207</v>
      </c>
      <c r="U80">
        <v>445640500</v>
      </c>
      <c r="V80">
        <v>466318310</v>
      </c>
      <c r="W80">
        <v>1.31</v>
      </c>
      <c r="X80">
        <v>0.22</v>
      </c>
      <c r="Y80">
        <v>-13.57</v>
      </c>
      <c r="Z80" t="s">
        <v>570</v>
      </c>
      <c r="AA80" t="s">
        <v>575</v>
      </c>
      <c r="AB80" t="s">
        <v>2932</v>
      </c>
      <c r="AC80" t="s">
        <v>2933</v>
      </c>
      <c r="AD80" t="s">
        <v>60</v>
      </c>
      <c r="AE80">
        <v>-127736</v>
      </c>
      <c r="AF80" t="s">
        <v>2934</v>
      </c>
      <c r="AG80" t="s">
        <v>1417</v>
      </c>
      <c r="AH80" t="s">
        <v>2935</v>
      </c>
      <c r="AI80" t="s">
        <v>2936</v>
      </c>
      <c r="AJ80" t="s">
        <v>2937</v>
      </c>
      <c r="AK80" t="s">
        <v>60</v>
      </c>
      <c r="AL80" t="s">
        <v>2938</v>
      </c>
      <c r="AM80" t="s">
        <v>60</v>
      </c>
      <c r="AN80" t="s">
        <v>2939</v>
      </c>
      <c r="AO80" t="s">
        <v>60</v>
      </c>
      <c r="AP80" t="s">
        <v>2940</v>
      </c>
      <c r="AQ80" t="s">
        <v>2941</v>
      </c>
      <c r="AR80" t="s">
        <v>60</v>
      </c>
      <c r="AS80" t="s">
        <v>520</v>
      </c>
      <c r="AT80" t="s">
        <v>60</v>
      </c>
      <c r="AU80" t="s">
        <v>2942</v>
      </c>
      <c r="AV80" t="s">
        <v>656</v>
      </c>
      <c r="AW80" t="s">
        <v>60</v>
      </c>
      <c r="AX80" t="s">
        <v>1460</v>
      </c>
      <c r="AY80" t="s">
        <v>1176</v>
      </c>
      <c r="AZ80" t="s">
        <v>430</v>
      </c>
      <c r="BA80" t="s">
        <v>594</v>
      </c>
      <c r="BB80" t="s">
        <v>782</v>
      </c>
      <c r="BC80" t="s">
        <v>1247</v>
      </c>
      <c r="BD80" t="s">
        <v>322</v>
      </c>
      <c r="BE80" t="s">
        <v>296</v>
      </c>
      <c r="BF80" t="s">
        <v>595</v>
      </c>
      <c r="BG80" t="s">
        <v>925</v>
      </c>
      <c r="BH80" t="s">
        <v>2943</v>
      </c>
      <c r="BI80" t="s">
        <v>615</v>
      </c>
      <c r="BJ80" t="s">
        <v>1460</v>
      </c>
      <c r="BK80" t="s">
        <v>207</v>
      </c>
      <c r="BL80" t="s">
        <v>3824</v>
      </c>
      <c r="BM80" t="s">
        <v>1247</v>
      </c>
      <c r="BN80">
        <v>3.82</v>
      </c>
      <c r="BO80" t="s">
        <v>60</v>
      </c>
      <c r="BP80">
        <v>27.85</v>
      </c>
      <c r="BQ80">
        <v>4.91</v>
      </c>
      <c r="BR80">
        <v>-13.07</v>
      </c>
      <c r="BS80">
        <v>26.24</v>
      </c>
      <c r="BT80" t="s">
        <v>2944</v>
      </c>
      <c r="BU80" t="s">
        <v>1166</v>
      </c>
      <c r="BV80">
        <v>29.28</v>
      </c>
      <c r="BW80">
        <v>32.39</v>
      </c>
      <c r="BX80">
        <v>44.65</v>
      </c>
      <c r="BY80">
        <v>6.1</v>
      </c>
      <c r="BZ80">
        <v>-10.029999999999999</v>
      </c>
      <c r="CA80">
        <v>21.82</v>
      </c>
      <c r="CB80">
        <v>-1.33</v>
      </c>
      <c r="CC80">
        <v>-2.62</v>
      </c>
      <c r="CD80" t="s">
        <v>3825</v>
      </c>
      <c r="CE80" t="s">
        <v>1008</v>
      </c>
      <c r="CF80" s="8">
        <v>5.8333333333333334E-2</v>
      </c>
      <c r="CG80" s="9">
        <v>-7.0691273606376628</v>
      </c>
      <c r="CH80" s="8">
        <v>0.3842652440071106</v>
      </c>
      <c r="CI80" s="8">
        <v>6.5065972739830613E-4</v>
      </c>
      <c r="CJ80" s="8">
        <v>0.214059978723526</v>
      </c>
      <c r="CK80" s="8">
        <v>5.4999999701976776E-2</v>
      </c>
      <c r="CL80" s="8">
        <v>-1.8806265667080879E-2</v>
      </c>
      <c r="CM80" s="9">
        <v>1.846666693687439</v>
      </c>
      <c r="CN80" s="9">
        <v>-1.5154639482498169</v>
      </c>
      <c r="CO80" s="9">
        <v>1.5752211809158325</v>
      </c>
      <c r="CP80" s="9">
        <v>0.8926546573638916</v>
      </c>
      <c r="CQ80" s="9">
        <v>1.172139048576355</v>
      </c>
      <c r="CR80">
        <v>57.787928430918157</v>
      </c>
      <c r="CS80">
        <v>4.549015485815616</v>
      </c>
      <c r="CT80">
        <v>2.688728024819028</v>
      </c>
      <c r="CU80" s="8">
        <v>0.12703392329858615</v>
      </c>
      <c r="CV80" s="9">
        <v>0.79424352645874019</v>
      </c>
      <c r="CW80">
        <v>0.06</v>
      </c>
      <c r="CX80">
        <v>27.514321634178813</v>
      </c>
      <c r="CY80">
        <v>135031422.88577402</v>
      </c>
      <c r="CZ80">
        <v>0.12703392329858615</v>
      </c>
      <c r="DA80">
        <v>8.7149907043673682</v>
      </c>
      <c r="DB80">
        <v>426311183.34275931</v>
      </c>
      <c r="DC80">
        <v>0.12068222713365684</v>
      </c>
      <c r="DD80">
        <v>4.1123452254545443</v>
      </c>
      <c r="DE80">
        <v>903449928.52328968</v>
      </c>
      <c r="DF80">
        <v>0.11178985250275582</v>
      </c>
      <c r="DG80">
        <v>2.3524856573889301</v>
      </c>
      <c r="DH80">
        <v>1579307396.9784291</v>
      </c>
      <c r="DI80">
        <v>0.10162713863886892</v>
      </c>
      <c r="DJ80">
        <v>1.0893765457355133</v>
      </c>
      <c r="DK80">
        <v>3410480989.8321662</v>
      </c>
      <c r="DL80">
        <v>8.8923746309010301E-2</v>
      </c>
      <c r="DM80">
        <v>127000000</v>
      </c>
      <c r="DN80">
        <v>0.12703392329858615</v>
      </c>
      <c r="DO80">
        <v>3715298000</v>
      </c>
      <c r="DP80">
        <v>831862370</v>
      </c>
      <c r="DQ80">
        <v>3278</v>
      </c>
      <c r="DR80">
        <v>-6.8700589965252815E-2</v>
      </c>
      <c r="DS80">
        <v>-7.8633708870964032</v>
      </c>
      <c r="DT80" s="10">
        <v>-0.14000000000000001</v>
      </c>
      <c r="DU80">
        <v>-0.6150000000000001</v>
      </c>
      <c r="DV80">
        <v>-0.75500000000000012</v>
      </c>
      <c r="DW80">
        <v>-1.0262</v>
      </c>
      <c r="DX80">
        <v>0.25262966887417215</v>
      </c>
      <c r="DY80">
        <v>-1.0029508973245034</v>
      </c>
      <c r="DZ80">
        <v>3342</v>
      </c>
      <c r="EA80">
        <v>-1.0010198421338845</v>
      </c>
      <c r="EB80">
        <v>1</v>
      </c>
      <c r="EC80">
        <v>0.18235483826487536</v>
      </c>
      <c r="ED80">
        <v>1.6190657407383382</v>
      </c>
      <c r="EE80" s="11">
        <v>3.0487099999999998</v>
      </c>
      <c r="EF80">
        <v>3.0404100000000001</v>
      </c>
      <c r="EG80">
        <v>14.112629668874172</v>
      </c>
      <c r="EH80" t="s">
        <v>1250</v>
      </c>
      <c r="EI80">
        <v>0</v>
      </c>
      <c r="EJ80">
        <v>0</v>
      </c>
      <c r="EK80" s="13">
        <v>45489</v>
      </c>
      <c r="EL80" s="14">
        <v>-3.94</v>
      </c>
      <c r="EM80" s="14">
        <v>2.73</v>
      </c>
      <c r="EN80" s="14">
        <v>0.82</v>
      </c>
      <c r="EO80" s="14">
        <v>-2.94</v>
      </c>
      <c r="EP80" s="14">
        <v>0.83</v>
      </c>
    </row>
    <row r="81" spans="1:146" ht="96" x14ac:dyDescent="0.25">
      <c r="C81" s="7" t="str">
        <f>""&amp;CHAR(10)&amp;Basic_Fundamental_Information_Constructure(F81)&amp;CHAR(10)&amp;Basic_Fundamental_Information_Concatenate("")</f>
        <v xml:space="preserve">
市值41.692851亿, 利润8257.34万; PE32.52; 平均PE-8.13; 平均PEG-.32, PB6.54; ROIC0%; ROE-59.54%; 股利率0%; 毛利-4.9067%; 净利-82.2033%; 上一年度营收增-12.83%, 利润增111.08%; 当季营收增9.05%, 利润增18.48%; 过往5年营收增-25.41%, 利润增-90.57%
Income profile:
</v>
      </c>
      <c r="D81" t="s">
        <v>1462</v>
      </c>
      <c r="E81" t="s">
        <v>2946</v>
      </c>
      <c r="F81">
        <v>2.82</v>
      </c>
      <c r="G81">
        <v>-0.7</v>
      </c>
      <c r="H81" t="s">
        <v>3826</v>
      </c>
      <c r="I81">
        <v>4169285100</v>
      </c>
      <c r="J81">
        <v>32.520000000000003</v>
      </c>
      <c r="K81">
        <v>6.54</v>
      </c>
      <c r="L81" t="s">
        <v>1166</v>
      </c>
      <c r="M81" t="s">
        <v>2947</v>
      </c>
      <c r="N81" t="s">
        <v>858</v>
      </c>
      <c r="O81" t="s">
        <v>2948</v>
      </c>
      <c r="P81" s="5">
        <v>9.0500000000000007</v>
      </c>
      <c r="Q81" t="s">
        <v>620</v>
      </c>
      <c r="R81">
        <v>-33750000</v>
      </c>
      <c r="S81">
        <v>1.1020000000000001</v>
      </c>
      <c r="T81" t="s">
        <v>2961</v>
      </c>
      <c r="U81">
        <v>1478469900</v>
      </c>
      <c r="V81">
        <v>1478469900</v>
      </c>
      <c r="W81">
        <v>1.94</v>
      </c>
      <c r="X81">
        <v>0.06</v>
      </c>
      <c r="Y81">
        <v>4.3899999999999997</v>
      </c>
      <c r="Z81" t="s">
        <v>296</v>
      </c>
      <c r="AA81" t="s">
        <v>2949</v>
      </c>
      <c r="AB81" t="s">
        <v>2950</v>
      </c>
      <c r="AC81" t="s">
        <v>2951</v>
      </c>
      <c r="AD81" t="s">
        <v>60</v>
      </c>
      <c r="AE81">
        <v>3111892</v>
      </c>
      <c r="AF81" t="s">
        <v>2952</v>
      </c>
      <c r="AG81" t="s">
        <v>2953</v>
      </c>
      <c r="AH81" t="s">
        <v>2954</v>
      </c>
      <c r="AI81" t="s">
        <v>846</v>
      </c>
      <c r="AJ81" t="s">
        <v>2955</v>
      </c>
      <c r="AK81" t="s">
        <v>60</v>
      </c>
      <c r="AL81" t="s">
        <v>2956</v>
      </c>
      <c r="AM81" t="s">
        <v>60</v>
      </c>
      <c r="AN81" t="s">
        <v>2957</v>
      </c>
      <c r="AO81" t="s">
        <v>60</v>
      </c>
      <c r="AP81" t="s">
        <v>60</v>
      </c>
      <c r="AQ81" t="s">
        <v>177</v>
      </c>
      <c r="AR81" t="s">
        <v>60</v>
      </c>
      <c r="AS81" t="s">
        <v>229</v>
      </c>
      <c r="AT81" t="s">
        <v>361</v>
      </c>
      <c r="AU81" t="s">
        <v>2958</v>
      </c>
      <c r="AV81" t="s">
        <v>2959</v>
      </c>
      <c r="AW81" t="s">
        <v>2960</v>
      </c>
      <c r="AX81" t="s">
        <v>676</v>
      </c>
      <c r="AY81" t="s">
        <v>1264</v>
      </c>
      <c r="AZ81" t="s">
        <v>1421</v>
      </c>
      <c r="BA81" t="s">
        <v>818</v>
      </c>
      <c r="BB81" t="s">
        <v>1464</v>
      </c>
      <c r="BC81" t="s">
        <v>1463</v>
      </c>
      <c r="BD81" t="s">
        <v>1465</v>
      </c>
      <c r="BE81" t="s">
        <v>1466</v>
      </c>
      <c r="BF81" t="s">
        <v>1467</v>
      </c>
      <c r="BG81" t="s">
        <v>274</v>
      </c>
      <c r="BH81" t="s">
        <v>620</v>
      </c>
      <c r="BI81" t="s">
        <v>3827</v>
      </c>
      <c r="BJ81" t="s">
        <v>676</v>
      </c>
      <c r="BK81" t="s">
        <v>2961</v>
      </c>
      <c r="BL81" t="s">
        <v>3828</v>
      </c>
      <c r="BM81" t="s">
        <v>1463</v>
      </c>
      <c r="BN81" t="s">
        <v>60</v>
      </c>
      <c r="BO81" t="s">
        <v>60</v>
      </c>
      <c r="BP81" t="s">
        <v>60</v>
      </c>
      <c r="BQ81" t="s">
        <v>60</v>
      </c>
      <c r="BR81" t="s">
        <v>60</v>
      </c>
      <c r="BS81">
        <v>-59.54</v>
      </c>
      <c r="BT81" t="s">
        <v>1343</v>
      </c>
      <c r="BU81" t="s">
        <v>1166</v>
      </c>
      <c r="BV81">
        <v>3.94</v>
      </c>
      <c r="BW81">
        <v>-9.9499999999999993</v>
      </c>
      <c r="BX81">
        <v>-8.7100000000000009</v>
      </c>
      <c r="BY81">
        <v>22.55</v>
      </c>
      <c r="BZ81">
        <v>-177</v>
      </c>
      <c r="CA81">
        <v>-92.16</v>
      </c>
      <c r="CB81">
        <v>-1.74</v>
      </c>
      <c r="CC81" s="8">
        <v>-24.19</v>
      </c>
      <c r="CD81" s="9" t="s">
        <v>3829</v>
      </c>
      <c r="CE81" s="8" t="s">
        <v>3830</v>
      </c>
      <c r="CF81" s="8">
        <v>9.0531872673375771E-2</v>
      </c>
      <c r="CG81" s="8">
        <v>0.18484167813926528</v>
      </c>
      <c r="CH81" s="8">
        <v>-0.12826603651046753</v>
      </c>
      <c r="CI81" s="8">
        <v>-0.46025639772415161</v>
      </c>
      <c r="CJ81" s="9">
        <v>-0.27034610509872437</v>
      </c>
      <c r="CK81" s="9">
        <v>-0.25140056014060974</v>
      </c>
      <c r="CL81" s="9">
        <v>-0.15999999642372131</v>
      </c>
      <c r="CM81" s="9">
        <v>1.1108367443084717</v>
      </c>
      <c r="CN81" s="9">
        <v>-3.6161337047815323E-2</v>
      </c>
      <c r="CO81">
        <v>0.41353997588157654</v>
      </c>
      <c r="CP81">
        <v>-0.96474361419677734</v>
      </c>
      <c r="CQ81">
        <v>-5.051948070526123</v>
      </c>
      <c r="CR81" s="8">
        <v>-8.128775711498692</v>
      </c>
      <c r="CS81" s="9">
        <v>-0.31996274402606967</v>
      </c>
      <c r="CT81">
        <v>0</v>
      </c>
      <c r="CU81">
        <v>-0.2540538191795349</v>
      </c>
      <c r="CV81">
        <v>-0.90569526031613345</v>
      </c>
      <c r="CW81">
        <v>0.06</v>
      </c>
      <c r="CX81" t="e">
        <v>#VALUE!</v>
      </c>
      <c r="CY81" t="s">
        <v>3572</v>
      </c>
      <c r="CZ81">
        <v>-0.2540538191795349</v>
      </c>
      <c r="DA81">
        <v>19.616022835440955</v>
      </c>
      <c r="DB81" t="s">
        <v>3831</v>
      </c>
      <c r="DC81">
        <v>-0.24135112822055815</v>
      </c>
      <c r="DD81">
        <v>9.8080114177204774</v>
      </c>
      <c r="DE81" t="s">
        <v>3832</v>
      </c>
      <c r="DF81">
        <v>-0.2235673608779907</v>
      </c>
      <c r="DG81">
        <v>5.8848068506322857</v>
      </c>
      <c r="DH81" t="s">
        <v>3833</v>
      </c>
      <c r="DI81">
        <v>-0.20324305534362794</v>
      </c>
      <c r="DJ81">
        <v>2.9424034253161429</v>
      </c>
      <c r="DK81" t="s">
        <v>3834</v>
      </c>
      <c r="DL81">
        <v>-0.17783767342567441</v>
      </c>
      <c r="DM81">
        <v>82573400</v>
      </c>
      <c r="DN81">
        <v>-0.2540538191795349</v>
      </c>
      <c r="DO81">
        <v>4859285100</v>
      </c>
      <c r="DP81">
        <v>300674820</v>
      </c>
      <c r="DQ81" s="10">
        <v>3295</v>
      </c>
      <c r="DR81">
        <v>0.34458569185291066</v>
      </c>
      <c r="DS81">
        <v>1.0905369384553987</v>
      </c>
      <c r="DT81">
        <v>-0.94</v>
      </c>
      <c r="DU81">
        <v>-2.5316666666666667</v>
      </c>
      <c r="DV81">
        <v>-3.4716666666666667</v>
      </c>
      <c r="DW81">
        <v>-3.092625</v>
      </c>
      <c r="DX81">
        <v>0.27466934306569402</v>
      </c>
      <c r="DY81">
        <v>-3.0115474979014598</v>
      </c>
      <c r="DZ81">
        <v>5030</v>
      </c>
      <c r="EA81">
        <v>-3.0001741056076781</v>
      </c>
      <c r="EB81" s="11">
        <v>3</v>
      </c>
      <c r="EC81" s="11">
        <v>3.4656843538038884E-2</v>
      </c>
      <c r="ED81">
        <v>0.27799010314650308</v>
      </c>
      <c r="EE81">
        <v>-1.0424100000000001</v>
      </c>
      <c r="EF81">
        <v>-1.04941</v>
      </c>
      <c r="EG81">
        <v>15.124669343065694</v>
      </c>
      <c r="EH81" s="13" t="s">
        <v>1227</v>
      </c>
      <c r="EI81" s="14">
        <v>0</v>
      </c>
      <c r="EJ81" s="14">
        <v>0</v>
      </c>
      <c r="EK81" s="14">
        <v>45489</v>
      </c>
      <c r="EL81" s="14">
        <v>-2.86</v>
      </c>
      <c r="EM81" s="14">
        <v>4.6399999999999997</v>
      </c>
      <c r="EN81" s="14">
        <v>-1.71</v>
      </c>
      <c r="EO81" s="14">
        <v>-1.39</v>
      </c>
      <c r="EP81" s="14">
        <v>-0.7</v>
      </c>
    </row>
    <row r="82" spans="1:146" ht="108" x14ac:dyDescent="0.25">
      <c r="A82" s="7"/>
      <c r="B82" s="7"/>
      <c r="C82" s="7" t="str">
        <f>""&amp;CHAR(10)&amp;Basic_Fundamental_Information_Constructure(F82)&amp;CHAR(10)&amp;Basic_Fundamental_Information_Concatenate("")</f>
        <v xml:space="preserve">
市值98.101833亿, 利润7391.25万; PE132.4; 平均PE49.79; 平均PEG5.91, PB1.06; ROIC5.79%; ROE3.6567%; 股利率1.5951%; 毛利23.7133%; 净利2.94%; 上一年度营收增11.39%, 利润增121.55%; 当季营收增10.51%, 利润增3.83%; 过往5年营收增8.43%, 利润增194.77%
Income profile:
</v>
      </c>
      <c r="D82" t="s">
        <v>68</v>
      </c>
      <c r="E82" t="s">
        <v>20</v>
      </c>
      <c r="F82">
        <v>8.15</v>
      </c>
      <c r="G82">
        <v>2.13</v>
      </c>
      <c r="H82" t="s">
        <v>3835</v>
      </c>
      <c r="I82">
        <v>9810183300</v>
      </c>
      <c r="J82">
        <v>132.4</v>
      </c>
      <c r="K82">
        <v>1.06</v>
      </c>
      <c r="L82" t="s">
        <v>1166</v>
      </c>
      <c r="M82" t="s">
        <v>2962</v>
      </c>
      <c r="N82" t="s">
        <v>2963</v>
      </c>
      <c r="O82" t="s">
        <v>1093</v>
      </c>
      <c r="P82">
        <v>10.5</v>
      </c>
      <c r="Q82" t="s">
        <v>2972</v>
      </c>
      <c r="R82">
        <v>5252539</v>
      </c>
      <c r="S82" s="5">
        <v>3.8300000000000001E-2</v>
      </c>
      <c r="T82" t="s">
        <v>2973</v>
      </c>
      <c r="U82">
        <v>1203703470</v>
      </c>
      <c r="V82">
        <v>1203703470</v>
      </c>
      <c r="W82">
        <v>1.97</v>
      </c>
      <c r="X82">
        <v>0.1</v>
      </c>
      <c r="Y82">
        <v>0.1</v>
      </c>
      <c r="Z82" t="s">
        <v>1010</v>
      </c>
      <c r="AA82" t="s">
        <v>1452</v>
      </c>
      <c r="AB82" t="s">
        <v>237</v>
      </c>
      <c r="AC82" t="s">
        <v>210</v>
      </c>
      <c r="AD82" t="s">
        <v>60</v>
      </c>
      <c r="AE82">
        <v>39334068</v>
      </c>
      <c r="AF82" t="s">
        <v>2964</v>
      </c>
      <c r="AG82" t="s">
        <v>2965</v>
      </c>
      <c r="AH82" t="s">
        <v>2966</v>
      </c>
      <c r="AI82" t="s">
        <v>1374</v>
      </c>
      <c r="AJ82" t="s">
        <v>2967</v>
      </c>
      <c r="AK82" t="s">
        <v>682</v>
      </c>
      <c r="AL82" t="s">
        <v>2968</v>
      </c>
      <c r="AM82" t="s">
        <v>60</v>
      </c>
      <c r="AN82" t="s">
        <v>578</v>
      </c>
      <c r="AO82" t="s">
        <v>524</v>
      </c>
      <c r="AP82" t="s">
        <v>294</v>
      </c>
      <c r="AQ82" t="s">
        <v>1426</v>
      </c>
      <c r="AR82" t="s">
        <v>2969</v>
      </c>
      <c r="AS82" t="s">
        <v>2970</v>
      </c>
      <c r="AT82" t="s">
        <v>60</v>
      </c>
      <c r="AU82" t="s">
        <v>2971</v>
      </c>
      <c r="AV82" t="s">
        <v>380</v>
      </c>
      <c r="AW82" t="s">
        <v>453</v>
      </c>
      <c r="AX82" t="s">
        <v>1507</v>
      </c>
      <c r="AY82" t="s">
        <v>1177</v>
      </c>
      <c r="AZ82" t="s">
        <v>927</v>
      </c>
      <c r="BA82" t="s">
        <v>600</v>
      </c>
      <c r="BB82" t="s">
        <v>596</v>
      </c>
      <c r="BC82" t="s">
        <v>313</v>
      </c>
      <c r="BD82" t="s">
        <v>1178</v>
      </c>
      <c r="BE82" t="s">
        <v>356</v>
      </c>
      <c r="BF82" t="s">
        <v>601</v>
      </c>
      <c r="BG82" t="s">
        <v>255</v>
      </c>
      <c r="BH82" t="s">
        <v>2972</v>
      </c>
      <c r="BI82" t="s">
        <v>3836</v>
      </c>
      <c r="BJ82" t="s">
        <v>1507</v>
      </c>
      <c r="BK82" t="s">
        <v>2973</v>
      </c>
      <c r="BL82" t="s">
        <v>3837</v>
      </c>
      <c r="BM82" t="s">
        <v>313</v>
      </c>
      <c r="BN82">
        <v>1.57</v>
      </c>
      <c r="BO82" t="s">
        <v>60</v>
      </c>
      <c r="BP82">
        <v>10.01</v>
      </c>
      <c r="BQ82">
        <v>1.44</v>
      </c>
      <c r="BR82">
        <v>-3.62</v>
      </c>
      <c r="BS82">
        <v>13.15</v>
      </c>
      <c r="BT82" t="s">
        <v>1358</v>
      </c>
      <c r="BU82" t="s">
        <v>1166</v>
      </c>
      <c r="BV82">
        <v>24.2</v>
      </c>
      <c r="BW82">
        <v>20.78</v>
      </c>
      <c r="BX82">
        <v>26.16</v>
      </c>
      <c r="BY82">
        <v>0.67</v>
      </c>
      <c r="BZ82">
        <v>-3.66</v>
      </c>
      <c r="CA82">
        <v>11.81</v>
      </c>
      <c r="CB82">
        <v>3.03</v>
      </c>
      <c r="CC82">
        <v>2.39</v>
      </c>
      <c r="CD82" t="s">
        <v>3838</v>
      </c>
      <c r="CE82" t="s">
        <v>622</v>
      </c>
      <c r="CF82" s="8">
        <v>0.1050724637681161</v>
      </c>
      <c r="CG82" s="9">
        <v>3.8276898139911836E-2</v>
      </c>
      <c r="CH82" s="8">
        <v>0.11388121545314789</v>
      </c>
      <c r="CI82" s="8">
        <v>8.3686418831348419E-2</v>
      </c>
      <c r="CJ82" s="8">
        <v>0.14602458477020264</v>
      </c>
      <c r="CK82" s="8">
        <v>-8.8931389153003693E-2</v>
      </c>
      <c r="CL82" s="8">
        <v>0.16664347052574158</v>
      </c>
      <c r="CM82" s="9">
        <v>1.2154883146286011</v>
      </c>
      <c r="CN82" s="9">
        <v>-1.2924126386642456</v>
      </c>
      <c r="CO82" s="9">
        <v>7.954197883605957</v>
      </c>
      <c r="CP82" s="9">
        <v>2.5232670307159424</v>
      </c>
      <c r="CQ82" s="9">
        <v>-0.66198724508285522</v>
      </c>
      <c r="CR82">
        <v>49.793929060965461</v>
      </c>
      <c r="CS82">
        <v>5.9094968898307858</v>
      </c>
      <c r="CT82">
        <v>1.5950920245398772</v>
      </c>
      <c r="CU82" s="8">
        <v>8.426086008548736E-2</v>
      </c>
      <c r="CV82" s="9">
        <v>1.94771066904068</v>
      </c>
      <c r="CW82">
        <v>0.06</v>
      </c>
      <c r="CX82">
        <v>130.85497782528859</v>
      </c>
      <c r="CY82">
        <v>75604180.019876003</v>
      </c>
      <c r="CZ82">
        <v>8.426086008548736E-2</v>
      </c>
      <c r="DA82">
        <v>42.970643152277454</v>
      </c>
      <c r="DB82">
        <v>230231213.0851981</v>
      </c>
      <c r="DC82">
        <v>8.0047817081212988E-2</v>
      </c>
      <c r="DD82">
        <v>21.291165942894171</v>
      </c>
      <c r="DE82">
        <v>464661415.28063214</v>
      </c>
      <c r="DF82">
        <v>7.4149556875228881E-2</v>
      </c>
      <c r="DG82">
        <v>12.879366033181945</v>
      </c>
      <c r="DH82">
        <v>768142102.22083533</v>
      </c>
      <c r="DI82">
        <v>6.7408688068389885E-2</v>
      </c>
      <c r="DJ82">
        <v>6.7602137985611446</v>
      </c>
      <c r="DK82">
        <v>1463442369.5454249</v>
      </c>
      <c r="DL82">
        <v>5.8982602059841148E-2</v>
      </c>
      <c r="DM82">
        <v>73912500</v>
      </c>
      <c r="DN82">
        <v>8.426086008548736E-2</v>
      </c>
      <c r="DO82">
        <v>9893183300</v>
      </c>
      <c r="DP82">
        <v>2735038699.999999</v>
      </c>
      <c r="DQ82">
        <v>3401</v>
      </c>
      <c r="DR82">
        <v>2.0811603682628743E-2</v>
      </c>
      <c r="DS82">
        <v>-1.9094337709007683</v>
      </c>
      <c r="DT82" s="10">
        <v>-0.34</v>
      </c>
      <c r="DU82">
        <v>0.18616666666666662</v>
      </c>
      <c r="DV82">
        <v>-0.15383333333333341</v>
      </c>
      <c r="DW82">
        <v>4.7887788778877889</v>
      </c>
      <c r="DX82">
        <v>0.35988220338983123</v>
      </c>
      <c r="DY82">
        <v>4.1103361274263017</v>
      </c>
      <c r="DZ82">
        <v>2165</v>
      </c>
      <c r="EA82">
        <v>4.0635615599937696</v>
      </c>
      <c r="EB82">
        <v>4</v>
      </c>
      <c r="EC82">
        <v>5.4851050649542446E-2</v>
      </c>
      <c r="ED82">
        <v>0.39212315305529527</v>
      </c>
      <c r="EE82" s="11">
        <v>3.4910000000000004E-2</v>
      </c>
      <c r="EF82">
        <v>1.3610000000000001E-2</v>
      </c>
      <c r="EG82">
        <v>22.139882203389831</v>
      </c>
      <c r="EH82">
        <v>-1</v>
      </c>
      <c r="EI82">
        <v>0</v>
      </c>
      <c r="EJ82">
        <v>0</v>
      </c>
      <c r="EK82" s="13">
        <v>45489</v>
      </c>
      <c r="EL82" s="14">
        <v>4.83</v>
      </c>
      <c r="EM82" s="14">
        <v>1.48</v>
      </c>
      <c r="EN82" s="14">
        <v>0.24</v>
      </c>
      <c r="EO82" s="14">
        <v>-3.04</v>
      </c>
      <c r="EP82" s="14">
        <v>2.13</v>
      </c>
    </row>
    <row r="83" spans="1:146" ht="96" x14ac:dyDescent="0.25">
      <c r="A83" s="7"/>
      <c r="B83" s="7"/>
      <c r="C83" s="7" t="str">
        <f>""&amp;CHAR(10)&amp;Basic_Fundamental_Information_Constructure(F83)&amp;CHAR(10)&amp;Basic_Fundamental_Information_Concatenate("")</f>
        <v xml:space="preserve">
市值79.131772亿, 利润3.95亿; PE; 平均PE32.06; 平均PEG3.98, PB1.05; ROIC3.815%; ROE1.1467%; 股利率.503%; 毛利13.91%; 净利2.06%; 上一年度营收增16.72%, 利润增250.76%; 当季营收增.46%, 利润增-114.81%; 过往5年营收增8.06%, 利润增76.47%
Income profile:
</v>
      </c>
      <c r="D83" t="s">
        <v>130</v>
      </c>
      <c r="E83" t="s">
        <v>16</v>
      </c>
      <c r="F83">
        <v>3.69</v>
      </c>
      <c r="G83">
        <v>0.82</v>
      </c>
      <c r="H83" t="s">
        <v>3839</v>
      </c>
      <c r="I83">
        <v>7913177200</v>
      </c>
      <c r="K83">
        <v>1.05</v>
      </c>
      <c r="L83" t="s">
        <v>1166</v>
      </c>
      <c r="M83" t="s">
        <v>2974</v>
      </c>
      <c r="N83" t="s">
        <v>2975</v>
      </c>
      <c r="O83" t="s">
        <v>1386</v>
      </c>
      <c r="P83">
        <v>0.46</v>
      </c>
      <c r="Q83" t="s">
        <v>2988</v>
      </c>
      <c r="R83">
        <v>-200000000</v>
      </c>
      <c r="S83" s="5">
        <v>-1.135</v>
      </c>
      <c r="T83" t="s">
        <v>1249</v>
      </c>
      <c r="U83">
        <v>2133661500</v>
      </c>
      <c r="V83">
        <v>2144492500</v>
      </c>
      <c r="W83">
        <v>1.73</v>
      </c>
      <c r="X83">
        <v>0.08</v>
      </c>
      <c r="Y83">
        <v>-16.760000000000002</v>
      </c>
      <c r="Z83" t="s">
        <v>189</v>
      </c>
      <c r="AA83" t="s">
        <v>645</v>
      </c>
      <c r="AB83" t="s">
        <v>2976</v>
      </c>
      <c r="AC83" t="s">
        <v>2977</v>
      </c>
      <c r="AD83" t="s">
        <v>60</v>
      </c>
      <c r="AE83">
        <v>-7855827</v>
      </c>
      <c r="AF83" t="s">
        <v>2978</v>
      </c>
      <c r="AG83">
        <v>3498.02</v>
      </c>
      <c r="AH83" t="s">
        <v>2979</v>
      </c>
      <c r="AI83" t="s">
        <v>779</v>
      </c>
      <c r="AJ83" t="s">
        <v>2980</v>
      </c>
      <c r="AK83" t="s">
        <v>2981</v>
      </c>
      <c r="AL83" t="s">
        <v>2982</v>
      </c>
      <c r="AM83" t="s">
        <v>60</v>
      </c>
      <c r="AN83">
        <v>0</v>
      </c>
      <c r="AO83" t="s">
        <v>173</v>
      </c>
      <c r="AP83" t="s">
        <v>2983</v>
      </c>
      <c r="AQ83" t="s">
        <v>2984</v>
      </c>
      <c r="AR83" t="s">
        <v>60</v>
      </c>
      <c r="AS83" t="s">
        <v>2541</v>
      </c>
      <c r="AT83" t="s">
        <v>60</v>
      </c>
      <c r="AU83" t="s">
        <v>2985</v>
      </c>
      <c r="AV83" t="s">
        <v>2986</v>
      </c>
      <c r="AW83" t="s">
        <v>2987</v>
      </c>
      <c r="AX83" t="s">
        <v>1326</v>
      </c>
      <c r="AY83" t="s">
        <v>1179</v>
      </c>
      <c r="AZ83" t="s">
        <v>929</v>
      </c>
      <c r="BA83" t="s">
        <v>604</v>
      </c>
      <c r="BB83" t="s">
        <v>931</v>
      </c>
      <c r="BC83" t="s">
        <v>1459</v>
      </c>
      <c r="BD83" t="s">
        <v>427</v>
      </c>
      <c r="BE83" t="s">
        <v>930</v>
      </c>
      <c r="BF83" t="s">
        <v>605</v>
      </c>
      <c r="BG83" t="s">
        <v>253</v>
      </c>
      <c r="BH83" t="s">
        <v>2988</v>
      </c>
      <c r="BI83" t="s">
        <v>3840</v>
      </c>
      <c r="BJ83" t="s">
        <v>1326</v>
      </c>
      <c r="BK83" t="s">
        <v>1249</v>
      </c>
      <c r="BL83" t="s">
        <v>793</v>
      </c>
      <c r="BM83" t="s">
        <v>1459</v>
      </c>
      <c r="BN83">
        <v>2.6</v>
      </c>
      <c r="BO83" t="s">
        <v>60</v>
      </c>
      <c r="BP83">
        <v>5.03</v>
      </c>
      <c r="BQ83">
        <v>2.5499999999999998</v>
      </c>
      <c r="BR83">
        <v>-4.75</v>
      </c>
      <c r="BS83">
        <v>5.64</v>
      </c>
      <c r="BT83" t="s">
        <v>2989</v>
      </c>
      <c r="BU83" t="s">
        <v>1166</v>
      </c>
      <c r="BV83">
        <v>12.64</v>
      </c>
      <c r="BW83">
        <v>12.42</v>
      </c>
      <c r="BX83">
        <v>16.670000000000002</v>
      </c>
      <c r="BY83">
        <v>6.34</v>
      </c>
      <c r="BZ83">
        <v>-5.09</v>
      </c>
      <c r="CA83">
        <v>4.93</v>
      </c>
      <c r="CB83">
        <v>0.27</v>
      </c>
      <c r="CC83">
        <v>-5.9</v>
      </c>
      <c r="CD83" t="s">
        <v>3841</v>
      </c>
      <c r="CE83" t="s">
        <v>1032</v>
      </c>
      <c r="CF83" s="8">
        <v>4.5955882352941178E-3</v>
      </c>
      <c r="CG83" s="9">
        <v>-1.1481481481481481</v>
      </c>
      <c r="CH83" s="8">
        <v>0.16716636717319489</v>
      </c>
      <c r="CI83" s="8">
        <v>-0.14267352223396301</v>
      </c>
      <c r="CJ83" s="8">
        <v>0.45216980576515198</v>
      </c>
      <c r="CK83" s="8">
        <v>-0.14485228061676025</v>
      </c>
      <c r="CL83" s="8">
        <v>7.0940114557743073E-2</v>
      </c>
      <c r="CM83" s="9">
        <v>2.5076336860656738</v>
      </c>
      <c r="CN83" s="9">
        <v>-1.8343949317932129</v>
      </c>
      <c r="CO83" s="9">
        <v>2.4195704460144043</v>
      </c>
      <c r="CP83" s="9">
        <v>-0.86496412754058838</v>
      </c>
      <c r="CQ83" s="9">
        <v>1.5954198837280273</v>
      </c>
      <c r="CR83">
        <v>32.062588379824106</v>
      </c>
      <c r="CS83">
        <v>3.9804531095792637</v>
      </c>
      <c r="CT83">
        <v>0.50298102981029813</v>
      </c>
      <c r="CU83" s="8">
        <v>8.0550096929073334E-2</v>
      </c>
      <c r="CV83" s="9">
        <v>0.76465299129486086</v>
      </c>
      <c r="CW83">
        <v>0.06</v>
      </c>
      <c r="CX83">
        <v>16.843525389642085</v>
      </c>
      <c r="CY83">
        <v>402657819.13866413</v>
      </c>
      <c r="CZ83">
        <v>8.0550096929073334E-2</v>
      </c>
      <c r="DA83">
        <v>5.5485765771982365</v>
      </c>
      <c r="DB83">
        <v>1222327403.3688605</v>
      </c>
      <c r="DC83">
        <v>7.6522592082619662E-2</v>
      </c>
      <c r="DD83">
        <v>2.7607469171142922</v>
      </c>
      <c r="DE83">
        <v>2456645756.9711466</v>
      </c>
      <c r="DF83">
        <v>7.088408529758454E-2</v>
      </c>
      <c r="DG83">
        <v>1.6778622245333414</v>
      </c>
      <c r="DH83">
        <v>4042153819.8026395</v>
      </c>
      <c r="DI83">
        <v>6.4440077543258673E-2</v>
      </c>
      <c r="DJ83">
        <v>0.88968384773272557</v>
      </c>
      <c r="DK83">
        <v>7623131764.4843521</v>
      </c>
      <c r="DL83">
        <v>5.6385067850351328E-2</v>
      </c>
      <c r="DM83">
        <v>395000000</v>
      </c>
      <c r="DN83">
        <v>8.0550096929073334E-2</v>
      </c>
      <c r="DO83">
        <v>6782177200</v>
      </c>
      <c r="DP83">
        <v>3079258000</v>
      </c>
      <c r="DQ83">
        <v>3410</v>
      </c>
      <c r="DR83">
        <v>-7.5954508693779219E-2</v>
      </c>
      <c r="DS83">
        <v>-1.9128011394430091</v>
      </c>
      <c r="DT83" s="10">
        <v>-0.14000000000000001</v>
      </c>
      <c r="DU83">
        <v>-1.02</v>
      </c>
      <c r="DV83">
        <v>-1.1600000000000001</v>
      </c>
      <c r="DW83">
        <v>-1.0589999999999999</v>
      </c>
      <c r="DX83">
        <v>0.30580910037174636</v>
      </c>
      <c r="DY83">
        <v>-1.008602736921933</v>
      </c>
      <c r="DZ83">
        <v>3756</v>
      </c>
      <c r="EA83">
        <v>-1.0022757582889232</v>
      </c>
      <c r="EB83">
        <v>1</v>
      </c>
      <c r="EC83">
        <v>3.6579890113861438E-2</v>
      </c>
      <c r="ED83">
        <v>0.25087520707113686</v>
      </c>
      <c r="EE83" s="11">
        <v>3.0796100000000002</v>
      </c>
      <c r="EF83">
        <v>3.0714100000000002</v>
      </c>
      <c r="EG83">
        <v>16.145809100371746</v>
      </c>
      <c r="EH83" t="s">
        <v>1250</v>
      </c>
      <c r="EI83">
        <v>0</v>
      </c>
      <c r="EJ83">
        <v>0</v>
      </c>
      <c r="EK83" s="13">
        <v>45489</v>
      </c>
      <c r="EL83" s="14">
        <v>-0.94</v>
      </c>
      <c r="EM83" s="14">
        <v>3.03</v>
      </c>
      <c r="EN83" s="14">
        <v>-0.27</v>
      </c>
      <c r="EO83" s="14">
        <v>-1.88</v>
      </c>
      <c r="EP83" s="14">
        <v>0.82</v>
      </c>
    </row>
    <row r="84" spans="1:146" ht="96" x14ac:dyDescent="0.25">
      <c r="C84" s="7" t="str">
        <f>""&amp;CHAR(10)&amp;Basic_Fundamental_Information_Constructure(F84)&amp;CHAR(10)&amp;Basic_Fundamental_Information_Concatenate("")</f>
        <v xml:space="preserve">
市值51.190123亿, 利润3719.58万; PE385.2; 平均PE-9.13; 平均PEG-.27, PB13.52; ROIC79.85%; ROE-9.54%; 股利率0%; 毛利25.0933%; 净利16.2567%; 上一年度营收增27.86%, 利润增138.12%; 当季营收增-88.08%, 利润增-231.63%; 过往5年营收增-33.33%, 利润增-150.46%
Income profile:
</v>
      </c>
      <c r="D84" t="s">
        <v>1719</v>
      </c>
      <c r="E84" t="s">
        <v>2990</v>
      </c>
      <c r="F84">
        <v>2.35</v>
      </c>
      <c r="G84">
        <v>1.73</v>
      </c>
      <c r="H84" t="s">
        <v>3842</v>
      </c>
      <c r="I84">
        <v>5119012300</v>
      </c>
      <c r="J84">
        <v>385.2</v>
      </c>
      <c r="K84">
        <v>13.52</v>
      </c>
      <c r="L84" t="s">
        <v>1166</v>
      </c>
      <c r="M84" t="s">
        <v>536</v>
      </c>
      <c r="N84" t="s">
        <v>292</v>
      </c>
      <c r="O84" t="s">
        <v>2991</v>
      </c>
      <c r="P84" s="5">
        <v>-88.08</v>
      </c>
      <c r="Q84" t="s">
        <v>285</v>
      </c>
      <c r="R84">
        <v>-13585347</v>
      </c>
      <c r="S84">
        <v>-2.3159999999999998</v>
      </c>
      <c r="T84" t="s">
        <v>3004</v>
      </c>
      <c r="U84">
        <v>2100356800</v>
      </c>
      <c r="V84">
        <v>2178303100</v>
      </c>
      <c r="W84">
        <v>2.06</v>
      </c>
      <c r="X84">
        <v>0.01</v>
      </c>
      <c r="Y84">
        <v>-317.89999999999998</v>
      </c>
      <c r="Z84" t="s">
        <v>2992</v>
      </c>
      <c r="AA84" t="s">
        <v>2993</v>
      </c>
      <c r="AB84" t="s">
        <v>2994</v>
      </c>
      <c r="AC84" t="s">
        <v>2995</v>
      </c>
      <c r="AD84" t="s">
        <v>60</v>
      </c>
      <c r="AE84">
        <v>1436617</v>
      </c>
      <c r="AF84" t="s">
        <v>2996</v>
      </c>
      <c r="AG84">
        <v>2412.13</v>
      </c>
      <c r="AH84" t="s">
        <v>2997</v>
      </c>
      <c r="AI84" t="s">
        <v>548</v>
      </c>
      <c r="AJ84" t="s">
        <v>2998</v>
      </c>
      <c r="AK84" t="s">
        <v>60</v>
      </c>
      <c r="AL84" t="s">
        <v>2999</v>
      </c>
      <c r="AM84" t="s">
        <v>60</v>
      </c>
      <c r="AN84">
        <v>0</v>
      </c>
      <c r="AO84" t="s">
        <v>371</v>
      </c>
      <c r="AP84" t="s">
        <v>60</v>
      </c>
      <c r="AQ84" t="s">
        <v>3000</v>
      </c>
      <c r="AR84" t="s">
        <v>60</v>
      </c>
      <c r="AS84" t="s">
        <v>455</v>
      </c>
      <c r="AT84" t="s">
        <v>60</v>
      </c>
      <c r="AU84" t="s">
        <v>3001</v>
      </c>
      <c r="AV84" t="s">
        <v>3002</v>
      </c>
      <c r="AW84" t="s">
        <v>3003</v>
      </c>
      <c r="AX84" t="s">
        <v>253</v>
      </c>
      <c r="AY84" t="s">
        <v>1721</v>
      </c>
      <c r="AZ84" t="s">
        <v>1632</v>
      </c>
      <c r="BA84" t="s">
        <v>911</v>
      </c>
      <c r="BB84" t="s">
        <v>1722</v>
      </c>
      <c r="BC84" t="s">
        <v>1720</v>
      </c>
      <c r="BD84" t="s">
        <v>357</v>
      </c>
      <c r="BE84" t="s">
        <v>1723</v>
      </c>
      <c r="BF84" t="s">
        <v>1724</v>
      </c>
      <c r="BG84" t="s">
        <v>1725</v>
      </c>
      <c r="BH84" t="s">
        <v>285</v>
      </c>
      <c r="BI84" t="s">
        <v>3843</v>
      </c>
      <c r="BJ84" t="s">
        <v>253</v>
      </c>
      <c r="BK84" t="s">
        <v>3004</v>
      </c>
      <c r="BL84" t="s">
        <v>3844</v>
      </c>
      <c r="BM84" t="s">
        <v>1720</v>
      </c>
      <c r="BN84">
        <v>4.5999999999999996</v>
      </c>
      <c r="BO84" t="s">
        <v>60</v>
      </c>
      <c r="BP84">
        <v>155.1</v>
      </c>
      <c r="BQ84">
        <v>5.0599999999999996</v>
      </c>
      <c r="BR84">
        <v>-24.14</v>
      </c>
      <c r="BS84" t="s">
        <v>60</v>
      </c>
      <c r="BT84" t="s">
        <v>1343</v>
      </c>
      <c r="BU84" t="s">
        <v>1166</v>
      </c>
      <c r="BV84">
        <v>41.78</v>
      </c>
      <c r="BW84">
        <v>24.3</v>
      </c>
      <c r="BX84">
        <v>9.1999999999999993</v>
      </c>
      <c r="BY84">
        <v>11.09</v>
      </c>
      <c r="BZ84">
        <v>-37.200000000000003</v>
      </c>
      <c r="CA84">
        <v>74.88</v>
      </c>
      <c r="CB84">
        <v>2.17</v>
      </c>
      <c r="CC84" s="8">
        <v>-27.02</v>
      </c>
      <c r="CD84" s="9" t="s">
        <v>409</v>
      </c>
      <c r="CE84" s="8" t="s">
        <v>751</v>
      </c>
      <c r="CF84" s="8">
        <v>-0.88079198640970069</v>
      </c>
      <c r="CG84" s="8">
        <v>-2.3163075536780093</v>
      </c>
      <c r="CH84" s="8">
        <v>0.2786259651184082</v>
      </c>
      <c r="CI84" s="8">
        <v>-0.71583515405654907</v>
      </c>
      <c r="CJ84" s="9">
        <v>-0.19895747303962708</v>
      </c>
      <c r="CK84" s="9">
        <v>-0.26075780391693115</v>
      </c>
      <c r="CL84" s="9">
        <v>-0.76967459917068481</v>
      </c>
      <c r="CM84" s="9">
        <v>1.3811782598495483</v>
      </c>
      <c r="CN84" s="9">
        <v>-1.141421914100647</v>
      </c>
      <c r="CO84">
        <v>2.1675126552581787</v>
      </c>
      <c r="CP84">
        <v>0.81148326396942139</v>
      </c>
      <c r="CQ84">
        <v>-10.741573333740234</v>
      </c>
      <c r="CR84" s="8">
        <v>-9.1318927391399374</v>
      </c>
      <c r="CS84" s="9">
        <v>-0.27396789457522214</v>
      </c>
      <c r="CT84">
        <v>0</v>
      </c>
      <c r="CU84">
        <v>-0.33331981301307678</v>
      </c>
      <c r="CV84">
        <v>-1.5045642137527466</v>
      </c>
      <c r="CW84">
        <v>0.06</v>
      </c>
      <c r="CX84" t="e">
        <v>#VALUE!</v>
      </c>
      <c r="CY84" t="s">
        <v>3572</v>
      </c>
      <c r="CZ84">
        <v>-0.33331981301307678</v>
      </c>
      <c r="DA84">
        <v>46.537622527274586</v>
      </c>
      <c r="DB84" t="s">
        <v>3845</v>
      </c>
      <c r="DC84">
        <v>-0.31665382236242295</v>
      </c>
      <c r="DD84">
        <v>23.268811263637293</v>
      </c>
      <c r="DE84" t="s">
        <v>3846</v>
      </c>
      <c r="DF84">
        <v>-0.29332143545150757</v>
      </c>
      <c r="DG84">
        <v>13.961286758182375</v>
      </c>
      <c r="DH84" t="s">
        <v>3847</v>
      </c>
      <c r="DI84">
        <v>-0.26665585041046141</v>
      </c>
      <c r="DJ84">
        <v>6.9806433790911875</v>
      </c>
      <c r="DK84" t="s">
        <v>3848</v>
      </c>
      <c r="DL84">
        <v>-0.23332386910915373</v>
      </c>
      <c r="DM84">
        <v>37195800</v>
      </c>
      <c r="DN84">
        <v>-0.33331981301307678</v>
      </c>
      <c r="DO84">
        <v>5193012300</v>
      </c>
      <c r="DP84">
        <v>-22563330</v>
      </c>
      <c r="DQ84" s="10">
        <v>3416</v>
      </c>
      <c r="DR84">
        <v>-0.54747217339662391</v>
      </c>
      <c r="DS84">
        <v>-0.81174333992526271</v>
      </c>
      <c r="DT84">
        <v>-1.0233333333333332</v>
      </c>
      <c r="DU84">
        <v>-1.72</v>
      </c>
      <c r="DV84">
        <v>-2.7433333333333332</v>
      </c>
      <c r="DW84">
        <v>-3.1246309523809526</v>
      </c>
      <c r="DX84">
        <v>0.31172506738544536</v>
      </c>
      <c r="DY84">
        <v>-3.0201559491721217</v>
      </c>
      <c r="DZ84">
        <v>4784</v>
      </c>
      <c r="EA84">
        <v>-3.0012747937306825</v>
      </c>
      <c r="EB84" s="11">
        <v>3</v>
      </c>
      <c r="EC84" s="11">
        <v>5.5088752341214589E-2</v>
      </c>
      <c r="ED84">
        <v>0.34063211864317688</v>
      </c>
      <c r="EE84">
        <v>1.00101</v>
      </c>
      <c r="EF84">
        <v>1.0163</v>
      </c>
      <c r="EG84">
        <v>15.161725067385445</v>
      </c>
      <c r="EH84" s="13" t="s">
        <v>1228</v>
      </c>
      <c r="EI84">
        <v>0</v>
      </c>
      <c r="EJ84">
        <v>0</v>
      </c>
      <c r="EK84">
        <v>45489</v>
      </c>
      <c r="EL84">
        <v>-0.65</v>
      </c>
      <c r="EM84">
        <v>9.91</v>
      </c>
      <c r="EN84" s="14">
        <v>-2.46</v>
      </c>
      <c r="EO84" s="14">
        <v>-2.94</v>
      </c>
      <c r="EP84" s="14">
        <v>1.73</v>
      </c>
    </row>
    <row r="85" spans="1:146" ht="108" x14ac:dyDescent="0.25">
      <c r="A85" s="7"/>
      <c r="B85" s="7"/>
      <c r="C85" s="7" t="str">
        <f>""&amp;CHAR(10)&amp;Basic_Fundamental_Information_Constructure(F85)&amp;CHAR(10)&amp;Basic_Fundamental_Information_Concatenate("")</f>
        <v xml:space="preserve">
市值33.382172亿, 利润9098.87万; PE57.56; 平均PE44.29; 平均PEG2.59, PB1.46; ROIC.055%; ROE1.3733%; 股利率.3398%; 毛利33.28%; 净利2.9833%; 上一年度营收增23.1%, 利润增42.65%; 当季营收增-39.55%, 利润增-2145.87%; 过往5年营收增17.09%, 利润增-52.17%
Income profile:
</v>
      </c>
      <c r="D85" t="s">
        <v>109</v>
      </c>
      <c r="E85" t="s">
        <v>33</v>
      </c>
      <c r="F85">
        <v>10.3</v>
      </c>
      <c r="G85">
        <v>1.88</v>
      </c>
      <c r="H85" t="s">
        <v>3849</v>
      </c>
      <c r="I85">
        <v>3338217200</v>
      </c>
      <c r="J85">
        <v>57.56</v>
      </c>
      <c r="K85">
        <v>1.46</v>
      </c>
      <c r="L85" t="s">
        <v>1166</v>
      </c>
      <c r="M85" t="s">
        <v>3005</v>
      </c>
      <c r="N85" t="s">
        <v>3006</v>
      </c>
      <c r="O85" t="s">
        <v>642</v>
      </c>
      <c r="P85">
        <v>-39.58</v>
      </c>
      <c r="Q85" t="s">
        <v>1278</v>
      </c>
      <c r="R85">
        <v>-90000000</v>
      </c>
      <c r="S85" s="5">
        <v>-7.4989999999999997</v>
      </c>
      <c r="T85" t="s">
        <v>3019</v>
      </c>
      <c r="U85">
        <v>324098750</v>
      </c>
      <c r="V85">
        <v>324098750</v>
      </c>
      <c r="W85">
        <v>1.83</v>
      </c>
      <c r="X85">
        <v>0.06</v>
      </c>
      <c r="Y85">
        <v>-10.9</v>
      </c>
      <c r="Z85" t="s">
        <v>502</v>
      </c>
      <c r="AA85" t="s">
        <v>249</v>
      </c>
      <c r="AB85" t="s">
        <v>3007</v>
      </c>
      <c r="AC85" t="s">
        <v>3008</v>
      </c>
      <c r="AD85" t="s">
        <v>60</v>
      </c>
      <c r="AE85">
        <v>-3582205</v>
      </c>
      <c r="AF85" t="s">
        <v>3009</v>
      </c>
      <c r="AG85">
        <v>0.03</v>
      </c>
      <c r="AH85" t="s">
        <v>3010</v>
      </c>
      <c r="AI85" t="s">
        <v>3011</v>
      </c>
      <c r="AJ85" t="s">
        <v>3012</v>
      </c>
      <c r="AK85" t="s">
        <v>3013</v>
      </c>
      <c r="AL85" t="s">
        <v>3014</v>
      </c>
      <c r="AM85" t="s">
        <v>60</v>
      </c>
      <c r="AN85">
        <v>0</v>
      </c>
      <c r="AO85" t="s">
        <v>60</v>
      </c>
      <c r="AP85" t="s">
        <v>3015</v>
      </c>
      <c r="AQ85" t="s">
        <v>3016</v>
      </c>
      <c r="AR85" t="s">
        <v>60</v>
      </c>
      <c r="AS85" t="s">
        <v>3017</v>
      </c>
      <c r="AT85" t="s">
        <v>60</v>
      </c>
      <c r="AU85" t="s">
        <v>1004</v>
      </c>
      <c r="AV85" t="s">
        <v>3018</v>
      </c>
      <c r="AW85" t="s">
        <v>60</v>
      </c>
      <c r="AX85" t="s">
        <v>1468</v>
      </c>
      <c r="AY85" t="s">
        <v>1093</v>
      </c>
      <c r="AZ85" t="s">
        <v>901</v>
      </c>
      <c r="BA85" t="s">
        <v>606</v>
      </c>
      <c r="BB85" t="s">
        <v>933</v>
      </c>
      <c r="BC85" t="s">
        <v>1469</v>
      </c>
      <c r="BD85" t="s">
        <v>1180</v>
      </c>
      <c r="BE85" t="s">
        <v>932</v>
      </c>
      <c r="BF85" t="s">
        <v>607</v>
      </c>
      <c r="BG85" t="s">
        <v>427</v>
      </c>
      <c r="BH85" t="s">
        <v>1278</v>
      </c>
      <c r="BI85" t="s">
        <v>662</v>
      </c>
      <c r="BJ85" t="s">
        <v>1468</v>
      </c>
      <c r="BK85" t="s">
        <v>3019</v>
      </c>
      <c r="BL85" t="s">
        <v>3850</v>
      </c>
      <c r="BM85" t="s">
        <v>1469</v>
      </c>
      <c r="BN85" t="s">
        <v>60</v>
      </c>
      <c r="BO85">
        <v>0.89</v>
      </c>
      <c r="BP85">
        <v>-0.78</v>
      </c>
      <c r="BQ85">
        <v>-0.74</v>
      </c>
      <c r="BR85">
        <v>2.9</v>
      </c>
      <c r="BS85">
        <v>1.96</v>
      </c>
      <c r="BT85" t="s">
        <v>1351</v>
      </c>
      <c r="BU85" t="s">
        <v>1166</v>
      </c>
      <c r="BV85">
        <v>34.44</v>
      </c>
      <c r="BW85">
        <v>31.37</v>
      </c>
      <c r="BX85">
        <v>34.03</v>
      </c>
      <c r="BY85">
        <v>3.59</v>
      </c>
      <c r="BZ85">
        <v>3.06</v>
      </c>
      <c r="CA85">
        <v>2.2999999999999998</v>
      </c>
      <c r="CB85">
        <v>-6.87</v>
      </c>
      <c r="CC85">
        <v>-2.09</v>
      </c>
      <c r="CD85" t="s">
        <v>3851</v>
      </c>
      <c r="CE85" t="s">
        <v>505</v>
      </c>
      <c r="CF85" s="8">
        <v>-0.39545454545454556</v>
      </c>
      <c r="CG85" s="9">
        <v>-21.458730194812574</v>
      </c>
      <c r="CH85" s="8">
        <v>0.23095464706420898</v>
      </c>
      <c r="CI85" s="8">
        <v>0.13333334028720856</v>
      </c>
      <c r="CJ85" s="8">
        <v>0.37697523832321167</v>
      </c>
      <c r="CK85" s="8">
        <v>-8.722531795501709E-2</v>
      </c>
      <c r="CL85" s="8">
        <v>0.20032982528209686</v>
      </c>
      <c r="CM85" s="9">
        <v>0.42654427886009216</v>
      </c>
      <c r="CN85" s="9">
        <v>0.51393294334411621</v>
      </c>
      <c r="CO85" s="9">
        <v>1.4887036085128784</v>
      </c>
      <c r="CP85" s="9">
        <v>-4.1253871917724609</v>
      </c>
      <c r="CQ85" s="9">
        <v>-0.91215509176254272</v>
      </c>
      <c r="CR85">
        <v>44.285527105653287</v>
      </c>
      <c r="CS85">
        <v>2.5917134621916196</v>
      </c>
      <c r="CT85">
        <v>0.33980582524271841</v>
      </c>
      <c r="CU85" s="8">
        <v>0.17087354660034179</v>
      </c>
      <c r="CV85" s="9">
        <v>-0.52167229056358333</v>
      </c>
      <c r="CW85">
        <v>0.06</v>
      </c>
      <c r="CX85">
        <v>31.443099027649474</v>
      </c>
      <c r="CY85">
        <v>100505907.42410806</v>
      </c>
      <c r="CZ85">
        <v>0.17087354660034179</v>
      </c>
      <c r="DA85">
        <v>9.6013550495744262</v>
      </c>
      <c r="DB85">
        <v>329142832.82754701</v>
      </c>
      <c r="DC85">
        <v>0.16232986927032469</v>
      </c>
      <c r="DD85">
        <v>4.3051516981302189</v>
      </c>
      <c r="DE85">
        <v>734054784.03293478</v>
      </c>
      <c r="DF85">
        <v>0.15036872100830079</v>
      </c>
      <c r="DG85">
        <v>2.3182199183561747</v>
      </c>
      <c r="DH85">
        <v>1363208544.1837101</v>
      </c>
      <c r="DI85">
        <v>0.13669883728027343</v>
      </c>
      <c r="DJ85">
        <v>0.93068492268493153</v>
      </c>
      <c r="DK85">
        <v>3395582245.9045477</v>
      </c>
      <c r="DL85">
        <v>0.11961148262023924</v>
      </c>
      <c r="DM85">
        <v>90988700.000000015</v>
      </c>
      <c r="DN85">
        <v>0.17087354660034179</v>
      </c>
      <c r="DO85">
        <v>3160217200</v>
      </c>
      <c r="DP85">
        <v>350756400</v>
      </c>
      <c r="DQ85">
        <v>3436</v>
      </c>
      <c r="DR85">
        <v>-0.56632809205488732</v>
      </c>
      <c r="DS85">
        <v>-20.937057904248991</v>
      </c>
      <c r="DT85" s="10">
        <v>-4.0000000000000036E-2</v>
      </c>
      <c r="DU85">
        <v>-1.1649999999999998</v>
      </c>
      <c r="DV85">
        <v>-1.2049999999999998</v>
      </c>
      <c r="DW85">
        <v>-5.3042212518195049</v>
      </c>
      <c r="DX85">
        <v>0.34192525252525308</v>
      </c>
      <c r="DY85">
        <v>-5.0644721656153973</v>
      </c>
      <c r="DZ85">
        <v>3795</v>
      </c>
      <c r="EA85">
        <v>-5.0165630470505977</v>
      </c>
      <c r="EB85">
        <v>5</v>
      </c>
      <c r="EC85">
        <v>0.12947041603832166</v>
      </c>
      <c r="ED85">
        <v>0.61092491100320501</v>
      </c>
      <c r="EE85" s="11">
        <v>1.0410999999999999</v>
      </c>
      <c r="EF85">
        <v>1.0599000000000001</v>
      </c>
      <c r="EG85">
        <v>13.211925252525253</v>
      </c>
      <c r="EH85" t="s">
        <v>1228</v>
      </c>
      <c r="EI85">
        <v>0</v>
      </c>
      <c r="EJ85">
        <v>0</v>
      </c>
      <c r="EK85" s="13">
        <v>45489</v>
      </c>
      <c r="EL85" s="14">
        <v>-2.15</v>
      </c>
      <c r="EM85" s="14">
        <v>2.17</v>
      </c>
      <c r="EN85" s="14">
        <v>-2.31</v>
      </c>
      <c r="EO85" s="14">
        <v>-4.26</v>
      </c>
      <c r="EP85" s="14">
        <v>1.88</v>
      </c>
    </row>
    <row r="86" spans="1:146" ht="108" x14ac:dyDescent="0.25">
      <c r="A86" s="7"/>
      <c r="B86" s="7"/>
      <c r="C86" s="7" t="str">
        <f>""&amp;CHAR(10)&amp;Basic_Fundamental_Information_Constructure(F86)&amp;CHAR(10)&amp;Basic_Fundamental_Information_Concatenate("")</f>
        <v xml:space="preserve">
市值45.519451亿, 利润1.18亿; PE53.07; 平均PE-281.68; 平均PEG-487.98, PB1.37; ROIC2.28%; ROE-4.3167%; 股利率.9029%; 毛利23.9167%; 净利-2.34%; 上一年度营收增-12.81%, 利润增-5.6%; 当季营收增-21.84%, 利润增-1677.21%; 过往5年营收增.58%, 利润增-216.13%
Income profile:
</v>
      </c>
      <c r="D86" t="s">
        <v>95</v>
      </c>
      <c r="E86" t="s">
        <v>37</v>
      </c>
      <c r="F86">
        <v>4.43</v>
      </c>
      <c r="G86">
        <v>0.45</v>
      </c>
      <c r="H86" t="s">
        <v>3852</v>
      </c>
      <c r="I86">
        <v>4551945100</v>
      </c>
      <c r="J86">
        <v>53.07</v>
      </c>
      <c r="K86">
        <v>1.37</v>
      </c>
      <c r="L86" t="s">
        <v>1166</v>
      </c>
      <c r="M86" t="s">
        <v>3020</v>
      </c>
      <c r="N86" t="s">
        <v>1679</v>
      </c>
      <c r="O86" t="s">
        <v>605</v>
      </c>
      <c r="P86">
        <v>-21.8</v>
      </c>
      <c r="Q86" t="s">
        <v>3034</v>
      </c>
      <c r="R86">
        <v>-32000000</v>
      </c>
      <c r="S86" s="5">
        <v>-15.76</v>
      </c>
      <c r="T86" t="s">
        <v>371</v>
      </c>
      <c r="U86">
        <v>1027527100</v>
      </c>
      <c r="V86">
        <v>1027527100</v>
      </c>
      <c r="W86">
        <v>1.62</v>
      </c>
      <c r="X86">
        <v>0.11</v>
      </c>
      <c r="Y86">
        <v>-7.51</v>
      </c>
      <c r="Z86" t="s">
        <v>1660</v>
      </c>
      <c r="AA86" t="s">
        <v>304</v>
      </c>
      <c r="AB86" t="s">
        <v>3021</v>
      </c>
      <c r="AC86" t="s">
        <v>3022</v>
      </c>
      <c r="AD86" t="s">
        <v>60</v>
      </c>
      <c r="AE86">
        <v>8041438</v>
      </c>
      <c r="AF86" t="s">
        <v>3023</v>
      </c>
      <c r="AG86" t="s">
        <v>3024</v>
      </c>
      <c r="AH86" t="s">
        <v>3025</v>
      </c>
      <c r="AI86" t="s">
        <v>1248</v>
      </c>
      <c r="AJ86" t="s">
        <v>3026</v>
      </c>
      <c r="AK86" t="s">
        <v>3027</v>
      </c>
      <c r="AL86" t="s">
        <v>3028</v>
      </c>
      <c r="AM86" t="s">
        <v>60</v>
      </c>
      <c r="AN86" t="s">
        <v>282</v>
      </c>
      <c r="AO86" t="s">
        <v>3029</v>
      </c>
      <c r="AP86" t="s">
        <v>3030</v>
      </c>
      <c r="AQ86" t="s">
        <v>1652</v>
      </c>
      <c r="AR86" t="s">
        <v>3031</v>
      </c>
      <c r="AS86" t="s">
        <v>1664</v>
      </c>
      <c r="AT86" t="s">
        <v>390</v>
      </c>
      <c r="AU86" t="s">
        <v>1658</v>
      </c>
      <c r="AV86" t="s">
        <v>3032</v>
      </c>
      <c r="AW86" t="s">
        <v>3033</v>
      </c>
      <c r="AX86" t="s">
        <v>1470</v>
      </c>
      <c r="AY86" t="s">
        <v>1181</v>
      </c>
      <c r="AZ86" t="s">
        <v>934</v>
      </c>
      <c r="BA86" t="s">
        <v>936</v>
      </c>
      <c r="BB86" t="s">
        <v>937</v>
      </c>
      <c r="BC86" t="s">
        <v>310</v>
      </c>
      <c r="BD86" t="s">
        <v>1182</v>
      </c>
      <c r="BE86" t="s">
        <v>935</v>
      </c>
      <c r="BF86" t="s">
        <v>609</v>
      </c>
      <c r="BG86" t="s">
        <v>548</v>
      </c>
      <c r="BH86" t="s">
        <v>3034</v>
      </c>
      <c r="BI86" t="s">
        <v>3853</v>
      </c>
      <c r="BJ86" t="s">
        <v>1470</v>
      </c>
      <c r="BK86" t="s">
        <v>371</v>
      </c>
      <c r="BL86" t="s">
        <v>3854</v>
      </c>
      <c r="BM86" t="s">
        <v>310</v>
      </c>
      <c r="BN86">
        <v>0.37</v>
      </c>
      <c r="BO86">
        <v>4.1900000000000004</v>
      </c>
      <c r="BP86" t="s">
        <v>60</v>
      </c>
      <c r="BQ86">
        <v>0.15</v>
      </c>
      <c r="BR86">
        <v>3.72</v>
      </c>
      <c r="BS86">
        <v>-16.82</v>
      </c>
      <c r="BT86" t="s">
        <v>1354</v>
      </c>
      <c r="BU86" t="s">
        <v>1166</v>
      </c>
      <c r="BV86">
        <v>22.94</v>
      </c>
      <c r="BW86">
        <v>24.17</v>
      </c>
      <c r="BX86">
        <v>24.64</v>
      </c>
      <c r="BY86">
        <v>3.72</v>
      </c>
      <c r="BZ86">
        <v>3.73</v>
      </c>
      <c r="CA86">
        <v>-14.47</v>
      </c>
      <c r="CB86">
        <v>-1.56</v>
      </c>
      <c r="CC86">
        <v>-8.66</v>
      </c>
      <c r="CD86" t="s">
        <v>3855</v>
      </c>
      <c r="CE86" t="s">
        <v>553</v>
      </c>
      <c r="CF86" s="8">
        <v>-0.21839080459770105</v>
      </c>
      <c r="CG86" s="9">
        <v>-16.772093252501357</v>
      </c>
      <c r="CH86" s="8">
        <v>-0.12811817228794098</v>
      </c>
      <c r="CI86" s="8">
        <v>-2.7555391192436218E-2</v>
      </c>
      <c r="CJ86" s="8">
        <v>0.1161935105919838</v>
      </c>
      <c r="CK86" s="8">
        <v>1.4941302128136158E-2</v>
      </c>
      <c r="CL86" s="8">
        <v>5.340074747800827E-2</v>
      </c>
      <c r="CM86" s="9">
        <v>-5.6000001728534698E-2</v>
      </c>
      <c r="CN86" s="9">
        <v>1.1977847814559937</v>
      </c>
      <c r="CO86" s="9">
        <v>-11.378776550292969</v>
      </c>
      <c r="CP86" s="9">
        <v>0.12458977848291397</v>
      </c>
      <c r="CQ86" s="9">
        <v>-0.69408309459686279</v>
      </c>
      <c r="CR86">
        <v>-281.68209514929993</v>
      </c>
      <c r="CS86">
        <v>-487.98095624488911</v>
      </c>
      <c r="CT86">
        <v>0.90293453724604977</v>
      </c>
      <c r="CU86" s="8">
        <v>5.7723993435502049E-3</v>
      </c>
      <c r="CV86" s="9">
        <v>-2.1612970173358916</v>
      </c>
      <c r="CW86">
        <v>0.06</v>
      </c>
      <c r="CX86">
        <v>30.232619197940551</v>
      </c>
      <c r="CY86">
        <v>111963342.56843293</v>
      </c>
      <c r="CZ86">
        <v>5.7723993435502049E-3</v>
      </c>
      <c r="DA86">
        <v>10.617113764074027</v>
      </c>
      <c r="DB86">
        <v>318819707.05201524</v>
      </c>
      <c r="DC86">
        <v>5.4837793763726946E-3</v>
      </c>
      <c r="DD86">
        <v>5.7358268108421591</v>
      </c>
      <c r="DE86">
        <v>590140743.72008586</v>
      </c>
      <c r="DF86">
        <v>5.0797114223241806E-3</v>
      </c>
      <c r="DG86">
        <v>3.8080322476216195</v>
      </c>
      <c r="DH86">
        <v>888896122.69279838</v>
      </c>
      <c r="DI86">
        <v>4.6179194748401644E-3</v>
      </c>
      <c r="DJ86">
        <v>2.4150646428157612</v>
      </c>
      <c r="DK86">
        <v>1401596064.9622364</v>
      </c>
      <c r="DL86">
        <v>4.0406795404851429E-3</v>
      </c>
      <c r="DM86">
        <v>118000000</v>
      </c>
      <c r="DN86">
        <v>5.7723993435502049E-3</v>
      </c>
      <c r="DO86">
        <v>3384945100</v>
      </c>
      <c r="DP86">
        <v>901031500</v>
      </c>
      <c r="DQ86">
        <v>3470</v>
      </c>
      <c r="DR86">
        <v>-0.22416320394125125</v>
      </c>
      <c r="DS86">
        <v>-14.610796235165465</v>
      </c>
      <c r="DT86" s="10">
        <v>-0.44</v>
      </c>
      <c r="DU86">
        <v>-1.4816666666666667</v>
      </c>
      <c r="DV86">
        <v>-1.9216666666666666</v>
      </c>
      <c r="DW86">
        <v>-2.0865999999999998</v>
      </c>
      <c r="DX86">
        <v>0.32716249999999875</v>
      </c>
      <c r="DY86">
        <v>-2.0118782725000002</v>
      </c>
      <c r="DZ86">
        <v>4328</v>
      </c>
      <c r="EA86">
        <v>-2.0018118610294695</v>
      </c>
      <c r="EB86">
        <v>2</v>
      </c>
      <c r="EC86">
        <v>3.6308726066689626E-2</v>
      </c>
      <c r="ED86">
        <v>0.26471321291672018</v>
      </c>
      <c r="EE86" s="11">
        <v>1.0136099999999999</v>
      </c>
      <c r="EF86">
        <v>1.00911</v>
      </c>
      <c r="EG86">
        <v>19.137162499999999</v>
      </c>
      <c r="EH86" t="s">
        <v>1229</v>
      </c>
      <c r="EI86">
        <v>0</v>
      </c>
      <c r="EJ86">
        <v>0</v>
      </c>
      <c r="EK86" s="13">
        <v>45489</v>
      </c>
      <c r="EL86" s="14">
        <v>-1.57</v>
      </c>
      <c r="EM86" s="14">
        <v>2.48</v>
      </c>
      <c r="EN86" s="14">
        <v>-0.44</v>
      </c>
      <c r="EO86" s="14">
        <v>-2.4300000000000002</v>
      </c>
      <c r="EP86" s="14">
        <v>0.45</v>
      </c>
    </row>
    <row r="87" spans="1:146" x14ac:dyDescent="0.25">
      <c r="A87" s="7"/>
      <c r="B87" s="7"/>
      <c r="C87" s="7" t="e">
        <f>""&amp;CHAR(10)&amp;Basic_Fundamental_Information_Constructure(F87)&amp;CHAR(10)&amp;Basic_Fundamental_Information_Concatenate("")</f>
        <v>#VALUE!</v>
      </c>
      <c r="D87" t="s">
        <v>107</v>
      </c>
      <c r="E87" t="s">
        <v>41</v>
      </c>
      <c r="F87">
        <v>30.65</v>
      </c>
      <c r="G87">
        <v>2.13</v>
      </c>
      <c r="H87" t="s">
        <v>3856</v>
      </c>
      <c r="I87">
        <v>88407154000</v>
      </c>
      <c r="J87">
        <v>33.43</v>
      </c>
      <c r="K87">
        <v>7.39</v>
      </c>
      <c r="L87" t="s">
        <v>1166</v>
      </c>
      <c r="M87" t="s">
        <v>3035</v>
      </c>
      <c r="N87" t="s">
        <v>3036</v>
      </c>
      <c r="O87" t="s">
        <v>3037</v>
      </c>
      <c r="P87">
        <v>34.44</v>
      </c>
      <c r="Q87" t="s">
        <v>3052</v>
      </c>
      <c r="R87">
        <v>589681020</v>
      </c>
      <c r="S87" s="5">
        <v>0.18190000000000001</v>
      </c>
      <c r="T87" t="s">
        <v>1845</v>
      </c>
      <c r="U87">
        <v>2094334800</v>
      </c>
      <c r="V87">
        <v>2884409600</v>
      </c>
      <c r="W87">
        <v>1.74</v>
      </c>
      <c r="X87">
        <v>0.15</v>
      </c>
      <c r="Y87">
        <v>17.38</v>
      </c>
      <c r="Z87" t="s">
        <v>1620</v>
      </c>
      <c r="AA87" t="s">
        <v>3038</v>
      </c>
      <c r="AB87" t="s">
        <v>3039</v>
      </c>
      <c r="AC87" t="s">
        <v>3040</v>
      </c>
      <c r="AD87" t="s">
        <v>60</v>
      </c>
      <c r="AE87">
        <v>-17754965</v>
      </c>
      <c r="AF87" t="s">
        <v>3041</v>
      </c>
      <c r="AG87" t="s">
        <v>3042</v>
      </c>
      <c r="AH87" t="s">
        <v>3043</v>
      </c>
      <c r="AI87" t="s">
        <v>3044</v>
      </c>
      <c r="AJ87" t="s">
        <v>3045</v>
      </c>
      <c r="AK87" t="s">
        <v>337</v>
      </c>
      <c r="AL87" t="s">
        <v>3046</v>
      </c>
      <c r="AM87" t="s">
        <v>60</v>
      </c>
      <c r="AN87" t="s">
        <v>697</v>
      </c>
      <c r="AO87" t="s">
        <v>3047</v>
      </c>
      <c r="AP87" t="s">
        <v>786</v>
      </c>
      <c r="AQ87" t="s">
        <v>3048</v>
      </c>
      <c r="AR87" t="s">
        <v>60</v>
      </c>
      <c r="AS87" t="s">
        <v>3049</v>
      </c>
      <c r="AT87" t="s">
        <v>60</v>
      </c>
      <c r="AU87" t="s">
        <v>187</v>
      </c>
      <c r="AV87" t="s">
        <v>3050</v>
      </c>
      <c r="AW87" t="s">
        <v>3051</v>
      </c>
      <c r="AX87" t="s">
        <v>1471</v>
      </c>
      <c r="AY87" t="s">
        <v>1183</v>
      </c>
      <c r="AZ87" t="s">
        <v>1185</v>
      </c>
      <c r="BA87" t="s">
        <v>610</v>
      </c>
      <c r="BB87" t="s">
        <v>939</v>
      </c>
      <c r="BC87" t="s">
        <v>1472</v>
      </c>
      <c r="BD87" t="s">
        <v>1184</v>
      </c>
      <c r="BE87" t="s">
        <v>1186</v>
      </c>
      <c r="BF87" t="s">
        <v>421</v>
      </c>
      <c r="BG87" t="s">
        <v>662</v>
      </c>
      <c r="BH87" t="s">
        <v>3052</v>
      </c>
      <c r="BI87" t="s">
        <v>3857</v>
      </c>
      <c r="BJ87" t="s">
        <v>60</v>
      </c>
      <c r="BK87" t="s">
        <v>1845</v>
      </c>
      <c r="BL87" t="s">
        <v>1254</v>
      </c>
      <c r="BM87" t="s">
        <v>1472</v>
      </c>
      <c r="BN87">
        <v>16.73</v>
      </c>
      <c r="BO87">
        <v>20.82</v>
      </c>
      <c r="BP87">
        <v>20.16</v>
      </c>
      <c r="BQ87">
        <v>18.46</v>
      </c>
      <c r="BR87">
        <v>22.99</v>
      </c>
      <c r="BS87">
        <v>21.52</v>
      </c>
      <c r="BT87" t="s">
        <v>3053</v>
      </c>
      <c r="BU87" t="s">
        <v>1166</v>
      </c>
      <c r="BV87">
        <v>36.92</v>
      </c>
      <c r="BW87">
        <v>33.04</v>
      </c>
      <c r="BX87">
        <v>32.520000000000003</v>
      </c>
      <c r="BY87">
        <v>20.22</v>
      </c>
      <c r="BZ87">
        <v>17.12</v>
      </c>
      <c r="CA87">
        <v>16.23</v>
      </c>
      <c r="CB87">
        <v>2.17</v>
      </c>
      <c r="CC87">
        <v>-5.62</v>
      </c>
      <c r="CD87" t="s">
        <v>3858</v>
      </c>
      <c r="CE87" t="s">
        <v>526</v>
      </c>
      <c r="CF87" s="8" t="s">
        <v>60</v>
      </c>
      <c r="CG87" s="9">
        <v>0.18172549098196392</v>
      </c>
      <c r="CH87" s="8">
        <v>-1.7794705927371979E-2</v>
      </c>
      <c r="CI87" s="8">
        <v>0.1182924285531044</v>
      </c>
      <c r="CJ87" s="8">
        <v>0.15002435445785522</v>
      </c>
      <c r="CK87" s="8">
        <v>0.49291875958442688</v>
      </c>
      <c r="CL87" s="8">
        <v>0.17700639367103577</v>
      </c>
      <c r="CM87" s="9">
        <v>0.16834402084350586</v>
      </c>
      <c r="CN87" s="9">
        <v>0.20175909996032715</v>
      </c>
      <c r="CO87" s="9">
        <v>0.35949182510375977</v>
      </c>
      <c r="CP87" s="9">
        <v>0.52218431234359741</v>
      </c>
      <c r="CQ87" s="9">
        <v>0.99772727489471436</v>
      </c>
      <c r="CR87">
        <v>57.556740885416666</v>
      </c>
      <c r="CS87">
        <v>3.1265638587567599</v>
      </c>
      <c r="CT87">
        <v>3.2626427406199023</v>
      </c>
      <c r="CU87" s="8">
        <v>0.18408944606781005</v>
      </c>
      <c r="CV87" s="9">
        <v>0.44990130662918093</v>
      </c>
      <c r="CW87">
        <v>0.06</v>
      </c>
      <c r="CX87">
        <v>29.884539969953284</v>
      </c>
      <c r="CY87">
        <v>2852985325.7143273</v>
      </c>
      <c r="CZ87">
        <v>0.18408944606781005</v>
      </c>
      <c r="DA87">
        <v>9.0259615280227798</v>
      </c>
      <c r="DB87">
        <v>9446102084.0044537</v>
      </c>
      <c r="DC87">
        <v>0.17488497376441955</v>
      </c>
      <c r="DD87">
        <v>3.9846737562038168</v>
      </c>
      <c r="DE87">
        <v>21397022495.820843</v>
      </c>
      <c r="DF87">
        <v>0.16199871253967285</v>
      </c>
      <c r="DG87">
        <v>2.1056581857419676</v>
      </c>
      <c r="DH87">
        <v>40490975495.130997</v>
      </c>
      <c r="DI87">
        <v>0.14727155685424806</v>
      </c>
      <c r="DJ87">
        <v>0.8076832253421613</v>
      </c>
      <c r="DK87">
        <v>105561377684.77361</v>
      </c>
      <c r="DL87">
        <v>0.12886261224746703</v>
      </c>
      <c r="DM87">
        <v>2554000000</v>
      </c>
      <c r="DN87">
        <v>0.18408944606781005</v>
      </c>
      <c r="DO87">
        <v>85260154000</v>
      </c>
      <c r="DP87">
        <v>9049986000</v>
      </c>
      <c r="DQ87">
        <v>3510</v>
      </c>
      <c r="DR87" t="e">
        <v>#VALUE!</v>
      </c>
      <c r="DS87">
        <v>-0.26817581564721704</v>
      </c>
      <c r="DT87" s="10">
        <v>-9.000000000000008E-2</v>
      </c>
      <c r="DU87">
        <v>0.98666666666666669</v>
      </c>
      <c r="DV87">
        <v>0.89666666666666661</v>
      </c>
      <c r="DW87">
        <v>-1.0562</v>
      </c>
      <c r="DX87">
        <v>0.47299005235602037</v>
      </c>
      <c r="DY87">
        <v>-1.0097220409424084</v>
      </c>
      <c r="DZ87">
        <v>311</v>
      </c>
      <c r="EA87">
        <v>-1.0091299996788312</v>
      </c>
      <c r="EB87">
        <v>1</v>
      </c>
      <c r="EC87">
        <v>1.1455065189077169E-2</v>
      </c>
      <c r="ED87">
        <v>6.6218057241246187E-2</v>
      </c>
      <c r="EE87" s="11">
        <v>7.3599999999999999E-2</v>
      </c>
      <c r="EF87">
        <v>9.4899999999999998E-2</v>
      </c>
      <c r="EG87">
        <v>30.17299005235602</v>
      </c>
      <c r="EH87" t="s">
        <v>1060</v>
      </c>
      <c r="EI87">
        <v>0</v>
      </c>
      <c r="EJ87">
        <v>1</v>
      </c>
      <c r="EK87" s="13">
        <v>45489</v>
      </c>
      <c r="EL87" s="14">
        <v>-2.63</v>
      </c>
      <c r="EM87" s="14">
        <v>4.33</v>
      </c>
      <c r="EN87" s="14">
        <v>-1.85</v>
      </c>
      <c r="EO87" s="14">
        <v>-2.31</v>
      </c>
      <c r="EP87" s="14">
        <v>2.13</v>
      </c>
    </row>
    <row r="88" spans="1:146" x14ac:dyDescent="0.25">
      <c r="A88" s="7"/>
      <c r="B88" s="7"/>
      <c r="C88" s="7" t="e">
        <f>""&amp;CHAR(10)&amp;Basic_Fundamental_Information_Constructure(F88)&amp;CHAR(10)&amp;Basic_Fundamental_Information_Concatenate("")</f>
        <v>#VALUE!</v>
      </c>
      <c r="D88" t="s">
        <v>114</v>
      </c>
      <c r="E88" t="s">
        <v>981</v>
      </c>
      <c r="F88">
        <v>17.37</v>
      </c>
      <c r="G88">
        <v>1.52</v>
      </c>
      <c r="H88" t="s">
        <v>3859</v>
      </c>
      <c r="I88">
        <v>11979840700</v>
      </c>
      <c r="J88">
        <v>24.06</v>
      </c>
      <c r="K88">
        <v>2.62</v>
      </c>
      <c r="L88" t="s">
        <v>1166</v>
      </c>
      <c r="M88" t="s">
        <v>3054</v>
      </c>
      <c r="N88" t="s">
        <v>3055</v>
      </c>
      <c r="O88" t="s">
        <v>3056</v>
      </c>
      <c r="P88">
        <v>1.19</v>
      </c>
      <c r="Q88" t="s">
        <v>3069</v>
      </c>
      <c r="R88">
        <v>47389486</v>
      </c>
      <c r="S88" s="5">
        <v>1.9599999999999999E-2</v>
      </c>
      <c r="T88" t="s">
        <v>317</v>
      </c>
      <c r="U88">
        <v>608578740</v>
      </c>
      <c r="V88">
        <v>689685710</v>
      </c>
      <c r="W88">
        <v>2.37</v>
      </c>
      <c r="X88">
        <v>0.18</v>
      </c>
      <c r="Y88">
        <v>2.57</v>
      </c>
      <c r="Z88" t="s">
        <v>3057</v>
      </c>
      <c r="AA88" t="s">
        <v>875</v>
      </c>
      <c r="AB88" t="s">
        <v>441</v>
      </c>
      <c r="AC88" t="s">
        <v>3058</v>
      </c>
      <c r="AD88" t="s">
        <v>60</v>
      </c>
      <c r="AE88">
        <v>-145046</v>
      </c>
      <c r="AF88" t="s">
        <v>3059</v>
      </c>
      <c r="AG88" t="s">
        <v>3060</v>
      </c>
      <c r="AH88" t="s">
        <v>3061</v>
      </c>
      <c r="AI88" t="s">
        <v>3062</v>
      </c>
      <c r="AJ88" t="s">
        <v>3063</v>
      </c>
      <c r="AK88" t="s">
        <v>327</v>
      </c>
      <c r="AL88" t="s">
        <v>3064</v>
      </c>
      <c r="AM88" t="s">
        <v>60</v>
      </c>
      <c r="AN88">
        <v>0</v>
      </c>
      <c r="AO88" t="s">
        <v>735</v>
      </c>
      <c r="AP88" t="s">
        <v>448</v>
      </c>
      <c r="AQ88" t="s">
        <v>1478</v>
      </c>
      <c r="AR88" t="s">
        <v>60</v>
      </c>
      <c r="AS88" t="s">
        <v>3065</v>
      </c>
      <c r="AT88" t="s">
        <v>60</v>
      </c>
      <c r="AU88" t="s">
        <v>3066</v>
      </c>
      <c r="AV88" t="s">
        <v>3067</v>
      </c>
      <c r="AW88" t="s">
        <v>3068</v>
      </c>
      <c r="AX88" t="s">
        <v>1473</v>
      </c>
      <c r="AY88" t="s">
        <v>1474</v>
      </c>
      <c r="AZ88" t="s">
        <v>940</v>
      </c>
      <c r="BA88" t="s">
        <v>611</v>
      </c>
      <c r="BB88" t="s">
        <v>941</v>
      </c>
      <c r="BC88" t="s">
        <v>878</v>
      </c>
      <c r="BD88" t="s">
        <v>294</v>
      </c>
      <c r="BE88" t="s">
        <v>400</v>
      </c>
      <c r="BF88" t="s">
        <v>315</v>
      </c>
      <c r="BG88" t="s">
        <v>276</v>
      </c>
      <c r="BH88" t="s">
        <v>3069</v>
      </c>
      <c r="BI88" t="s">
        <v>3860</v>
      </c>
      <c r="BJ88" t="s">
        <v>60</v>
      </c>
      <c r="BK88" t="s">
        <v>317</v>
      </c>
      <c r="BL88" t="s">
        <v>3861</v>
      </c>
      <c r="BM88" t="s">
        <v>878</v>
      </c>
      <c r="BN88">
        <v>5.89</v>
      </c>
      <c r="BO88">
        <v>12.04</v>
      </c>
      <c r="BP88">
        <v>9.18</v>
      </c>
      <c r="BQ88">
        <v>6.68</v>
      </c>
      <c r="BR88">
        <v>13.4</v>
      </c>
      <c r="BS88">
        <v>11.5</v>
      </c>
      <c r="BT88" t="s">
        <v>3070</v>
      </c>
      <c r="BU88" t="s">
        <v>1166</v>
      </c>
      <c r="BV88">
        <v>20.32</v>
      </c>
      <c r="BW88">
        <v>19.190000000000001</v>
      </c>
      <c r="BX88">
        <v>15.14</v>
      </c>
      <c r="BY88">
        <v>5.23</v>
      </c>
      <c r="BZ88">
        <v>5.39</v>
      </c>
      <c r="CA88">
        <v>3.85</v>
      </c>
      <c r="CB88">
        <v>-0.23</v>
      </c>
      <c r="CC88">
        <v>-3.71</v>
      </c>
      <c r="CD88" t="s">
        <v>3862</v>
      </c>
      <c r="CE88" t="s">
        <v>378</v>
      </c>
      <c r="CF88" s="8" t="s">
        <v>60</v>
      </c>
      <c r="CG88" s="9">
        <v>1.9549706545498355E-2</v>
      </c>
      <c r="CH88" s="8">
        <v>1.3067306019365788E-2</v>
      </c>
      <c r="CI88" s="8">
        <v>4.2559966444969177E-2</v>
      </c>
      <c r="CJ88" s="8">
        <v>0.16469863057136536</v>
      </c>
      <c r="CK88" s="8">
        <v>4.5121490955352783E-2</v>
      </c>
      <c r="CL88" s="8">
        <v>6.5178655087947845E-2</v>
      </c>
      <c r="CM88" s="9">
        <v>-4.6065259724855423E-2</v>
      </c>
      <c r="CN88" s="9">
        <v>0.3090452253818512</v>
      </c>
      <c r="CO88" s="9">
        <v>0.25552049279212952</v>
      </c>
      <c r="CP88" s="9">
        <v>-1.5527950599789619E-2</v>
      </c>
      <c r="CQ88" s="9">
        <v>6.2706269323825836E-2</v>
      </c>
      <c r="CR88">
        <v>30.483055216284988</v>
      </c>
      <c r="CS88">
        <v>4.6098992050383263</v>
      </c>
      <c r="CT88">
        <v>2.5906735751295336</v>
      </c>
      <c r="CU88" s="8">
        <v>6.6125209815800196E-2</v>
      </c>
      <c r="CV88" s="9">
        <v>0.11313575543463231</v>
      </c>
      <c r="CW88">
        <v>0.06</v>
      </c>
      <c r="CX88">
        <v>27.958843649765953</v>
      </c>
      <c r="CY88">
        <v>499871914.41363466</v>
      </c>
      <c r="CZ88">
        <v>6.6125209815800196E-2</v>
      </c>
      <c r="DA88">
        <v>9.3237888512719156</v>
      </c>
      <c r="DB88">
        <v>1498944358.6652513</v>
      </c>
      <c r="DC88">
        <v>6.2818949325010184E-2</v>
      </c>
      <c r="DD88">
        <v>4.7148288319203813</v>
      </c>
      <c r="DE88">
        <v>2964230770.2414608</v>
      </c>
      <c r="DF88">
        <v>5.8190184637904173E-2</v>
      </c>
      <c r="DG88">
        <v>2.9173822187950047</v>
      </c>
      <c r="DH88">
        <v>4790541537.533803</v>
      </c>
      <c r="DI88">
        <v>5.2900167852640158E-2</v>
      </c>
      <c r="DJ88">
        <v>1.6074713339864251</v>
      </c>
      <c r="DK88">
        <v>8694301667.7882633</v>
      </c>
      <c r="DL88">
        <v>4.6287646871060135E-2</v>
      </c>
      <c r="DM88">
        <v>497000000</v>
      </c>
      <c r="DN88">
        <v>6.6125209815800196E-2</v>
      </c>
      <c r="DO88">
        <v>13975840700</v>
      </c>
      <c r="DP88">
        <v>4105632900</v>
      </c>
      <c r="DQ88">
        <v>3514</v>
      </c>
      <c r="DR88" t="e">
        <v>#VALUE!</v>
      </c>
      <c r="DS88">
        <v>-9.3586048889133952E-2</v>
      </c>
      <c r="DT88" s="10">
        <v>-0.3066666666666667</v>
      </c>
      <c r="DU88">
        <v>0.28333333333333338</v>
      </c>
      <c r="DV88">
        <v>-2.3333333333333317E-2</v>
      </c>
      <c r="DW88">
        <v>-1.0370999999999999</v>
      </c>
      <c r="DX88">
        <v>0.32077968750000024</v>
      </c>
      <c r="DY88">
        <v>-1.00522292640625</v>
      </c>
      <c r="DZ88">
        <v>1833</v>
      </c>
      <c r="EA88">
        <v>-1.0033483182013045</v>
      </c>
      <c r="EB88">
        <v>1</v>
      </c>
      <c r="EC88">
        <v>2.6127553085013171E-2</v>
      </c>
      <c r="ED88">
        <v>0.18559178208868501</v>
      </c>
      <c r="EE88" s="11">
        <v>6.3299999999999995E-2</v>
      </c>
      <c r="EF88">
        <v>7.85E-2</v>
      </c>
      <c r="EG88">
        <v>18.1407796875</v>
      </c>
      <c r="EH88" t="s">
        <v>1060</v>
      </c>
      <c r="EI88">
        <v>0</v>
      </c>
      <c r="EJ88">
        <v>0</v>
      </c>
      <c r="EK88" s="13">
        <v>45489</v>
      </c>
      <c r="EL88" s="14">
        <v>-0.76</v>
      </c>
      <c r="EM88" s="14">
        <v>0.74</v>
      </c>
      <c r="EN88" s="14">
        <v>-1.41</v>
      </c>
      <c r="EO88" s="14">
        <v>-2.4</v>
      </c>
      <c r="EP88" s="14">
        <v>1.52</v>
      </c>
    </row>
    <row r="89" spans="1:146" ht="96" x14ac:dyDescent="0.25">
      <c r="A89" s="7"/>
      <c r="B89" s="7"/>
      <c r="C89" s="7" t="str">
        <f>""&amp;CHAR(10)&amp;Basic_Fundamental_Information_Constructure(F89)&amp;CHAR(10)&amp;Basic_Fundamental_Information_Concatenate("")</f>
        <v xml:space="preserve">
市值30.063417亿, 利润-8118.27万; PE; 平均PE1299.77; 平均PEG106.79, PB3.64; ROIC.04%; ROE-5%; 股利率0%; 毛利36.8667%; 净利-18.4367%; 上一年度营收增-13.53%, 利润增-27.3%; 当季营收增15.92%, 利润增14.99%; 过往5年营收增-12.17%, 利润增-158.6%
Income profile:
</v>
      </c>
      <c r="D89" t="s">
        <v>88</v>
      </c>
      <c r="E89" t="s">
        <v>29</v>
      </c>
      <c r="F89">
        <v>10.210000000000001</v>
      </c>
      <c r="G89">
        <v>0.1</v>
      </c>
      <c r="H89" t="s">
        <v>3863</v>
      </c>
      <c r="I89">
        <v>3006341700</v>
      </c>
      <c r="K89">
        <v>3.64</v>
      </c>
      <c r="L89" t="s">
        <v>1166</v>
      </c>
      <c r="M89" t="s">
        <v>275</v>
      </c>
      <c r="N89" t="s">
        <v>3864</v>
      </c>
      <c r="O89" t="s">
        <v>3865</v>
      </c>
      <c r="P89">
        <v>15.92</v>
      </c>
      <c r="Q89" t="s">
        <v>253</v>
      </c>
      <c r="R89">
        <v>-25000000</v>
      </c>
      <c r="S89" s="5">
        <v>0.77800000000000002</v>
      </c>
      <c r="T89" t="s">
        <v>3866</v>
      </c>
      <c r="U89">
        <v>283116990</v>
      </c>
      <c r="V89">
        <v>294450710</v>
      </c>
      <c r="W89">
        <v>1.4</v>
      </c>
      <c r="X89">
        <v>0.06</v>
      </c>
      <c r="Y89">
        <v>-15.35</v>
      </c>
      <c r="Z89" t="s">
        <v>3867</v>
      </c>
      <c r="AA89" t="s">
        <v>3868</v>
      </c>
      <c r="AB89" t="s">
        <v>3869</v>
      </c>
      <c r="AC89" t="s">
        <v>3870</v>
      </c>
      <c r="AD89" t="s">
        <v>60</v>
      </c>
      <c r="AE89">
        <v>-1379296</v>
      </c>
      <c r="AF89" t="s">
        <v>3871</v>
      </c>
      <c r="AG89">
        <v>9509.68</v>
      </c>
      <c r="AH89" t="s">
        <v>3872</v>
      </c>
      <c r="AI89" t="s">
        <v>621</v>
      </c>
      <c r="AJ89" t="s">
        <v>3873</v>
      </c>
      <c r="AK89" t="s">
        <v>3874</v>
      </c>
      <c r="AL89" t="s">
        <v>3875</v>
      </c>
      <c r="AM89" t="s">
        <v>60</v>
      </c>
      <c r="AN89">
        <v>0</v>
      </c>
      <c r="AO89" t="s">
        <v>60</v>
      </c>
      <c r="AP89" t="s">
        <v>3876</v>
      </c>
      <c r="AQ89" t="s">
        <v>3877</v>
      </c>
      <c r="AR89" t="s">
        <v>60</v>
      </c>
      <c r="AS89" t="s">
        <v>513</v>
      </c>
      <c r="AT89" t="s">
        <v>60</v>
      </c>
      <c r="AU89" t="s">
        <v>3878</v>
      </c>
      <c r="AV89" t="s">
        <v>1761</v>
      </c>
      <c r="AW89" t="s">
        <v>171</v>
      </c>
      <c r="AX89" t="s">
        <v>276</v>
      </c>
      <c r="AY89" t="s">
        <v>676</v>
      </c>
      <c r="AZ89" t="s">
        <v>410</v>
      </c>
      <c r="BA89" t="s">
        <v>407</v>
      </c>
      <c r="BB89" t="s">
        <v>852</v>
      </c>
      <c r="BC89" t="s">
        <v>1477</v>
      </c>
      <c r="BD89" t="s">
        <v>1188</v>
      </c>
      <c r="BE89" t="s">
        <v>944</v>
      </c>
      <c r="BF89" t="s">
        <v>616</v>
      </c>
      <c r="BG89" t="s">
        <v>945</v>
      </c>
      <c r="BH89" t="s">
        <v>253</v>
      </c>
      <c r="BI89" t="s">
        <v>3879</v>
      </c>
      <c r="BJ89" t="s">
        <v>276</v>
      </c>
      <c r="BK89" t="s">
        <v>3866</v>
      </c>
      <c r="BL89" t="s">
        <v>3880</v>
      </c>
      <c r="BM89" t="s">
        <v>1477</v>
      </c>
      <c r="BN89" t="s">
        <v>60</v>
      </c>
      <c r="BO89" t="s">
        <v>60</v>
      </c>
      <c r="BP89">
        <v>0.04</v>
      </c>
      <c r="BQ89">
        <v>-10.050000000000001</v>
      </c>
      <c r="BR89">
        <v>-6.98</v>
      </c>
      <c r="BS89">
        <v>2.0299999999999998</v>
      </c>
      <c r="BT89" t="s">
        <v>1343</v>
      </c>
      <c r="BU89" t="s">
        <v>1166</v>
      </c>
      <c r="BV89">
        <v>39.340000000000003</v>
      </c>
      <c r="BW89">
        <v>35.9</v>
      </c>
      <c r="BX89">
        <v>35.36</v>
      </c>
      <c r="BY89">
        <v>-33.909999999999997</v>
      </c>
      <c r="BZ89">
        <v>-22.62</v>
      </c>
      <c r="CA89">
        <v>1.22</v>
      </c>
      <c r="CB89">
        <v>0.2</v>
      </c>
      <c r="CC89">
        <v>-13.91</v>
      </c>
      <c r="CD89" t="s">
        <v>3881</v>
      </c>
      <c r="CE89" t="s">
        <v>279</v>
      </c>
      <c r="CF89" s="8">
        <v>0.15916508010713068</v>
      </c>
      <c r="CG89" s="9">
        <v>0.14991431136258535</v>
      </c>
      <c r="CH89" s="8">
        <v>-0.13531352579593658</v>
      </c>
      <c r="CI89" s="8">
        <v>-0.28028503060340881</v>
      </c>
      <c r="CJ89" s="8">
        <v>6.0453400015830994E-2</v>
      </c>
      <c r="CK89" s="8">
        <v>-0.2794918417930603</v>
      </c>
      <c r="CL89" s="8">
        <v>2.6070764288306236E-2</v>
      </c>
      <c r="CM89" s="9">
        <v>-0.27295097708702087</v>
      </c>
      <c r="CN89" s="9">
        <v>-6.6571898460388184</v>
      </c>
      <c r="CO89" s="9">
        <v>-0.67468416690826416</v>
      </c>
      <c r="CP89" s="9">
        <v>-0.41022014617919922</v>
      </c>
      <c r="CQ89" s="9">
        <v>8.501715213060379E-2</v>
      </c>
      <c r="CR89">
        <v>1299.767990834348</v>
      </c>
      <c r="CS89">
        <v>106.78936149068227</v>
      </c>
      <c r="CT89">
        <v>0</v>
      </c>
      <c r="CU89" s="8">
        <v>-0.12171324677765369</v>
      </c>
      <c r="CV89" s="9">
        <v>-1.5860055968165399</v>
      </c>
      <c r="CW89">
        <v>0.06</v>
      </c>
      <c r="CX89" t="e">
        <v>#VALUE!</v>
      </c>
      <c r="CY89" t="s">
        <v>1223</v>
      </c>
      <c r="CZ89">
        <v>-0.12171324677765369</v>
      </c>
      <c r="DA89" t="e">
        <v>#VALUE!</v>
      </c>
      <c r="DB89" t="s">
        <v>1224</v>
      </c>
      <c r="DC89">
        <v>-0.115627584438771</v>
      </c>
      <c r="DD89" t="e">
        <v>#VALUE!</v>
      </c>
      <c r="DE89" t="s">
        <v>1224</v>
      </c>
      <c r="DF89">
        <v>-0.10710765716433525</v>
      </c>
      <c r="DG89" t="e">
        <v>#VALUE!</v>
      </c>
      <c r="DH89" t="s">
        <v>1224</v>
      </c>
      <c r="DI89">
        <v>-9.7370597422122951E-2</v>
      </c>
      <c r="DJ89" t="e">
        <v>#VALUE!</v>
      </c>
      <c r="DK89" t="s">
        <v>1224</v>
      </c>
      <c r="DL89">
        <v>-8.5199272744357582E-2</v>
      </c>
      <c r="DM89">
        <v>-81182700</v>
      </c>
      <c r="DN89">
        <v>-0.12171324677765369</v>
      </c>
      <c r="DO89">
        <v>2320341700</v>
      </c>
      <c r="DP89">
        <v>643024720</v>
      </c>
      <c r="DQ89">
        <v>3958</v>
      </c>
      <c r="DR89">
        <v>0.28087832688478437</v>
      </c>
      <c r="DS89">
        <v>1.7359199081791252</v>
      </c>
      <c r="DT89" s="10">
        <v>-0.70666666666666667</v>
      </c>
      <c r="DU89">
        <v>-2.5816666666666666</v>
      </c>
      <c r="DV89">
        <v>-3.2883333333333331</v>
      </c>
      <c r="DW89">
        <v>-2.1391</v>
      </c>
      <c r="DX89">
        <v>0.33735089285714137</v>
      </c>
      <c r="DY89">
        <v>-2.0149325091964285</v>
      </c>
      <c r="DZ89">
        <v>4970</v>
      </c>
      <c r="EA89">
        <v>-2.0004005783747623</v>
      </c>
      <c r="EB89">
        <v>2</v>
      </c>
      <c r="EC89">
        <v>4.0832980161603277E-2</v>
      </c>
      <c r="ED89">
        <v>0.38036926451968828</v>
      </c>
      <c r="EE89" s="11">
        <v>-1.0071099999999999</v>
      </c>
      <c r="EF89">
        <v>-1.0061100000000001</v>
      </c>
      <c r="EG89">
        <v>23.107350892857141</v>
      </c>
      <c r="EH89" t="s">
        <v>1227</v>
      </c>
      <c r="EI89">
        <v>0</v>
      </c>
      <c r="EJ89">
        <v>0</v>
      </c>
      <c r="EK89" s="13">
        <v>45489</v>
      </c>
      <c r="EL89" s="14">
        <v>-2.95</v>
      </c>
      <c r="EM89" s="14">
        <v>4.3600000000000003</v>
      </c>
      <c r="EN89" s="14">
        <v>-0.95</v>
      </c>
      <c r="EO89" s="14">
        <v>-2.21</v>
      </c>
      <c r="EP89" s="14">
        <v>0.1</v>
      </c>
    </row>
    <row r="90" spans="1:146" ht="108" x14ac:dyDescent="0.25">
      <c r="A90" s="7"/>
      <c r="B90" s="7"/>
      <c r="C90" s="7" t="str">
        <f>""&amp;CHAR(10)&amp;Basic_Fundamental_Information_Constructure(F90)&amp;CHAR(10)&amp;Basic_Fundamental_Information_Concatenate("")</f>
        <v xml:space="preserve">
市值121.301156亿, 利润8338.55万; PE144.1; 平均PE55.25; 平均PEG7.81, PB4.91; ROIC4.96%; ROE7.0367%; 股利率.5035%; 毛利57.8267%; 净利9.1133%; 上一年度营收增7.71%, 利润增-42.09%; 当季营收增9.67%, 利润增2.4%; 过往5年营收增7.07%, 利润增-18.58%
Income profile:
</v>
      </c>
      <c r="D90" t="s">
        <v>982</v>
      </c>
      <c r="E90" t="s">
        <v>983</v>
      </c>
      <c r="F90">
        <v>29.79</v>
      </c>
      <c r="G90">
        <v>1.05</v>
      </c>
      <c r="H90" t="s">
        <v>3882</v>
      </c>
      <c r="I90">
        <v>12130115600</v>
      </c>
      <c r="J90">
        <v>144.1</v>
      </c>
      <c r="K90">
        <v>4.91</v>
      </c>
      <c r="L90" t="s">
        <v>1166</v>
      </c>
      <c r="M90" t="s">
        <v>3071</v>
      </c>
      <c r="N90" t="s">
        <v>3072</v>
      </c>
      <c r="O90" t="s">
        <v>578</v>
      </c>
      <c r="P90">
        <v>9.66</v>
      </c>
      <c r="Q90" t="s">
        <v>3084</v>
      </c>
      <c r="R90">
        <v>32775309</v>
      </c>
      <c r="S90" s="5">
        <v>2.4E-2</v>
      </c>
      <c r="T90" t="s">
        <v>3085</v>
      </c>
      <c r="U90">
        <v>405890000</v>
      </c>
      <c r="V90">
        <v>407187500</v>
      </c>
      <c r="W90">
        <v>1.54</v>
      </c>
      <c r="X90">
        <v>0.09</v>
      </c>
      <c r="Y90">
        <v>9.0500000000000007</v>
      </c>
      <c r="Z90" t="s">
        <v>451</v>
      </c>
      <c r="AA90" t="s">
        <v>356</v>
      </c>
      <c r="AB90" t="s">
        <v>3073</v>
      </c>
      <c r="AC90" t="s">
        <v>3074</v>
      </c>
      <c r="AD90" t="s">
        <v>60</v>
      </c>
      <c r="AE90">
        <v>-10076969</v>
      </c>
      <c r="AF90" t="s">
        <v>3075</v>
      </c>
      <c r="AG90" t="s">
        <v>3076</v>
      </c>
      <c r="AH90" t="s">
        <v>3077</v>
      </c>
      <c r="AI90" t="s">
        <v>850</v>
      </c>
      <c r="AJ90" t="s">
        <v>3078</v>
      </c>
      <c r="AK90" t="s">
        <v>60</v>
      </c>
      <c r="AL90" t="s">
        <v>3079</v>
      </c>
      <c r="AM90" t="s">
        <v>60</v>
      </c>
      <c r="AN90" t="s">
        <v>528</v>
      </c>
      <c r="AO90" t="s">
        <v>385</v>
      </c>
      <c r="AP90" t="s">
        <v>3080</v>
      </c>
      <c r="AQ90" t="s">
        <v>3081</v>
      </c>
      <c r="AR90" t="s">
        <v>60</v>
      </c>
      <c r="AS90" t="s">
        <v>1241</v>
      </c>
      <c r="AT90" t="s">
        <v>60</v>
      </c>
      <c r="AU90" t="s">
        <v>3082</v>
      </c>
      <c r="AV90" t="s">
        <v>3083</v>
      </c>
      <c r="AW90" t="s">
        <v>525</v>
      </c>
      <c r="AX90" t="s">
        <v>1424</v>
      </c>
      <c r="AY90" t="s">
        <v>860</v>
      </c>
      <c r="AZ90" t="s">
        <v>985</v>
      </c>
      <c r="BA90" t="s">
        <v>986</v>
      </c>
      <c r="BB90" t="s">
        <v>938</v>
      </c>
      <c r="BC90" t="s">
        <v>311</v>
      </c>
      <c r="BD90" t="s">
        <v>503</v>
      </c>
      <c r="BE90" t="s">
        <v>225</v>
      </c>
      <c r="BF90" t="s">
        <v>830</v>
      </c>
      <c r="BG90" t="s">
        <v>847</v>
      </c>
      <c r="BH90" t="s">
        <v>3084</v>
      </c>
      <c r="BI90" t="s">
        <v>329</v>
      </c>
      <c r="BJ90" t="s">
        <v>1424</v>
      </c>
      <c r="BK90" t="s">
        <v>3085</v>
      </c>
      <c r="BL90" t="s">
        <v>3883</v>
      </c>
      <c r="BM90" t="s">
        <v>311</v>
      </c>
      <c r="BN90">
        <v>2.63</v>
      </c>
      <c r="BO90">
        <v>3.76</v>
      </c>
      <c r="BP90">
        <v>8.49</v>
      </c>
      <c r="BQ90">
        <v>4.21</v>
      </c>
      <c r="BR90">
        <v>5.9</v>
      </c>
      <c r="BS90">
        <v>11</v>
      </c>
      <c r="BT90" t="s">
        <v>1357</v>
      </c>
      <c r="BU90" t="s">
        <v>1166</v>
      </c>
      <c r="BV90">
        <v>55.61</v>
      </c>
      <c r="BW90">
        <v>58.59</v>
      </c>
      <c r="BX90">
        <v>59.28</v>
      </c>
      <c r="BY90">
        <v>4.53</v>
      </c>
      <c r="BZ90">
        <v>8.4499999999999993</v>
      </c>
      <c r="CA90">
        <v>14.36</v>
      </c>
      <c r="CB90">
        <v>-4.7</v>
      </c>
      <c r="CC90">
        <v>34.49</v>
      </c>
      <c r="CD90" t="s">
        <v>3884</v>
      </c>
      <c r="CE90" t="s">
        <v>1650</v>
      </c>
      <c r="CF90" s="8">
        <v>9.6676737160120846E-2</v>
      </c>
      <c r="CG90" s="9">
        <v>2.4036399425107793E-2</v>
      </c>
      <c r="CH90" s="8">
        <v>7.7149547636508942E-2</v>
      </c>
      <c r="CI90" s="8">
        <v>5.7943966239690781E-2</v>
      </c>
      <c r="CJ90" s="8">
        <v>4.1531473398208618E-2</v>
      </c>
      <c r="CK90" s="8">
        <v>0.10228893905878067</v>
      </c>
      <c r="CL90" s="8">
        <v>7.4558086693286896E-2</v>
      </c>
      <c r="CM90" s="9">
        <v>-0.42093399167060852</v>
      </c>
      <c r="CN90" s="9">
        <v>-0.37662336230278015</v>
      </c>
      <c r="CO90" s="9">
        <v>-0.23509933054447174</v>
      </c>
      <c r="CP90" s="9">
        <v>6.3380278646945953E-2</v>
      </c>
      <c r="CQ90" s="9">
        <v>4.0293041616678238E-2</v>
      </c>
      <c r="CR90">
        <v>55.246314461484509</v>
      </c>
      <c r="CS90">
        <v>7.8148074565307137</v>
      </c>
      <c r="CT90">
        <v>0.50352467270896273</v>
      </c>
      <c r="CU90" s="8">
        <v>7.0694402605295178E-2</v>
      </c>
      <c r="CV90" s="9">
        <v>-0.18579667285084725</v>
      </c>
      <c r="CW90">
        <v>0.06</v>
      </c>
      <c r="CX90">
        <v>131.5391071299488</v>
      </c>
      <c r="CY90">
        <v>84226781.234380975</v>
      </c>
      <c r="CZ90">
        <v>7.0694402605295178E-2</v>
      </c>
      <c r="DA90">
        <v>43.69579587627144</v>
      </c>
      <c r="DB90">
        <v>253551065.44738328</v>
      </c>
      <c r="DC90">
        <v>6.7159682475030416E-2</v>
      </c>
      <c r="DD90">
        <v>21.983315730437479</v>
      </c>
      <c r="DE90">
        <v>503978368.67985159</v>
      </c>
      <c r="DF90">
        <v>6.2211074292659756E-2</v>
      </c>
      <c r="DG90">
        <v>13.526020906619305</v>
      </c>
      <c r="DH90">
        <v>819096442.07175159</v>
      </c>
      <c r="DI90">
        <v>5.6555522084236143E-2</v>
      </c>
      <c r="DJ90">
        <v>7.3641692802113434</v>
      </c>
      <c r="DK90">
        <v>1504462374.2926836</v>
      </c>
      <c r="DL90">
        <v>4.9486081823706625E-2</v>
      </c>
      <c r="DM90">
        <v>83385500</v>
      </c>
      <c r="DN90">
        <v>7.0694402605295178E-2</v>
      </c>
      <c r="DO90">
        <v>11079115600</v>
      </c>
      <c r="DP90">
        <v>1146357400</v>
      </c>
      <c r="DQ90">
        <v>3977</v>
      </c>
      <c r="DR90">
        <v>2.5982334554825667E-2</v>
      </c>
      <c r="DS90">
        <v>0.20983307227595505</v>
      </c>
      <c r="DT90" s="10">
        <v>-0.44</v>
      </c>
      <c r="DU90">
        <v>-0.67</v>
      </c>
      <c r="DV90">
        <v>-1.1100000000000001</v>
      </c>
      <c r="DW90">
        <v>-6.1199285532023477</v>
      </c>
      <c r="DX90">
        <v>0.39660209424083692</v>
      </c>
      <c r="DY90">
        <v>-6.028375346846949</v>
      </c>
      <c r="DZ90">
        <v>3715</v>
      </c>
      <c r="EA90">
        <v>-6.0077341850031241</v>
      </c>
      <c r="EB90">
        <v>6</v>
      </c>
      <c r="EC90">
        <v>0.22196653875671526</v>
      </c>
      <c r="ED90">
        <v>0.93814274750575599</v>
      </c>
      <c r="EE90" s="11">
        <v>2.04921</v>
      </c>
      <c r="EF90">
        <v>2.03871</v>
      </c>
      <c r="EG90">
        <v>16.236602094240837</v>
      </c>
      <c r="EH90" t="s">
        <v>1243</v>
      </c>
      <c r="EI90">
        <v>0</v>
      </c>
      <c r="EJ90">
        <v>0</v>
      </c>
      <c r="EK90" s="13">
        <v>45489</v>
      </c>
      <c r="EL90" s="14">
        <v>0.87</v>
      </c>
      <c r="EM90" s="14">
        <v>4.08</v>
      </c>
      <c r="EN90" s="14">
        <v>3.99</v>
      </c>
      <c r="EO90" s="14">
        <v>-8.84</v>
      </c>
      <c r="EP90" s="14">
        <v>1.05</v>
      </c>
    </row>
    <row r="91" spans="1:146" ht="156" x14ac:dyDescent="0.25">
      <c r="A91" s="7" t="s">
        <v>1286</v>
      </c>
      <c r="B91" s="7"/>
      <c r="C91" s="7" t="str">
        <f>"公司及旗下公司中鼎集成、法国SAVOYE、上海诺力都具备雄厚的技术实力；中鼎集成拥有定制化解决方案的能力、核心设备研发制造能力和智能管理软件研发能力，法国SAVOYE在智慧仓储物流系统解决方案领域拥有行业领先的技术。"&amp;CHAR(10)&amp;Basic_Fundamental_Information_Constructure(F91)&amp;CHAR(10)&amp;Basic_Fundamental_Information_Concatenate("智慧物流集成系统 20.90亿 52.21%（毛利24.17%）仓储物流车辆及设备 18.97亿 47.39%（毛利18.26%）")</f>
        <v>公司及旗下公司中鼎集成、法国SAVOYE、上海诺力都具备雄厚的技术实力；中鼎集成拥有定制化解决方案的能力、核心设备研发制造能力和智能管理软件研发能力，法国SAVOYE在智慧仓储物流系统解决方案领域拥有行业领先的技术。
市值39.387161亿, 利润4.58亿; PE8.4; 平均PE12.9; 平均PEG.56, PB1.42; ROIC12.0133%; ROE16.0467%; 股利率4.068%; 毛利20.6367%; 净利5.7833%; 上一年度营收增3.89%, 利润增13.93%; 当季营收增3.61%, 利润增11%; 过往5年营收增23.02%, 利润增20.12%
Income profile:
智慧物流集成系统 20.90亿 52.21%（毛利24.17%）仓储物流车辆及设备 18.97亿 47.39%（毛利18.26%）</v>
      </c>
      <c r="D91" t="s">
        <v>1274</v>
      </c>
      <c r="E91" t="s">
        <v>1275</v>
      </c>
      <c r="F91">
        <v>15.29</v>
      </c>
      <c r="G91">
        <v>-0.59</v>
      </c>
      <c r="H91" t="s">
        <v>3885</v>
      </c>
      <c r="I91">
        <v>3938716100</v>
      </c>
      <c r="J91">
        <v>8.4</v>
      </c>
      <c r="K91">
        <v>1.42</v>
      </c>
      <c r="L91" t="s">
        <v>1166</v>
      </c>
      <c r="M91" t="s">
        <v>3086</v>
      </c>
      <c r="N91" t="s">
        <v>3087</v>
      </c>
      <c r="O91" t="s">
        <v>3088</v>
      </c>
      <c r="P91">
        <v>3.66</v>
      </c>
      <c r="Q91" t="s">
        <v>3103</v>
      </c>
      <c r="R91">
        <v>115437020</v>
      </c>
      <c r="S91" s="5">
        <v>0.1053</v>
      </c>
      <c r="T91" t="s">
        <v>629</v>
      </c>
      <c r="U91">
        <v>257600790</v>
      </c>
      <c r="V91">
        <v>257600790</v>
      </c>
      <c r="W91">
        <v>3.25</v>
      </c>
      <c r="X91">
        <v>0.19</v>
      </c>
      <c r="Y91">
        <v>6.48</v>
      </c>
      <c r="Z91" t="s">
        <v>1715</v>
      </c>
      <c r="AA91" t="s">
        <v>1332</v>
      </c>
      <c r="AB91" t="s">
        <v>3089</v>
      </c>
      <c r="AC91" t="s">
        <v>3090</v>
      </c>
      <c r="AD91" t="s">
        <v>60</v>
      </c>
      <c r="AE91">
        <v>1609844</v>
      </c>
      <c r="AF91" t="s">
        <v>3091</v>
      </c>
      <c r="AG91" t="s">
        <v>3092</v>
      </c>
      <c r="AH91" t="s">
        <v>3093</v>
      </c>
      <c r="AI91" t="s">
        <v>3094</v>
      </c>
      <c r="AJ91" t="s">
        <v>3095</v>
      </c>
      <c r="AK91" t="s">
        <v>3096</v>
      </c>
      <c r="AL91" t="s">
        <v>3097</v>
      </c>
      <c r="AM91" t="s">
        <v>60</v>
      </c>
      <c r="AN91" t="s">
        <v>3098</v>
      </c>
      <c r="AO91" t="s">
        <v>763</v>
      </c>
      <c r="AP91" t="s">
        <v>219</v>
      </c>
      <c r="AQ91" t="s">
        <v>3099</v>
      </c>
      <c r="AR91" t="s">
        <v>60</v>
      </c>
      <c r="AS91" t="s">
        <v>3100</v>
      </c>
      <c r="AT91" t="s">
        <v>3101</v>
      </c>
      <c r="AU91" t="s">
        <v>1645</v>
      </c>
      <c r="AV91" t="s">
        <v>3102</v>
      </c>
      <c r="AW91" t="s">
        <v>381</v>
      </c>
      <c r="AX91" t="s">
        <v>1479</v>
      </c>
      <c r="AY91" t="s">
        <v>1276</v>
      </c>
      <c r="AZ91" t="s">
        <v>1033</v>
      </c>
      <c r="BA91" t="s">
        <v>1277</v>
      </c>
      <c r="BB91" t="s">
        <v>1278</v>
      </c>
      <c r="BC91" t="s">
        <v>903</v>
      </c>
      <c r="BD91" t="s">
        <v>524</v>
      </c>
      <c r="BE91" t="s">
        <v>254</v>
      </c>
      <c r="BF91" t="s">
        <v>254</v>
      </c>
      <c r="BG91" t="s">
        <v>788</v>
      </c>
      <c r="BH91" t="s">
        <v>3103</v>
      </c>
      <c r="BI91" t="s">
        <v>3886</v>
      </c>
      <c r="BJ91" t="s">
        <v>1479</v>
      </c>
      <c r="BK91" t="s">
        <v>629</v>
      </c>
      <c r="BL91" t="s">
        <v>440</v>
      </c>
      <c r="BM91" t="s">
        <v>903</v>
      </c>
      <c r="BN91">
        <v>11.55</v>
      </c>
      <c r="BO91">
        <v>13.34</v>
      </c>
      <c r="BP91">
        <v>11.15</v>
      </c>
      <c r="BQ91">
        <v>14.65</v>
      </c>
      <c r="BR91">
        <v>18.21</v>
      </c>
      <c r="BS91">
        <v>15.28</v>
      </c>
      <c r="BT91" t="s">
        <v>3104</v>
      </c>
      <c r="BU91" t="s">
        <v>1166</v>
      </c>
      <c r="BV91">
        <v>22.22</v>
      </c>
      <c r="BW91">
        <v>20.239999999999998</v>
      </c>
      <c r="BX91">
        <v>19.45</v>
      </c>
      <c r="BY91">
        <v>6.62</v>
      </c>
      <c r="BZ91">
        <v>5.74</v>
      </c>
      <c r="CA91">
        <v>4.99</v>
      </c>
      <c r="CB91">
        <v>-1.29</v>
      </c>
      <c r="CC91">
        <v>-18.5</v>
      </c>
      <c r="CD91" t="s">
        <v>3887</v>
      </c>
      <c r="CE91" t="s">
        <v>3888</v>
      </c>
      <c r="CF91" s="8">
        <v>3.6094674556213305E-2</v>
      </c>
      <c r="CG91" s="9">
        <v>0.10997134615384616</v>
      </c>
      <c r="CH91" s="8">
        <v>3.8943551480770111E-2</v>
      </c>
      <c r="CI91" s="8">
        <v>0.13844063878059387</v>
      </c>
      <c r="CJ91" s="8">
        <v>0.44395393133163452</v>
      </c>
      <c r="CK91" s="8">
        <v>0.32069966197013855</v>
      </c>
      <c r="CL91" s="8">
        <v>0.20916573703289032</v>
      </c>
      <c r="CM91" s="9">
        <v>0.13930347561836243</v>
      </c>
      <c r="CN91" s="9">
        <v>0.34000000357627869</v>
      </c>
      <c r="CO91" s="9">
        <v>0.23966942727565765</v>
      </c>
      <c r="CP91" s="9">
        <v>0</v>
      </c>
      <c r="CQ91" s="9">
        <v>0.28723403811454773</v>
      </c>
      <c r="CR91">
        <v>12.899725218340611</v>
      </c>
      <c r="CS91">
        <v>0.56027127208844318</v>
      </c>
      <c r="CT91">
        <v>4.0680183126226295</v>
      </c>
      <c r="CU91" s="8">
        <v>0.23024070411920547</v>
      </c>
      <c r="CV91" s="9">
        <v>0.2012413889169693</v>
      </c>
      <c r="CW91">
        <v>0.06</v>
      </c>
      <c r="CX91">
        <v>14.212433436286085</v>
      </c>
      <c r="CY91">
        <v>531556832.53452456</v>
      </c>
      <c r="CZ91">
        <v>0.23024070411920547</v>
      </c>
      <c r="DA91">
        <v>4.1325194264139729</v>
      </c>
      <c r="DB91">
        <v>1828113874.483505</v>
      </c>
      <c r="DC91">
        <v>0.21872866891324519</v>
      </c>
      <c r="DD91">
        <v>1.7269935121786411</v>
      </c>
      <c r="DE91">
        <v>4374490145.2869711</v>
      </c>
      <c r="DF91">
        <v>0.20261181962490082</v>
      </c>
      <c r="DG91">
        <v>0.85299185904725339</v>
      </c>
      <c r="DH91">
        <v>8856727083.4662094</v>
      </c>
      <c r="DI91">
        <v>0.18419256329536438</v>
      </c>
      <c r="DJ91">
        <v>0.27683421844830008</v>
      </c>
      <c r="DK91">
        <v>27289675901.864254</v>
      </c>
      <c r="DL91">
        <v>0.16116849288344381</v>
      </c>
      <c r="DM91">
        <v>458000000</v>
      </c>
      <c r="DN91">
        <v>0.23024070411920547</v>
      </c>
      <c r="DO91">
        <v>7554716100</v>
      </c>
      <c r="DP91">
        <v>1102609400</v>
      </c>
      <c r="DQ91">
        <v>4210</v>
      </c>
      <c r="DR91">
        <v>-0.19414602956299215</v>
      </c>
      <c r="DS91">
        <v>-9.1270042763123144E-2</v>
      </c>
      <c r="DT91" s="10">
        <v>-9.000000000000008E-2</v>
      </c>
      <c r="DU91">
        <v>0.3833333333333333</v>
      </c>
      <c r="DV91">
        <v>0.29333333333333322</v>
      </c>
      <c r="DW91">
        <v>-3.0282738095238093</v>
      </c>
      <c r="DX91">
        <v>0.33264158698567897</v>
      </c>
      <c r="DY91">
        <v>-3.0040330210606072</v>
      </c>
      <c r="DZ91">
        <v>1150</v>
      </c>
      <c r="EA91">
        <v>-3.0031248608452756</v>
      </c>
      <c r="EB91">
        <v>3</v>
      </c>
      <c r="EC91">
        <v>5.3650844781958938E-2</v>
      </c>
      <c r="ED91">
        <v>0.37612345831703387</v>
      </c>
      <c r="EE91" s="11">
        <v>-1.0557099999999999</v>
      </c>
      <c r="EF91">
        <v>-1.0616099999999999</v>
      </c>
      <c r="EG91">
        <v>19.142641586985679</v>
      </c>
      <c r="EH91" t="s">
        <v>1227</v>
      </c>
      <c r="EI91">
        <v>0</v>
      </c>
      <c r="EJ91">
        <v>1</v>
      </c>
      <c r="EK91" s="13">
        <v>45489</v>
      </c>
      <c r="EL91" s="14">
        <v>0.16</v>
      </c>
      <c r="EM91" s="14">
        <v>3.65</v>
      </c>
      <c r="EN91" s="14">
        <v>-0.88</v>
      </c>
      <c r="EO91" s="14">
        <v>-2.5299999999999998</v>
      </c>
      <c r="EP91" s="14">
        <v>-0.59</v>
      </c>
    </row>
    <row r="92" spans="1:146" ht="96" x14ac:dyDescent="0.25">
      <c r="A92" s="7"/>
      <c r="B92" s="7"/>
      <c r="C92" s="7" t="str">
        <f>""&amp;CHAR(10)&amp;Basic_Fundamental_Information_Constructure(F92)&amp;CHAR(10)&amp;Basic_Fundamental_Information_Concatenate("")</f>
        <v xml:space="preserve">
市值43.817219亿, 利润5628.68万; PE414.1; 平均PE28.35; 平均PEG2.3, PB1.7; ROIC3.675%; ROE2.61%; 股利率.649%; 毛利35%; 净利7.0767%; 上一年度营收增-3.62%, 利润增-59.21%; 当季营收增-27.03%, 利润增-428.06%; 过往5年营收增12.35%, 利润增-12.46%
Income profile:
</v>
      </c>
      <c r="D92" t="s">
        <v>105</v>
      </c>
      <c r="E92" t="s">
        <v>42</v>
      </c>
      <c r="F92">
        <v>7.55</v>
      </c>
      <c r="G92">
        <v>1.34</v>
      </c>
      <c r="H92" t="s">
        <v>3889</v>
      </c>
      <c r="I92">
        <v>4381721900</v>
      </c>
      <c r="J92">
        <v>414.1</v>
      </c>
      <c r="K92">
        <v>1.7</v>
      </c>
      <c r="L92" t="s">
        <v>1166</v>
      </c>
      <c r="M92" t="s">
        <v>3105</v>
      </c>
      <c r="N92" t="s">
        <v>3106</v>
      </c>
      <c r="O92" t="s">
        <v>167</v>
      </c>
      <c r="P92">
        <v>-26.97</v>
      </c>
      <c r="Q92" t="s">
        <v>1649</v>
      </c>
      <c r="R92">
        <v>-115000000</v>
      </c>
      <c r="S92" s="6">
        <v>-2.0990000000000002</v>
      </c>
      <c r="T92" t="s">
        <v>3118</v>
      </c>
      <c r="U92">
        <v>590793580</v>
      </c>
      <c r="V92">
        <v>590793580</v>
      </c>
      <c r="W92">
        <v>2.29</v>
      </c>
      <c r="X92">
        <v>0.02</v>
      </c>
      <c r="Y92">
        <v>-64.22</v>
      </c>
      <c r="Z92" t="s">
        <v>295</v>
      </c>
      <c r="AA92" t="s">
        <v>3107</v>
      </c>
      <c r="AB92" t="s">
        <v>3108</v>
      </c>
      <c r="AC92" t="s">
        <v>3109</v>
      </c>
      <c r="AD92" t="s">
        <v>60</v>
      </c>
      <c r="AE92">
        <v>5397493</v>
      </c>
      <c r="AF92" t="s">
        <v>3110</v>
      </c>
      <c r="AG92" t="s">
        <v>3111</v>
      </c>
      <c r="AH92" t="s">
        <v>3112</v>
      </c>
      <c r="AI92" t="s">
        <v>636</v>
      </c>
      <c r="AJ92" t="s">
        <v>3113</v>
      </c>
      <c r="AK92" t="s">
        <v>1246</v>
      </c>
      <c r="AL92" t="s">
        <v>3114</v>
      </c>
      <c r="AM92" t="s">
        <v>60</v>
      </c>
      <c r="AN92" t="s">
        <v>3115</v>
      </c>
      <c r="AO92" t="s">
        <v>3116</v>
      </c>
      <c r="AP92" t="s">
        <v>626</v>
      </c>
      <c r="AQ92" t="s">
        <v>377</v>
      </c>
      <c r="AR92" t="s">
        <v>60</v>
      </c>
      <c r="AS92" t="s">
        <v>3117</v>
      </c>
      <c r="AT92" t="s">
        <v>700</v>
      </c>
      <c r="AU92" t="s">
        <v>181</v>
      </c>
      <c r="AV92" t="s">
        <v>1240</v>
      </c>
      <c r="AW92" t="s">
        <v>470</v>
      </c>
      <c r="AX92" t="s">
        <v>1480</v>
      </c>
      <c r="AY92" t="s">
        <v>1189</v>
      </c>
      <c r="AZ92" t="s">
        <v>943</v>
      </c>
      <c r="BA92" t="s">
        <v>627</v>
      </c>
      <c r="BB92" t="s">
        <v>645</v>
      </c>
      <c r="BC92" t="s">
        <v>486</v>
      </c>
      <c r="BD92" t="s">
        <v>511</v>
      </c>
      <c r="BE92" t="s">
        <v>213</v>
      </c>
      <c r="BF92" t="s">
        <v>542</v>
      </c>
      <c r="BG92" t="s">
        <v>182</v>
      </c>
      <c r="BH92" t="s">
        <v>1649</v>
      </c>
      <c r="BI92" t="s">
        <v>259</v>
      </c>
      <c r="BJ92" t="s">
        <v>1480</v>
      </c>
      <c r="BK92" t="s">
        <v>3118</v>
      </c>
      <c r="BL92" t="s">
        <v>3890</v>
      </c>
      <c r="BM92" t="s">
        <v>486</v>
      </c>
      <c r="BN92" t="s">
        <v>60</v>
      </c>
      <c r="BO92">
        <v>3.72</v>
      </c>
      <c r="BP92">
        <v>3.63</v>
      </c>
      <c r="BQ92">
        <v>-2.62</v>
      </c>
      <c r="BR92">
        <v>5.23</v>
      </c>
      <c r="BS92">
        <v>5.22</v>
      </c>
      <c r="BT92" t="s">
        <v>3119</v>
      </c>
      <c r="BU92" t="s">
        <v>1166</v>
      </c>
      <c r="BV92">
        <v>38.51</v>
      </c>
      <c r="BW92">
        <v>34.79</v>
      </c>
      <c r="BX92">
        <v>31.7</v>
      </c>
      <c r="BY92">
        <v>3.89</v>
      </c>
      <c r="BZ92">
        <v>8.73</v>
      </c>
      <c r="CA92">
        <v>8.61</v>
      </c>
      <c r="CB92">
        <v>0.27</v>
      </c>
      <c r="CC92">
        <v>-10.77</v>
      </c>
      <c r="CD92" t="s">
        <v>3891</v>
      </c>
      <c r="CE92" t="s">
        <v>214</v>
      </c>
      <c r="CF92" s="8">
        <v>-0.27027027027027029</v>
      </c>
      <c r="CG92" s="9">
        <v>-4.2806068565236153</v>
      </c>
      <c r="CH92" s="8">
        <v>-3.6206934601068497E-2</v>
      </c>
      <c r="CI92" s="8">
        <v>1.3986013829708099E-2</v>
      </c>
      <c r="CJ92" s="8">
        <v>0.11500970274209976</v>
      </c>
      <c r="CK92" s="8">
        <v>0.11602610349655151</v>
      </c>
      <c r="CL92" s="8">
        <v>0.4085802435874939</v>
      </c>
      <c r="CM92" s="9">
        <v>-0.59212464094161987</v>
      </c>
      <c r="CN92" s="9">
        <v>3.7593983113765717E-2</v>
      </c>
      <c r="CO92" s="9">
        <v>-0.4340425431728363</v>
      </c>
      <c r="CP92" s="9">
        <v>0.19289340078830719</v>
      </c>
      <c r="CQ92" s="9">
        <v>0.1726190447807312</v>
      </c>
      <c r="CR92">
        <v>28.35188789487783</v>
      </c>
      <c r="CS92">
        <v>2.2960893729663696</v>
      </c>
      <c r="CT92">
        <v>0.64900662251655628</v>
      </c>
      <c r="CU92" s="8">
        <v>0.12347902581095696</v>
      </c>
      <c r="CV92" s="9">
        <v>-0.12461215108633042</v>
      </c>
      <c r="CW92">
        <v>0.06</v>
      </c>
      <c r="CX92">
        <v>83.85726590885244</v>
      </c>
      <c r="CY92">
        <v>59657584.179260544</v>
      </c>
      <c r="CZ92">
        <v>0.12347902581095696</v>
      </c>
      <c r="DA92">
        <v>26.640693518810195</v>
      </c>
      <c r="DB92">
        <v>187784972.50710565</v>
      </c>
      <c r="DC92">
        <v>0.11730507452040911</v>
      </c>
      <c r="DD92">
        <v>12.622560976331895</v>
      </c>
      <c r="DE92">
        <v>396331767.3315599</v>
      </c>
      <c r="DF92">
        <v>0.10866154271364213</v>
      </c>
      <c r="DG92">
        <v>7.255296580187828</v>
      </c>
      <c r="DH92">
        <v>689526864.23061252</v>
      </c>
      <c r="DI92">
        <v>9.8783220648765574E-2</v>
      </c>
      <c r="DJ92">
        <v>3.3967880488743156</v>
      </c>
      <c r="DK92">
        <v>1472780116.986659</v>
      </c>
      <c r="DL92">
        <v>8.6435318067669867E-2</v>
      </c>
      <c r="DM92">
        <v>56286800</v>
      </c>
      <c r="DN92">
        <v>0.12347902581095696</v>
      </c>
      <c r="DO92">
        <v>5002721900</v>
      </c>
      <c r="DP92">
        <v>596015600</v>
      </c>
      <c r="DQ92">
        <v>4223</v>
      </c>
      <c r="DR92">
        <v>-0.39374929608122722</v>
      </c>
      <c r="DS92">
        <v>-4.1559947054372852</v>
      </c>
      <c r="DT92" s="10">
        <v>-0.34</v>
      </c>
      <c r="DU92">
        <v>-0.9816666666666668</v>
      </c>
      <c r="DV92">
        <v>-1.3216666666666668</v>
      </c>
      <c r="DW92">
        <v>-2.1076999999999999</v>
      </c>
      <c r="DX92">
        <v>0.32801930693069253</v>
      </c>
      <c r="DY92">
        <v>-2.0137876793564358</v>
      </c>
      <c r="DZ92">
        <v>3900</v>
      </c>
      <c r="EA92">
        <v>-2.0032586115103226</v>
      </c>
      <c r="EB92">
        <v>2</v>
      </c>
      <c r="EC92">
        <v>4.3771464138117402E-2</v>
      </c>
      <c r="ED92">
        <v>0.34191299099763406</v>
      </c>
      <c r="EE92" s="11">
        <v>-3.09111</v>
      </c>
      <c r="EF92">
        <v>-3.0777100000000002</v>
      </c>
      <c r="EG92">
        <v>20.128019306930693</v>
      </c>
      <c r="EH92" t="s">
        <v>1368</v>
      </c>
      <c r="EI92">
        <v>0</v>
      </c>
      <c r="EJ92">
        <v>0</v>
      </c>
      <c r="EK92" s="13">
        <v>45489</v>
      </c>
      <c r="EL92" s="14">
        <v>-2.21</v>
      </c>
      <c r="EM92" s="14">
        <v>1.32</v>
      </c>
      <c r="EN92" s="14">
        <v>-0.39</v>
      </c>
      <c r="EO92" s="14">
        <v>-2.87</v>
      </c>
      <c r="EP92" s="14">
        <v>1.34</v>
      </c>
    </row>
    <row r="93" spans="1:146" ht="240" x14ac:dyDescent="0.25">
      <c r="A93" s="15"/>
      <c r="B93" s="15"/>
      <c r="C93" s="7" t="s">
        <v>1287</v>
      </c>
      <c r="D93" t="s">
        <v>1279</v>
      </c>
      <c r="E93" t="s">
        <v>1280</v>
      </c>
      <c r="F93">
        <v>17.37</v>
      </c>
      <c r="G93">
        <v>0.46</v>
      </c>
      <c r="H93" t="s">
        <v>3892</v>
      </c>
      <c r="I93">
        <v>4270037600</v>
      </c>
      <c r="J93">
        <v>18.37</v>
      </c>
      <c r="K93">
        <v>1.54</v>
      </c>
      <c r="L93" t="s">
        <v>1166</v>
      </c>
      <c r="M93" t="s">
        <v>1677</v>
      </c>
      <c r="N93" t="s">
        <v>1835</v>
      </c>
      <c r="O93" t="s">
        <v>459</v>
      </c>
      <c r="P93">
        <v>30.37</v>
      </c>
      <c r="Q93" t="s">
        <v>780</v>
      </c>
      <c r="R93">
        <v>55718340</v>
      </c>
      <c r="S93" s="5">
        <v>0.30220000000000002</v>
      </c>
      <c r="T93" t="s">
        <v>202</v>
      </c>
      <c r="U93">
        <v>245828300</v>
      </c>
      <c r="V93">
        <v>245828300</v>
      </c>
      <c r="W93">
        <v>1.32</v>
      </c>
      <c r="X93">
        <v>0.11</v>
      </c>
      <c r="Y93">
        <v>20.440000000000001</v>
      </c>
      <c r="Z93" t="s">
        <v>218</v>
      </c>
      <c r="AA93" t="s">
        <v>353</v>
      </c>
      <c r="AB93" t="s">
        <v>1699</v>
      </c>
      <c r="AC93" t="s">
        <v>3120</v>
      </c>
      <c r="AD93" t="s">
        <v>60</v>
      </c>
      <c r="AE93">
        <v>2551692</v>
      </c>
      <c r="AF93" t="s">
        <v>3121</v>
      </c>
      <c r="AG93" t="s">
        <v>3122</v>
      </c>
      <c r="AH93" t="s">
        <v>3123</v>
      </c>
      <c r="AI93" t="s">
        <v>365</v>
      </c>
      <c r="AJ93" t="s">
        <v>3124</v>
      </c>
      <c r="AK93" t="s">
        <v>3125</v>
      </c>
      <c r="AL93" t="s">
        <v>3126</v>
      </c>
      <c r="AM93" t="s">
        <v>60</v>
      </c>
      <c r="AN93" t="s">
        <v>1683</v>
      </c>
      <c r="AO93" t="s">
        <v>432</v>
      </c>
      <c r="AP93" t="s">
        <v>3127</v>
      </c>
      <c r="AQ93" t="s">
        <v>1259</v>
      </c>
      <c r="AR93" t="s">
        <v>60</v>
      </c>
      <c r="AS93" t="s">
        <v>1717</v>
      </c>
      <c r="AT93" t="s">
        <v>60</v>
      </c>
      <c r="AU93" t="s">
        <v>3128</v>
      </c>
      <c r="AV93" t="s">
        <v>3129</v>
      </c>
      <c r="AW93" t="s">
        <v>3130</v>
      </c>
      <c r="AX93" t="s">
        <v>1331</v>
      </c>
      <c r="AY93" t="s">
        <v>1230</v>
      </c>
      <c r="AZ93" t="s">
        <v>948</v>
      </c>
      <c r="BA93" t="s">
        <v>1078</v>
      </c>
      <c r="BB93" t="s">
        <v>408</v>
      </c>
      <c r="BC93" t="s">
        <v>505</v>
      </c>
      <c r="BD93" t="s">
        <v>174</v>
      </c>
      <c r="BE93" t="s">
        <v>409</v>
      </c>
      <c r="BF93" t="s">
        <v>1281</v>
      </c>
      <c r="BG93" t="s">
        <v>1282</v>
      </c>
      <c r="BH93" t="s">
        <v>780</v>
      </c>
      <c r="BI93" t="s">
        <v>513</v>
      </c>
      <c r="BJ93" t="s">
        <v>1331</v>
      </c>
      <c r="BK93" t="s">
        <v>202</v>
      </c>
      <c r="BL93" t="s">
        <v>3893</v>
      </c>
      <c r="BM93" t="s">
        <v>505</v>
      </c>
      <c r="BN93">
        <v>8.6</v>
      </c>
      <c r="BO93">
        <v>8.3699999999999992</v>
      </c>
      <c r="BP93">
        <v>8.4499999999999993</v>
      </c>
      <c r="BQ93">
        <v>6.44</v>
      </c>
      <c r="BR93">
        <v>8.18</v>
      </c>
      <c r="BS93">
        <v>8.49</v>
      </c>
      <c r="BT93" t="s">
        <v>3131</v>
      </c>
      <c r="BU93" t="s">
        <v>1166</v>
      </c>
      <c r="BV93">
        <v>50.18</v>
      </c>
      <c r="BW93">
        <v>43.99</v>
      </c>
      <c r="BX93">
        <v>39.93</v>
      </c>
      <c r="BY93">
        <v>21.11</v>
      </c>
      <c r="BZ93">
        <v>17.37</v>
      </c>
      <c r="CA93">
        <v>14.61</v>
      </c>
      <c r="CB93">
        <v>-0.91</v>
      </c>
      <c r="CC93">
        <v>-24.32</v>
      </c>
      <c r="CD93" t="s">
        <v>3894</v>
      </c>
      <c r="CE93" t="s">
        <v>279</v>
      </c>
      <c r="CF93" s="8">
        <v>0.3032258064516129</v>
      </c>
      <c r="CG93" s="9">
        <v>0.30216504241744374</v>
      </c>
      <c r="CH93" s="8">
        <v>0.14170034229755402</v>
      </c>
      <c r="CI93" s="8">
        <v>8.2383990287780762E-2</v>
      </c>
      <c r="CJ93" s="8">
        <v>0.19852934777736664</v>
      </c>
      <c r="CK93" s="8">
        <v>0.24281984567642212</v>
      </c>
      <c r="CL93" s="8">
        <v>0.87745100259780884</v>
      </c>
      <c r="CM93" s="9">
        <v>0.1111111119389534</v>
      </c>
      <c r="CN93" s="9">
        <v>0.24528302252292633</v>
      </c>
      <c r="CO93" s="9">
        <v>0.32499998807907104</v>
      </c>
      <c r="CP93" s="9">
        <v>0.33177521824836731</v>
      </c>
      <c r="CQ93" s="9">
        <v>0.77683573961257935</v>
      </c>
      <c r="CR93">
        <v>30.579761389249484</v>
      </c>
      <c r="CS93">
        <v>0.99099319559141907</v>
      </c>
      <c r="CT93">
        <v>0.57570523891767411</v>
      </c>
      <c r="CU93" s="8">
        <v>0.3085769057273865</v>
      </c>
      <c r="CV93" s="9">
        <v>0.35800101608037949</v>
      </c>
      <c r="CW93">
        <v>0.06</v>
      </c>
      <c r="CX93">
        <v>8.5718373809513295</v>
      </c>
      <c r="CY93">
        <v>271591433.26417458</v>
      </c>
      <c r="CZ93">
        <v>0.3085769057273865</v>
      </c>
      <c r="DA93">
        <v>2.3391500947917878</v>
      </c>
      <c r="DB93">
        <v>995249345.12901497</v>
      </c>
      <c r="DC93">
        <v>0.29314806044101716</v>
      </c>
      <c r="DD93">
        <v>0.88932675632982383</v>
      </c>
      <c r="DE93">
        <v>2617752792.6941204</v>
      </c>
      <c r="DF93">
        <v>0.27154767704010013</v>
      </c>
      <c r="DG93">
        <v>0.38952069293291047</v>
      </c>
      <c r="DH93">
        <v>5976672465.0003948</v>
      </c>
      <c r="DI93">
        <v>0.24686152458190921</v>
      </c>
      <c r="DJ93">
        <v>9.3109719402661675E-2</v>
      </c>
      <c r="DK93">
        <v>25003164169.491093</v>
      </c>
      <c r="DL93">
        <v>0.21600383400917053</v>
      </c>
      <c r="DM93">
        <v>220000000.00000003</v>
      </c>
      <c r="DN93">
        <v>0.3085769057273865</v>
      </c>
      <c r="DO93">
        <v>2328037600</v>
      </c>
      <c r="DP93">
        <v>1352396600</v>
      </c>
      <c r="DQ93">
        <v>4337</v>
      </c>
      <c r="DR93">
        <v>-5.3510992757735965E-3</v>
      </c>
      <c r="DS93">
        <v>-5.5835973662935745E-2</v>
      </c>
      <c r="DT93" s="10">
        <v>1.0000000000000011E-2</v>
      </c>
      <c r="DU93">
        <v>0.82</v>
      </c>
      <c r="DV93">
        <v>0.83</v>
      </c>
      <c r="DW93">
        <v>-3.094095238095238</v>
      </c>
      <c r="DX93">
        <v>0.41427142857142868</v>
      </c>
      <c r="DY93">
        <v>-3.0220438258503401</v>
      </c>
      <c r="DZ93">
        <v>364</v>
      </c>
      <c r="EA93">
        <v>-3.0204726583137189</v>
      </c>
      <c r="EB93">
        <v>3</v>
      </c>
      <c r="EC93">
        <v>0.10673465992320656</v>
      </c>
      <c r="ED93">
        <v>0.45560254860811394</v>
      </c>
      <c r="EE93" s="11">
        <v>-1.0864100000000001</v>
      </c>
      <c r="EF93">
        <v>-1.0818099999999999</v>
      </c>
      <c r="EG93">
        <v>18.234271428571429</v>
      </c>
      <c r="EH93" t="s">
        <v>1227</v>
      </c>
      <c r="EI93">
        <v>0</v>
      </c>
      <c r="EJ93">
        <v>1</v>
      </c>
      <c r="EK93" s="13">
        <v>45489</v>
      </c>
      <c r="EL93" s="14">
        <v>-0.78</v>
      </c>
      <c r="EM93" s="14">
        <v>4.07</v>
      </c>
      <c r="EN93" s="14">
        <v>-2.34</v>
      </c>
      <c r="EO93" s="14">
        <v>-3.78</v>
      </c>
      <c r="EP93" s="14">
        <v>0.46</v>
      </c>
    </row>
    <row r="94" spans="1:146" ht="96" x14ac:dyDescent="0.25">
      <c r="A94" s="7"/>
      <c r="B94" s="7"/>
      <c r="C94" s="7" t="str">
        <f>""&amp;CHAR(10)&amp;Basic_Fundamental_Information_Constructure(F94)&amp;CHAR(10)&amp;Basic_Fundamental_Information_Concatenate("")</f>
        <v xml:space="preserve">
市值22.349373亿, 利润-7087.34万; PE; 平均PE23.14; 平均PEG1.51, PB.587; ROIC-1.09%; ROE.3867%; 股利率0%; 毛利34.4733%; 净利-.73%; 上一年度营收增-1.77%, 利润增-496.58%; 当季营收增-8.65%, 利润增4.62%; 过往5年营收增-15.29%, 利润增-124.48%
Income profile:
</v>
      </c>
      <c r="D94" t="s">
        <v>127</v>
      </c>
      <c r="E94" t="s">
        <v>3132</v>
      </c>
      <c r="F94">
        <v>4.43</v>
      </c>
      <c r="G94">
        <v>1.37</v>
      </c>
      <c r="H94" t="s">
        <v>3895</v>
      </c>
      <c r="I94">
        <v>2234937300</v>
      </c>
      <c r="K94">
        <v>0.58699999999999997</v>
      </c>
      <c r="L94" t="s">
        <v>1166</v>
      </c>
      <c r="M94" t="s">
        <v>1694</v>
      </c>
      <c r="N94" t="s">
        <v>3133</v>
      </c>
      <c r="O94" t="s">
        <v>267</v>
      </c>
      <c r="P94">
        <v>-8.91</v>
      </c>
      <c r="Q94" t="s">
        <v>3147</v>
      </c>
      <c r="R94">
        <v>8068043</v>
      </c>
      <c r="S94" s="5">
        <v>4.6199999999999998E-2</v>
      </c>
      <c r="T94" t="s">
        <v>3148</v>
      </c>
      <c r="U94">
        <v>504500510</v>
      </c>
      <c r="V94">
        <v>504500510</v>
      </c>
      <c r="W94">
        <v>1.33</v>
      </c>
      <c r="X94">
        <v>0.03</v>
      </c>
      <c r="Y94">
        <v>4.41</v>
      </c>
      <c r="Z94" t="s">
        <v>424</v>
      </c>
      <c r="AA94" t="s">
        <v>3134</v>
      </c>
      <c r="AB94" t="s">
        <v>3135</v>
      </c>
      <c r="AC94" t="s">
        <v>3136</v>
      </c>
      <c r="AD94" t="s">
        <v>60</v>
      </c>
      <c r="AE94">
        <v>-4961900</v>
      </c>
      <c r="AF94" t="s">
        <v>3137</v>
      </c>
      <c r="AG94" t="s">
        <v>3138</v>
      </c>
      <c r="AH94" t="s">
        <v>3139</v>
      </c>
      <c r="AI94" t="s">
        <v>1656</v>
      </c>
      <c r="AJ94" t="s">
        <v>60</v>
      </c>
      <c r="AK94" t="s">
        <v>3140</v>
      </c>
      <c r="AL94" t="s">
        <v>3141</v>
      </c>
      <c r="AM94" t="s">
        <v>60</v>
      </c>
      <c r="AN94" t="s">
        <v>3142</v>
      </c>
      <c r="AO94" t="s">
        <v>470</v>
      </c>
      <c r="AP94" t="s">
        <v>3143</v>
      </c>
      <c r="AQ94" t="s">
        <v>774</v>
      </c>
      <c r="AR94" t="s">
        <v>60</v>
      </c>
      <c r="AS94" t="s">
        <v>388</v>
      </c>
      <c r="AT94" t="s">
        <v>60</v>
      </c>
      <c r="AU94" t="s">
        <v>3144</v>
      </c>
      <c r="AV94" t="s">
        <v>3145</v>
      </c>
      <c r="AW94" t="s">
        <v>3146</v>
      </c>
      <c r="AX94" t="s">
        <v>1317</v>
      </c>
      <c r="AY94" t="s">
        <v>1012</v>
      </c>
      <c r="AZ94" t="s">
        <v>1191</v>
      </c>
      <c r="BA94" t="s">
        <v>632</v>
      </c>
      <c r="BB94" t="s">
        <v>949</v>
      </c>
      <c r="BC94" t="s">
        <v>1482</v>
      </c>
      <c r="BD94" t="s">
        <v>1190</v>
      </c>
      <c r="BE94" t="s">
        <v>1192</v>
      </c>
      <c r="BF94" t="s">
        <v>633</v>
      </c>
      <c r="BG94" t="s">
        <v>821</v>
      </c>
      <c r="BH94" t="s">
        <v>3147</v>
      </c>
      <c r="BI94" t="s">
        <v>415</v>
      </c>
      <c r="BJ94" t="s">
        <v>1317</v>
      </c>
      <c r="BK94" t="s">
        <v>3148</v>
      </c>
      <c r="BL94" t="s">
        <v>3896</v>
      </c>
      <c r="BM94" t="s">
        <v>1482</v>
      </c>
      <c r="BN94">
        <v>-1.43</v>
      </c>
      <c r="BO94">
        <v>-1.06</v>
      </c>
      <c r="BP94">
        <v>-0.78</v>
      </c>
      <c r="BQ94">
        <v>0.15</v>
      </c>
      <c r="BR94">
        <v>0.45</v>
      </c>
      <c r="BS94">
        <v>0.56000000000000005</v>
      </c>
      <c r="BT94" t="s">
        <v>1343</v>
      </c>
      <c r="BU94" t="s">
        <v>1166</v>
      </c>
      <c r="BV94">
        <v>30.69</v>
      </c>
      <c r="BW94">
        <v>33.43</v>
      </c>
      <c r="BX94">
        <v>39.299999999999997</v>
      </c>
      <c r="BY94">
        <v>-7.18</v>
      </c>
      <c r="BZ94">
        <v>2.09</v>
      </c>
      <c r="CA94">
        <v>2.9</v>
      </c>
      <c r="CB94">
        <v>2.78</v>
      </c>
      <c r="CC94">
        <v>-14.31</v>
      </c>
      <c r="CD94" t="s">
        <v>3897</v>
      </c>
      <c r="CE94" t="s">
        <v>3898</v>
      </c>
      <c r="CF94" s="8">
        <v>-8.6486486486486491E-2</v>
      </c>
      <c r="CG94" s="9">
        <v>4.6235233093431888E-2</v>
      </c>
      <c r="CH94" s="8">
        <v>-1.7653167247772217E-2</v>
      </c>
      <c r="CI94" s="8">
        <v>2.774813212454319E-2</v>
      </c>
      <c r="CJ94" s="8">
        <v>-0.20390820503234863</v>
      </c>
      <c r="CK94" s="8">
        <v>-0.63537794351577759</v>
      </c>
      <c r="CL94" s="8">
        <v>6.4643800258636475E-2</v>
      </c>
      <c r="CM94" s="9">
        <v>-4.9658102989196777</v>
      </c>
      <c r="CN94" s="9">
        <v>-0.1952347457408905</v>
      </c>
      <c r="CO94" s="9">
        <v>0.2881157398223877</v>
      </c>
      <c r="CP94" s="9">
        <v>-0.91981583833694458</v>
      </c>
      <c r="CQ94" s="9">
        <v>-0.43121692538261414</v>
      </c>
      <c r="CR94">
        <v>23.142229644664479</v>
      </c>
      <c r="CS94">
        <v>1.5134594759427629</v>
      </c>
      <c r="CT94">
        <v>0</v>
      </c>
      <c r="CU94" s="8">
        <v>-0.15290947668254376</v>
      </c>
      <c r="CV94" s="9">
        <v>-1.2447924137115478</v>
      </c>
      <c r="CW94">
        <v>0.06</v>
      </c>
      <c r="CX94" t="s">
        <v>1712</v>
      </c>
      <c r="CY94" t="s">
        <v>1224</v>
      </c>
      <c r="CZ94">
        <v>-0.15290947668254376</v>
      </c>
      <c r="DA94" t="s">
        <v>1712</v>
      </c>
      <c r="DB94" t="s">
        <v>1224</v>
      </c>
      <c r="DC94">
        <v>-0.14526400284841656</v>
      </c>
      <c r="DD94" t="s">
        <v>1712</v>
      </c>
      <c r="DE94" t="s">
        <v>1224</v>
      </c>
      <c r="DF94">
        <v>-0.1345603394806385</v>
      </c>
      <c r="DG94" t="s">
        <v>1712</v>
      </c>
      <c r="DH94" t="s">
        <v>1224</v>
      </c>
      <c r="DI94">
        <v>-0.12232758134603501</v>
      </c>
      <c r="DJ94" t="s">
        <v>1712</v>
      </c>
      <c r="DK94" t="s">
        <v>1224</v>
      </c>
      <c r="DL94">
        <v>-0.10703663367778063</v>
      </c>
      <c r="DM94">
        <v>-70873400</v>
      </c>
      <c r="DN94">
        <v>-0.15290947668254376</v>
      </c>
      <c r="DO94">
        <v>-449062700</v>
      </c>
      <c r="DP94">
        <v>2007946800</v>
      </c>
      <c r="DQ94">
        <v>4344</v>
      </c>
      <c r="DR94">
        <v>6.6422990196057269E-2</v>
      </c>
      <c r="DS94">
        <v>1.2910276468049797</v>
      </c>
      <c r="DT94" s="10">
        <v>-0.80666666666666664</v>
      </c>
      <c r="DU94">
        <v>-0.65999999999999992</v>
      </c>
      <c r="DV94">
        <v>-1.4666666666666666</v>
      </c>
      <c r="DW94">
        <v>6.162668227033353</v>
      </c>
      <c r="DX94">
        <v>0.3548372640188211</v>
      </c>
      <c r="DY94">
        <v>6.0154270095946361</v>
      </c>
      <c r="DZ94">
        <v>4002</v>
      </c>
      <c r="EA94">
        <v>6.0033379372629865</v>
      </c>
      <c r="EB94">
        <v>6</v>
      </c>
      <c r="EC94">
        <v>1.6778377488657049E-2</v>
      </c>
      <c r="ED94">
        <v>0.17691756149067123</v>
      </c>
      <c r="EE94" s="11">
        <v>-3.0678100000000001</v>
      </c>
      <c r="EF94">
        <v>-3.0541100000000001</v>
      </c>
      <c r="EG94">
        <v>26.094837264018821</v>
      </c>
      <c r="EH94" t="s">
        <v>1368</v>
      </c>
      <c r="EI94">
        <v>0</v>
      </c>
      <c r="EJ94">
        <v>0</v>
      </c>
      <c r="EK94" s="13">
        <v>45489</v>
      </c>
      <c r="EL94" s="14">
        <v>-0.98</v>
      </c>
      <c r="EM94" s="14">
        <v>2.79</v>
      </c>
      <c r="EN94" s="14">
        <v>0.9</v>
      </c>
      <c r="EO94" s="14">
        <v>-2.02</v>
      </c>
      <c r="EP94" s="14">
        <v>1.37</v>
      </c>
    </row>
    <row r="95" spans="1:146" ht="96" x14ac:dyDescent="0.25">
      <c r="C95" s="7" t="str">
        <f>""&amp;CHAR(10)&amp;Basic_Fundamental_Information_Constructure(F95)&amp;CHAR(10)&amp;Basic_Fundamental_Information_Concatenate("")</f>
        <v xml:space="preserve">
市值34.886886亿, 利润2562.00万; PE; 平均PE62.35; 平均PEG19.11, PB3.2; ROIC3.5933%; ROE3.9533%; 股利率.4206%; 毛利30.91%; 净利3.94%; 上一年度营收增7.87%, 利润增42.83%; 当季营收增-64.35%, 利润增-1266.03%; 过往5年营收增3.26%, 利润增5.3%
Income profile:
</v>
      </c>
      <c r="D95" s="5" t="s">
        <v>1685</v>
      </c>
      <c r="E95" t="s">
        <v>1686</v>
      </c>
      <c r="F95">
        <v>9.51</v>
      </c>
      <c r="G95">
        <v>-0.83</v>
      </c>
      <c r="H95" t="s">
        <v>3899</v>
      </c>
      <c r="I95">
        <v>3488688600</v>
      </c>
      <c r="K95">
        <v>3.2</v>
      </c>
      <c r="L95" t="s">
        <v>1166</v>
      </c>
      <c r="M95" t="s">
        <v>1032</v>
      </c>
      <c r="N95" t="s">
        <v>855</v>
      </c>
      <c r="O95" t="s">
        <v>3149</v>
      </c>
      <c r="P95" s="5">
        <v>-64.31</v>
      </c>
      <c r="Q95" t="s">
        <v>1079</v>
      </c>
      <c r="R95">
        <v>-52700000</v>
      </c>
      <c r="S95">
        <v>-7.71</v>
      </c>
      <c r="T95" t="s">
        <v>3165</v>
      </c>
      <c r="U95">
        <v>366228630</v>
      </c>
      <c r="V95">
        <v>366844230</v>
      </c>
      <c r="W95">
        <v>1.44</v>
      </c>
      <c r="X95">
        <v>0.04</v>
      </c>
      <c r="Y95">
        <v>-50.08</v>
      </c>
      <c r="Z95" t="s">
        <v>3150</v>
      </c>
      <c r="AA95" t="s">
        <v>3151</v>
      </c>
      <c r="AB95" t="s">
        <v>3152</v>
      </c>
      <c r="AC95" t="s">
        <v>3153</v>
      </c>
      <c r="AD95" t="s">
        <v>60</v>
      </c>
      <c r="AE95">
        <v>-1093147</v>
      </c>
      <c r="AF95" t="s">
        <v>3154</v>
      </c>
      <c r="AG95">
        <v>0.38</v>
      </c>
      <c r="AH95" t="s">
        <v>3155</v>
      </c>
      <c r="AI95" t="s">
        <v>557</v>
      </c>
      <c r="AJ95" t="s">
        <v>3156</v>
      </c>
      <c r="AK95" t="s">
        <v>3157</v>
      </c>
      <c r="AL95" t="s">
        <v>3158</v>
      </c>
      <c r="AM95" t="s">
        <v>60</v>
      </c>
      <c r="AN95" t="s">
        <v>3159</v>
      </c>
      <c r="AO95" t="s">
        <v>3160</v>
      </c>
      <c r="AP95" t="s">
        <v>3161</v>
      </c>
      <c r="AQ95" t="s">
        <v>63</v>
      </c>
      <c r="AR95" t="s">
        <v>60</v>
      </c>
      <c r="AS95" t="s">
        <v>853</v>
      </c>
      <c r="AT95" t="s">
        <v>60</v>
      </c>
      <c r="AU95" t="s">
        <v>3162</v>
      </c>
      <c r="AV95" t="s">
        <v>3163</v>
      </c>
      <c r="AW95" t="s">
        <v>3164</v>
      </c>
      <c r="AX95" t="s">
        <v>773</v>
      </c>
      <c r="AY95" t="s">
        <v>1015</v>
      </c>
      <c r="AZ95" t="s">
        <v>797</v>
      </c>
      <c r="BA95" t="s">
        <v>302</v>
      </c>
      <c r="BB95" t="s">
        <v>784</v>
      </c>
      <c r="BC95" t="s">
        <v>1687</v>
      </c>
      <c r="BD95" t="s">
        <v>1688</v>
      </c>
      <c r="BE95" t="s">
        <v>1689</v>
      </c>
      <c r="BF95" t="s">
        <v>1690</v>
      </c>
      <c r="BG95" t="s">
        <v>1691</v>
      </c>
      <c r="BH95" t="s">
        <v>1079</v>
      </c>
      <c r="BI95" t="s">
        <v>227</v>
      </c>
      <c r="BJ95" t="s">
        <v>773</v>
      </c>
      <c r="BK95" t="s">
        <v>3165</v>
      </c>
      <c r="BL95" t="s">
        <v>3900</v>
      </c>
      <c r="BM95" t="s">
        <v>1687</v>
      </c>
      <c r="BN95">
        <v>1.21</v>
      </c>
      <c r="BO95">
        <v>0.72</v>
      </c>
      <c r="BP95">
        <v>8.85</v>
      </c>
      <c r="BQ95">
        <v>1.47</v>
      </c>
      <c r="BR95">
        <v>1.64</v>
      </c>
      <c r="BS95">
        <v>8.75</v>
      </c>
      <c r="BT95" t="s">
        <v>1354</v>
      </c>
      <c r="BU95" t="s">
        <v>1166</v>
      </c>
      <c r="BV95">
        <v>30.8</v>
      </c>
      <c r="BW95">
        <v>31.77</v>
      </c>
      <c r="BX95">
        <v>30.16</v>
      </c>
      <c r="BY95">
        <v>2.67</v>
      </c>
      <c r="BZ95">
        <v>1.34</v>
      </c>
      <c r="CA95">
        <v>7.81</v>
      </c>
      <c r="CB95">
        <v>-11.37</v>
      </c>
      <c r="CC95" s="8">
        <v>-19.809999999999999</v>
      </c>
      <c r="CD95" s="9" t="s">
        <v>3901</v>
      </c>
      <c r="CE95" s="8" t="s">
        <v>3830</v>
      </c>
      <c r="CF95" s="8">
        <v>-0.64349884393063583</v>
      </c>
      <c r="CG95" s="8">
        <v>-12.660323922471015</v>
      </c>
      <c r="CH95" s="8">
        <v>7.8703701496124268E-2</v>
      </c>
      <c r="CI95" s="8">
        <v>-0.22994652390480042</v>
      </c>
      <c r="CJ95" s="9">
        <v>0.11752988398075104</v>
      </c>
      <c r="CK95" s="9">
        <v>6.2433861196041107E-2</v>
      </c>
      <c r="CL95" s="9">
        <v>0.13445378839969635</v>
      </c>
      <c r="CM95" s="9">
        <v>0.42825287580490112</v>
      </c>
      <c r="CN95" s="9">
        <v>-0.7976495623588562</v>
      </c>
      <c r="CO95">
        <v>1.1994307860732079E-3</v>
      </c>
      <c r="CP95">
        <v>0.38905099034309387</v>
      </c>
      <c r="CQ95">
        <v>0.24428637325763702</v>
      </c>
      <c r="CR95" s="8">
        <v>62.350080454093508</v>
      </c>
      <c r="CS95" s="9">
        <v>19.105313564787426</v>
      </c>
      <c r="CT95">
        <v>0.42060988433228186</v>
      </c>
      <c r="CU95">
        <v>3.2634942233562468E-2</v>
      </c>
      <c r="CV95">
        <v>5.3028021566569807E-2</v>
      </c>
      <c r="CW95">
        <v>0.06</v>
      </c>
      <c r="CX95">
        <v>117.78263106076072</v>
      </c>
      <c r="CY95">
        <v>24958591.717003655</v>
      </c>
      <c r="CZ95">
        <v>3.2634942233562468E-2</v>
      </c>
      <c r="DA95">
        <v>40.418602463561811</v>
      </c>
      <c r="DB95">
        <v>72731079.770761222</v>
      </c>
      <c r="DC95">
        <v>3.1003195121884344E-2</v>
      </c>
      <c r="DD95">
        <v>21.209725555173872</v>
      </c>
      <c r="DE95">
        <v>138600973.04667369</v>
      </c>
      <c r="DF95">
        <v>2.8718749165534973E-2</v>
      </c>
      <c r="DG95">
        <v>13.660059162550391</v>
      </c>
      <c r="DH95">
        <v>215203211.42233968</v>
      </c>
      <c r="DI95">
        <v>2.6107953786849977E-2</v>
      </c>
      <c r="DJ95">
        <v>8.170513703678564</v>
      </c>
      <c r="DK95">
        <v>359792383.51640981</v>
      </c>
      <c r="DL95">
        <v>2.2844459563493725E-2</v>
      </c>
      <c r="DM95">
        <v>25620000</v>
      </c>
      <c r="DN95">
        <v>3.2634942233562468E-2</v>
      </c>
      <c r="DO95">
        <v>2939688600</v>
      </c>
      <c r="DP95">
        <v>808995580</v>
      </c>
      <c r="DQ95" s="10">
        <v>4376</v>
      </c>
      <c r="DR95">
        <v>-0.67613378616419828</v>
      </c>
      <c r="DS95">
        <v>-12.713351944037585</v>
      </c>
      <c r="DT95">
        <v>-0.59</v>
      </c>
      <c r="DU95">
        <v>-0.81500000000000006</v>
      </c>
      <c r="DV95">
        <v>-1.405</v>
      </c>
      <c r="DW95">
        <v>-9.5739525492175677</v>
      </c>
      <c r="DX95">
        <v>0.37776885644768943</v>
      </c>
      <c r="DY95">
        <v>-9.1192494648061704</v>
      </c>
      <c r="DZ95">
        <v>3963</v>
      </c>
      <c r="EA95">
        <v>-9.0267126273229401</v>
      </c>
      <c r="EB95" s="11">
        <v>9</v>
      </c>
      <c r="EC95" s="11">
        <v>0.23277727443062141</v>
      </c>
      <c r="ED95">
        <v>1.1203665381352736</v>
      </c>
      <c r="EE95">
        <v>-3.0339100000000001</v>
      </c>
      <c r="EF95">
        <v>-3.0422099999999999</v>
      </c>
      <c r="EG95">
        <v>17.207768856447689</v>
      </c>
      <c r="EH95" s="13" t="s">
        <v>1368</v>
      </c>
      <c r="EI95">
        <v>0</v>
      </c>
      <c r="EJ95">
        <v>0</v>
      </c>
      <c r="EK95">
        <v>45489</v>
      </c>
      <c r="EL95">
        <v>-1.76</v>
      </c>
      <c r="EM95">
        <v>2.84</v>
      </c>
      <c r="EN95" s="14">
        <v>-2.38</v>
      </c>
      <c r="EO95" s="14">
        <v>-6.35</v>
      </c>
      <c r="EP95" s="14">
        <v>-0.83</v>
      </c>
    </row>
    <row r="96" spans="1:146" ht="108" x14ac:dyDescent="0.25">
      <c r="A96" s="7"/>
      <c r="B96" s="7"/>
      <c r="C96" s="7" t="str">
        <f>""&amp;CHAR(10)&amp;Basic_Fundamental_Information_Constructure(F96)&amp;CHAR(10)&amp;Basic_Fundamental_Information_Concatenate("")</f>
        <v xml:space="preserve">
市值22.716892亿, 利润5956.30万; PE40.35; 平均PE27.78; 平均PEG7.25, PB2.11; ROIC5.0833%; ROE5.4967%; 股利率.616%; 毛利36.9467%; 净利10.1333%; 上一年度营收增3.92%, 利润增4.59%; 当季营收增0%, 利润增-26%; 过往5年营收增3.83%, 利润增-6.08%
Income profile:
</v>
      </c>
      <c r="D96" t="s">
        <v>952</v>
      </c>
      <c r="E96" t="s">
        <v>953</v>
      </c>
      <c r="F96">
        <v>19.48</v>
      </c>
      <c r="G96">
        <v>0.41</v>
      </c>
      <c r="H96" t="s">
        <v>3902</v>
      </c>
      <c r="I96">
        <v>2271689200</v>
      </c>
      <c r="J96">
        <v>40.35</v>
      </c>
      <c r="K96">
        <v>2.11</v>
      </c>
      <c r="L96" t="s">
        <v>1166</v>
      </c>
      <c r="M96" t="s">
        <v>251</v>
      </c>
      <c r="N96" t="s">
        <v>3166</v>
      </c>
      <c r="O96" t="s">
        <v>511</v>
      </c>
      <c r="P96">
        <v>0.41</v>
      </c>
      <c r="Q96" t="s">
        <v>1330</v>
      </c>
      <c r="R96">
        <v>9306432</v>
      </c>
      <c r="S96" s="5">
        <v>-0.26</v>
      </c>
      <c r="T96" t="s">
        <v>3179</v>
      </c>
      <c r="U96">
        <v>116616489</v>
      </c>
      <c r="V96">
        <v>116616489</v>
      </c>
      <c r="W96">
        <v>1.1299999999999999</v>
      </c>
      <c r="X96">
        <v>0.11</v>
      </c>
      <c r="Y96">
        <v>6.99</v>
      </c>
      <c r="Z96" t="s">
        <v>258</v>
      </c>
      <c r="AA96" t="s">
        <v>3167</v>
      </c>
      <c r="AB96" t="s">
        <v>3168</v>
      </c>
      <c r="AC96" t="s">
        <v>3169</v>
      </c>
      <c r="AD96" t="s">
        <v>60</v>
      </c>
      <c r="AE96">
        <v>-2421925</v>
      </c>
      <c r="AF96" t="s">
        <v>168</v>
      </c>
      <c r="AG96">
        <v>17.7</v>
      </c>
      <c r="AH96" t="s">
        <v>3170</v>
      </c>
      <c r="AI96" t="s">
        <v>751</v>
      </c>
      <c r="AJ96" t="s">
        <v>3171</v>
      </c>
      <c r="AK96" t="s">
        <v>1246</v>
      </c>
      <c r="AL96" t="s">
        <v>3172</v>
      </c>
      <c r="AM96" t="s">
        <v>60</v>
      </c>
      <c r="AN96">
        <v>0</v>
      </c>
      <c r="AO96" t="s">
        <v>3173</v>
      </c>
      <c r="AP96" t="s">
        <v>3174</v>
      </c>
      <c r="AQ96" t="s">
        <v>3175</v>
      </c>
      <c r="AR96" t="s">
        <v>60</v>
      </c>
      <c r="AS96" t="s">
        <v>217</v>
      </c>
      <c r="AT96" t="s">
        <v>60</v>
      </c>
      <c r="AU96" t="s">
        <v>3176</v>
      </c>
      <c r="AV96" t="s">
        <v>1381</v>
      </c>
      <c r="AW96" t="s">
        <v>3177</v>
      </c>
      <c r="AX96" t="s">
        <v>1308</v>
      </c>
      <c r="AY96" t="s">
        <v>749</v>
      </c>
      <c r="AZ96" t="s">
        <v>886</v>
      </c>
      <c r="BA96" t="s">
        <v>391</v>
      </c>
      <c r="BB96" t="s">
        <v>576</v>
      </c>
      <c r="BC96" t="s">
        <v>3178</v>
      </c>
      <c r="BD96" t="s">
        <v>1193</v>
      </c>
      <c r="BE96" t="s">
        <v>167</v>
      </c>
      <c r="BF96" t="s">
        <v>336</v>
      </c>
      <c r="BG96" t="s">
        <v>954</v>
      </c>
      <c r="BH96" t="s">
        <v>1330</v>
      </c>
      <c r="BI96" t="s">
        <v>511</v>
      </c>
      <c r="BJ96" t="s">
        <v>1308</v>
      </c>
      <c r="BK96" t="s">
        <v>3179</v>
      </c>
      <c r="BL96" t="s">
        <v>3903</v>
      </c>
      <c r="BM96" t="s">
        <v>3178</v>
      </c>
      <c r="BN96">
        <v>2.2799999999999998</v>
      </c>
      <c r="BO96">
        <v>4.74</v>
      </c>
      <c r="BP96">
        <v>8.23</v>
      </c>
      <c r="BQ96">
        <v>3.22</v>
      </c>
      <c r="BR96">
        <v>5.7</v>
      </c>
      <c r="BS96">
        <v>7.57</v>
      </c>
      <c r="BT96" t="s">
        <v>3180</v>
      </c>
      <c r="BU96" t="s">
        <v>1166</v>
      </c>
      <c r="BV96">
        <v>37.26</v>
      </c>
      <c r="BW96">
        <v>35.89</v>
      </c>
      <c r="BX96">
        <v>37.69</v>
      </c>
      <c r="BY96">
        <v>9.3699999999999992</v>
      </c>
      <c r="BZ96">
        <v>9.31</v>
      </c>
      <c r="CA96">
        <v>11.72</v>
      </c>
      <c r="CB96">
        <v>-1.27</v>
      </c>
      <c r="CC96">
        <v>-9.1</v>
      </c>
      <c r="CD96" t="s">
        <v>3904</v>
      </c>
      <c r="CE96" t="s">
        <v>3905</v>
      </c>
      <c r="CF96" s="8">
        <v>0</v>
      </c>
      <c r="CG96" s="9">
        <v>-0.25996119469448775</v>
      </c>
      <c r="CH96" s="8">
        <v>3.9151713252067566E-2</v>
      </c>
      <c r="CI96" s="8">
        <v>3.7225041538476944E-2</v>
      </c>
      <c r="CJ96" s="8">
        <v>5.3475935012102127E-2</v>
      </c>
      <c r="CK96" s="8">
        <v>1.263537909835577E-2</v>
      </c>
      <c r="CL96" s="8">
        <v>4.9242425709962845E-2</v>
      </c>
      <c r="CM96" s="9">
        <v>4.5882351696491241E-2</v>
      </c>
      <c r="CN96" s="9">
        <v>-0.17767319083213806</v>
      </c>
      <c r="CO96" s="9">
        <v>-0.35875272750854492</v>
      </c>
      <c r="CP96" s="9">
        <v>1.8867924809455872E-2</v>
      </c>
      <c r="CQ96" s="9">
        <v>0.16743564605712891</v>
      </c>
      <c r="CR96">
        <v>27.784565144272424</v>
      </c>
      <c r="CS96">
        <v>7.2457344880503411</v>
      </c>
      <c r="CT96">
        <v>0.61601642710472271</v>
      </c>
      <c r="CU96" s="8">
        <v>3.8346098922193053E-2</v>
      </c>
      <c r="CV96" s="9">
        <v>-6.0847999155521394E-2</v>
      </c>
      <c r="CW96">
        <v>0.06</v>
      </c>
      <c r="CX96">
        <v>24.092200796098496</v>
      </c>
      <c r="CY96">
        <v>58346234.613304324</v>
      </c>
      <c r="CZ96">
        <v>3.8346098922193053E-2</v>
      </c>
      <c r="DA96">
        <v>8.2271814277082385</v>
      </c>
      <c r="DB96">
        <v>170859146.88422868</v>
      </c>
      <c r="DC96">
        <v>3.6428793976083396E-2</v>
      </c>
      <c r="DD96">
        <v>4.2902968517319628</v>
      </c>
      <c r="DE96">
        <v>327643808.47738612</v>
      </c>
      <c r="DF96">
        <v>3.3744567051529888E-2</v>
      </c>
      <c r="DG96">
        <v>2.7448091584815271</v>
      </c>
      <c r="DH96">
        <v>512126387.96995634</v>
      </c>
      <c r="DI96">
        <v>3.0676879137754444E-2</v>
      </c>
      <c r="DJ96">
        <v>1.6200826128353323</v>
      </c>
      <c r="DK96">
        <v>867665135.63149786</v>
      </c>
      <c r="DL96">
        <v>2.6842269245535136E-2</v>
      </c>
      <c r="DM96">
        <v>59563000</v>
      </c>
      <c r="DN96">
        <v>3.8346098922193053E-2</v>
      </c>
      <c r="DO96">
        <v>1405689200</v>
      </c>
      <c r="DP96">
        <v>1059903070</v>
      </c>
      <c r="DQ96">
        <v>4522</v>
      </c>
      <c r="DR96">
        <v>-3.8346098922193053E-2</v>
      </c>
      <c r="DS96">
        <v>-0.19911319553896636</v>
      </c>
      <c r="DT96" s="10">
        <v>-0.44</v>
      </c>
      <c r="DU96">
        <v>-0.40333333333333332</v>
      </c>
      <c r="DV96">
        <v>-0.84333333333333327</v>
      </c>
      <c r="DW96">
        <v>-2.0910000000000002</v>
      </c>
      <c r="DX96">
        <v>0.27207269958545954</v>
      </c>
      <c r="DY96">
        <v>-2.0092886156622769</v>
      </c>
      <c r="DZ96">
        <v>3461</v>
      </c>
      <c r="EA96">
        <v>-2.0029937461092828</v>
      </c>
      <c r="EB96">
        <v>2</v>
      </c>
      <c r="EC96">
        <v>3.103849233533347E-2</v>
      </c>
      <c r="ED96">
        <v>0.30408221259345236</v>
      </c>
      <c r="EE96" s="11">
        <v>-4.0331999999999999</v>
      </c>
      <c r="EF96">
        <v>-4.0373000000000001</v>
      </c>
      <c r="EG96">
        <v>17.10207269958546</v>
      </c>
      <c r="EH96" t="s">
        <v>1630</v>
      </c>
      <c r="EI96">
        <v>0</v>
      </c>
      <c r="EJ96">
        <v>0</v>
      </c>
      <c r="EK96" s="13">
        <v>45489</v>
      </c>
      <c r="EL96" s="14">
        <v>-1.6</v>
      </c>
      <c r="EM96" s="14">
        <v>2.65</v>
      </c>
      <c r="EN96" s="14">
        <v>-1.69</v>
      </c>
      <c r="EO96" s="14">
        <v>-1.97</v>
      </c>
      <c r="EP96" s="14">
        <v>0.41</v>
      </c>
    </row>
    <row r="97" spans="1:146" ht="96" x14ac:dyDescent="0.25">
      <c r="A97" s="7"/>
      <c r="B97" s="7"/>
      <c r="C97" s="7" t="str">
        <f>""&amp;CHAR(10)&amp;Basic_Fundamental_Information_Constructure(F97)&amp;CHAR(10)&amp;Basic_Fundamental_Information_Concatenate("")</f>
        <v xml:space="preserve">
市值8.0648616亿, 利润-4316.82万; PE; 平均PE38.17; 平均PEG8.57, PB1.22; ROIC5.79%; ROE-.6133%; 股利率0%; 毛利50.18%; 净利-8.3833%; 上一年度营收增22.29%, 利润增-38.71%; 当季营收增-26.45%, 利润增-190.85%; 过往5年营收增-4.45%, 利润增-42.75%
Income profile:
</v>
      </c>
      <c r="D97" t="s">
        <v>148</v>
      </c>
      <c r="E97" t="s">
        <v>149</v>
      </c>
      <c r="F97">
        <v>10.07</v>
      </c>
      <c r="G97">
        <v>1.1000000000000001</v>
      </c>
      <c r="H97" t="s">
        <v>3906</v>
      </c>
      <c r="I97">
        <v>806486160</v>
      </c>
      <c r="K97">
        <v>1.22</v>
      </c>
      <c r="L97" t="s">
        <v>1166</v>
      </c>
      <c r="M97" t="s">
        <v>255</v>
      </c>
      <c r="N97" t="s">
        <v>3181</v>
      </c>
      <c r="O97" t="s">
        <v>3182</v>
      </c>
      <c r="P97">
        <v>-26.45</v>
      </c>
      <c r="Q97" t="s">
        <v>63</v>
      </c>
      <c r="R97">
        <v>-7476611</v>
      </c>
      <c r="S97" s="5">
        <v>-1.9079999999999999</v>
      </c>
      <c r="T97" t="s">
        <v>3201</v>
      </c>
      <c r="U97">
        <v>80088000</v>
      </c>
      <c r="V97">
        <v>80088000</v>
      </c>
      <c r="W97">
        <v>1.1299999999999999</v>
      </c>
      <c r="X97">
        <v>0.04</v>
      </c>
      <c r="Y97">
        <v>-25.31</v>
      </c>
      <c r="Z97" t="s">
        <v>3183</v>
      </c>
      <c r="AA97" t="s">
        <v>3184</v>
      </c>
      <c r="AB97" t="s">
        <v>3185</v>
      </c>
      <c r="AC97" t="s">
        <v>3186</v>
      </c>
      <c r="AD97" t="s">
        <v>60</v>
      </c>
      <c r="AE97">
        <v>-144023</v>
      </c>
      <c r="AF97" t="s">
        <v>3187</v>
      </c>
      <c r="AG97" t="s">
        <v>60</v>
      </c>
      <c r="AH97" t="s">
        <v>3188</v>
      </c>
      <c r="AI97" t="s">
        <v>3189</v>
      </c>
      <c r="AJ97" t="s">
        <v>3190</v>
      </c>
      <c r="AK97" t="s">
        <v>3191</v>
      </c>
      <c r="AL97" t="s">
        <v>3192</v>
      </c>
      <c r="AM97" t="s">
        <v>60</v>
      </c>
      <c r="AN97">
        <v>0</v>
      </c>
      <c r="AO97" t="s">
        <v>60</v>
      </c>
      <c r="AP97" t="s">
        <v>3193</v>
      </c>
      <c r="AQ97" t="s">
        <v>3194</v>
      </c>
      <c r="AR97" t="s">
        <v>60</v>
      </c>
      <c r="AS97" t="s">
        <v>3195</v>
      </c>
      <c r="AT97" t="s">
        <v>60</v>
      </c>
      <c r="AU97" t="s">
        <v>3196</v>
      </c>
      <c r="AV97" t="s">
        <v>3197</v>
      </c>
      <c r="AW97" t="s">
        <v>3198</v>
      </c>
      <c r="AX97" t="s">
        <v>426</v>
      </c>
      <c r="AY97" t="s">
        <v>830</v>
      </c>
      <c r="AZ97" t="s">
        <v>673</v>
      </c>
      <c r="BA97" t="s">
        <v>281</v>
      </c>
      <c r="BB97" t="s">
        <v>830</v>
      </c>
      <c r="BC97" t="s">
        <v>3199</v>
      </c>
      <c r="BD97" t="s">
        <v>3200</v>
      </c>
      <c r="BE97" t="s">
        <v>955</v>
      </c>
      <c r="BF97" t="s">
        <v>638</v>
      </c>
      <c r="BG97" t="s">
        <v>956</v>
      </c>
      <c r="BH97" t="s">
        <v>63</v>
      </c>
      <c r="BI97" t="s">
        <v>3907</v>
      </c>
      <c r="BJ97" t="s">
        <v>426</v>
      </c>
      <c r="BK97" t="s">
        <v>3201</v>
      </c>
      <c r="BL97" t="s">
        <v>3908</v>
      </c>
      <c r="BM97" t="s">
        <v>3199</v>
      </c>
      <c r="BN97" t="s">
        <v>60</v>
      </c>
      <c r="BO97" t="s">
        <v>60</v>
      </c>
      <c r="BP97">
        <v>5.79</v>
      </c>
      <c r="BQ97">
        <v>-4.7</v>
      </c>
      <c r="BR97">
        <v>-3.89</v>
      </c>
      <c r="BS97">
        <v>6.75</v>
      </c>
      <c r="BT97" t="s">
        <v>3202</v>
      </c>
      <c r="BU97" t="s">
        <v>1166</v>
      </c>
      <c r="BV97">
        <v>42.8</v>
      </c>
      <c r="BW97">
        <v>52.05</v>
      </c>
      <c r="BX97">
        <v>55.69</v>
      </c>
      <c r="BY97">
        <v>-22.5</v>
      </c>
      <c r="BZ97">
        <v>-19.829999999999998</v>
      </c>
      <c r="CA97">
        <v>17.18</v>
      </c>
      <c r="CB97">
        <v>-1.37</v>
      </c>
      <c r="CC97">
        <v>-12.05</v>
      </c>
      <c r="CD97" t="s">
        <v>3909</v>
      </c>
      <c r="CE97" t="s">
        <v>3910</v>
      </c>
      <c r="CF97" s="8">
        <v>-0.26446056706934501</v>
      </c>
      <c r="CG97" s="9">
        <v>-1.9085081303975726</v>
      </c>
      <c r="CH97" s="8">
        <v>0.2229299396276474</v>
      </c>
      <c r="CI97" s="8">
        <v>-0.44718310236930847</v>
      </c>
      <c r="CJ97" s="8">
        <v>-1.3888888992369175E-2</v>
      </c>
      <c r="CK97" s="8">
        <v>4.7272726893424988E-2</v>
      </c>
      <c r="CL97" s="8">
        <v>-3.1690139323472977E-2</v>
      </c>
      <c r="CM97" s="9">
        <v>-0.38706380128860474</v>
      </c>
      <c r="CN97" s="9">
        <v>-1.6383686065673828</v>
      </c>
      <c r="CO97" s="9">
        <v>5.0121162086725235E-2</v>
      </c>
      <c r="CP97" s="9">
        <v>-8.8090404868125916E-2</v>
      </c>
      <c r="CQ97" s="9">
        <v>-7.4115902185440063E-2</v>
      </c>
      <c r="CR97">
        <v>38.166802278531733</v>
      </c>
      <c r="CS97">
        <v>8.5745179208361808</v>
      </c>
      <c r="CT97">
        <v>0</v>
      </c>
      <c r="CU97" s="8">
        <v>-4.4511892832815647E-2</v>
      </c>
      <c r="CV97" s="9">
        <v>-0.42750351056456565</v>
      </c>
      <c r="CW97">
        <v>0.06</v>
      </c>
      <c r="CX97" t="e">
        <v>#VALUE!</v>
      </c>
      <c r="CY97" t="s">
        <v>1223</v>
      </c>
      <c r="CZ97">
        <v>-4.4511892832815647E-2</v>
      </c>
      <c r="DA97" t="e">
        <v>#VALUE!</v>
      </c>
      <c r="DB97" t="s">
        <v>1224</v>
      </c>
      <c r="DC97">
        <v>-4.2286298191174861E-2</v>
      </c>
      <c r="DD97" t="e">
        <v>#VALUE!</v>
      </c>
      <c r="DE97" t="s">
        <v>1224</v>
      </c>
      <c r="DF97">
        <v>-3.9170465692877771E-2</v>
      </c>
      <c r="DG97" t="e">
        <v>#VALUE!</v>
      </c>
      <c r="DH97" t="s">
        <v>1224</v>
      </c>
      <c r="DI97">
        <v>-3.5609514266252522E-2</v>
      </c>
      <c r="DJ97" t="e">
        <v>#VALUE!</v>
      </c>
      <c r="DK97" t="s">
        <v>1224</v>
      </c>
      <c r="DL97">
        <v>-3.1158324982970952E-2</v>
      </c>
      <c r="DM97">
        <v>-43168200</v>
      </c>
      <c r="DN97">
        <v>-4.4511892832815647E-2</v>
      </c>
      <c r="DO97">
        <v>253486160</v>
      </c>
      <c r="DP97">
        <v>244273290</v>
      </c>
      <c r="DQ97">
        <v>4540</v>
      </c>
      <c r="DR97">
        <v>-0.21994867423652936</v>
      </c>
      <c r="DS97">
        <v>-1.4810046198330069</v>
      </c>
      <c r="DT97" s="10">
        <v>-0.42333333333333334</v>
      </c>
      <c r="DU97">
        <v>-2.1983333333333337</v>
      </c>
      <c r="DV97">
        <v>-2.621666666666667</v>
      </c>
      <c r="DW97">
        <v>-2.1204999999999998</v>
      </c>
      <c r="DX97">
        <v>0.26379043945483704</v>
      </c>
      <c r="DY97">
        <v>-2.012506747954308</v>
      </c>
      <c r="DZ97">
        <v>4732</v>
      </c>
      <c r="EA97">
        <v>-2.0009183533351997</v>
      </c>
      <c r="EB97">
        <v>2</v>
      </c>
      <c r="EC97">
        <v>5.8393267405853558E-2</v>
      </c>
      <c r="ED97">
        <v>0.5626073818799322</v>
      </c>
      <c r="EE97" s="11">
        <v>-1.04901</v>
      </c>
      <c r="EF97">
        <v>-1.0380100000000001</v>
      </c>
      <c r="EG97">
        <v>16.103790439454837</v>
      </c>
      <c r="EH97" t="s">
        <v>1227</v>
      </c>
      <c r="EI97">
        <v>0</v>
      </c>
      <c r="EJ97">
        <v>0</v>
      </c>
      <c r="EK97" s="13">
        <v>45489</v>
      </c>
      <c r="EL97" s="14">
        <v>-3.28</v>
      </c>
      <c r="EM97" s="14">
        <v>4.47</v>
      </c>
      <c r="EN97" s="14">
        <v>-1.24</v>
      </c>
      <c r="EO97" s="14">
        <v>-4.05</v>
      </c>
      <c r="EP97" s="14">
        <v>1.1000000000000001</v>
      </c>
    </row>
    <row r="98" spans="1:146" ht="96" x14ac:dyDescent="0.25">
      <c r="A98" s="7"/>
      <c r="B98" s="7"/>
      <c r="C98" s="7" t="str">
        <f>""&amp;CHAR(10)&amp;Basic_Fundamental_Information_Constructure(F98)&amp;CHAR(10)&amp;Basic_Fundamental_Information_Concatenate("")</f>
        <v xml:space="preserve">
市值25.226071亿, 利润-1.38亿; PE; 平均PE198.3; 平均PEG15.96, PB2.05; ROIC2.76%; ROE-3.2733%; 股利率0%; 毛利36.9667%; 净利-18.9567%; 上一年度营收增.6%, 利润增-39.96%; 当季营收增19.67%, 利润增-22.02%; 过往5年营收增12.43%, 利润增-57.39%
Income profile:
</v>
      </c>
      <c r="D98" t="s">
        <v>83</v>
      </c>
      <c r="E98" t="s">
        <v>84</v>
      </c>
      <c r="F98">
        <v>22.54</v>
      </c>
      <c r="G98">
        <v>1.03</v>
      </c>
      <c r="H98" t="s">
        <v>3911</v>
      </c>
      <c r="I98">
        <v>2522607100</v>
      </c>
      <c r="K98">
        <v>2.0499999999999998</v>
      </c>
      <c r="L98" t="s">
        <v>1166</v>
      </c>
      <c r="M98" t="s">
        <v>1457</v>
      </c>
      <c r="N98" t="s">
        <v>3203</v>
      </c>
      <c r="O98" t="s">
        <v>3204</v>
      </c>
      <c r="P98">
        <v>19.670000000000002</v>
      </c>
      <c r="Q98" t="s">
        <v>475</v>
      </c>
      <c r="R98">
        <v>-23063825</v>
      </c>
      <c r="S98" s="5">
        <v>-0.22020000000000001</v>
      </c>
      <c r="T98" t="s">
        <v>740</v>
      </c>
      <c r="U98">
        <v>111916907</v>
      </c>
      <c r="V98">
        <v>111916907</v>
      </c>
      <c r="W98">
        <v>1.24</v>
      </c>
      <c r="X98">
        <v>0.04</v>
      </c>
      <c r="Y98">
        <v>-39.67</v>
      </c>
      <c r="Z98" t="s">
        <v>3205</v>
      </c>
      <c r="AA98" t="s">
        <v>3206</v>
      </c>
      <c r="AB98" t="s">
        <v>3207</v>
      </c>
      <c r="AC98" t="s">
        <v>3208</v>
      </c>
      <c r="AD98" t="s">
        <v>60</v>
      </c>
      <c r="AE98">
        <v>-194193</v>
      </c>
      <c r="AF98" t="s">
        <v>3209</v>
      </c>
      <c r="AG98">
        <v>5360.17</v>
      </c>
      <c r="AH98" t="s">
        <v>3210</v>
      </c>
      <c r="AI98" t="s">
        <v>349</v>
      </c>
      <c r="AJ98" t="s">
        <v>3211</v>
      </c>
      <c r="AK98" t="s">
        <v>60</v>
      </c>
      <c r="AL98" t="s">
        <v>3212</v>
      </c>
      <c r="AM98" t="s">
        <v>60</v>
      </c>
      <c r="AN98" t="s">
        <v>3213</v>
      </c>
      <c r="AO98" t="s">
        <v>311</v>
      </c>
      <c r="AP98" t="s">
        <v>3214</v>
      </c>
      <c r="AQ98" t="s">
        <v>296</v>
      </c>
      <c r="AR98" t="s">
        <v>60</v>
      </c>
      <c r="AS98" t="s">
        <v>256</v>
      </c>
      <c r="AT98" t="s">
        <v>60</v>
      </c>
      <c r="AU98" t="s">
        <v>3215</v>
      </c>
      <c r="AV98" t="s">
        <v>3216</v>
      </c>
      <c r="AW98" t="s">
        <v>3217</v>
      </c>
      <c r="AX98" t="s">
        <v>329</v>
      </c>
      <c r="AY98" t="s">
        <v>523</v>
      </c>
      <c r="AZ98" t="s">
        <v>626</v>
      </c>
      <c r="BA98" t="s">
        <v>256</v>
      </c>
      <c r="BB98" t="s">
        <v>321</v>
      </c>
      <c r="BC98" t="s">
        <v>3218</v>
      </c>
      <c r="BD98" t="s">
        <v>1194</v>
      </c>
      <c r="BE98" t="s">
        <v>264</v>
      </c>
      <c r="BF98" t="s">
        <v>640</v>
      </c>
      <c r="BG98" t="s">
        <v>957</v>
      </c>
      <c r="BH98" t="s">
        <v>475</v>
      </c>
      <c r="BI98" t="s">
        <v>3912</v>
      </c>
      <c r="BJ98" t="s">
        <v>329</v>
      </c>
      <c r="BK98" t="s">
        <v>740</v>
      </c>
      <c r="BL98" t="s">
        <v>3913</v>
      </c>
      <c r="BM98" t="s">
        <v>3218</v>
      </c>
      <c r="BN98" t="s">
        <v>60</v>
      </c>
      <c r="BO98" t="s">
        <v>60</v>
      </c>
      <c r="BP98">
        <v>2.76</v>
      </c>
      <c r="BQ98">
        <v>-7.16</v>
      </c>
      <c r="BR98">
        <v>-6.77</v>
      </c>
      <c r="BS98">
        <v>4.1100000000000003</v>
      </c>
      <c r="BT98" t="s">
        <v>1343</v>
      </c>
      <c r="BU98" t="s">
        <v>1166</v>
      </c>
      <c r="BV98">
        <v>35.26</v>
      </c>
      <c r="BW98">
        <v>27.34</v>
      </c>
      <c r="BX98">
        <v>48.3</v>
      </c>
      <c r="BY98">
        <v>-41.82</v>
      </c>
      <c r="BZ98">
        <v>-29.72</v>
      </c>
      <c r="CA98">
        <v>14.67</v>
      </c>
      <c r="CB98">
        <v>0.31</v>
      </c>
      <c r="CC98">
        <v>-9.48</v>
      </c>
      <c r="CD98" t="s">
        <v>3914</v>
      </c>
      <c r="CE98" t="s">
        <v>3915</v>
      </c>
      <c r="CF98" s="8">
        <v>0.19672771268809591</v>
      </c>
      <c r="CG98" s="9">
        <v>-0.22022427028828706</v>
      </c>
      <c r="CH98" s="8">
        <v>6.0422960668802261E-3</v>
      </c>
      <c r="CI98" s="8">
        <v>-0.20813396573066711</v>
      </c>
      <c r="CJ98" s="8">
        <v>0.14207650721073151</v>
      </c>
      <c r="CK98" s="8">
        <v>0.28421053290367126</v>
      </c>
      <c r="CL98" s="8">
        <v>0.39705881476402283</v>
      </c>
      <c r="CM98" s="9">
        <v>-0.39961704611778259</v>
      </c>
      <c r="CN98" s="9">
        <v>-2.6072113513946533</v>
      </c>
      <c r="CO98" s="9">
        <v>-0.40439319610595703</v>
      </c>
      <c r="CP98" s="9">
        <v>0.21635973453521729</v>
      </c>
      <c r="CQ98" s="9">
        <v>0.32521775364875793</v>
      </c>
      <c r="CR98">
        <v>198.30231860398999</v>
      </c>
      <c r="CS98">
        <v>15.959837641615083</v>
      </c>
      <c r="CT98">
        <v>0</v>
      </c>
      <c r="CU98" s="8">
        <v>0.12425083704292775</v>
      </c>
      <c r="CV98" s="9">
        <v>-0.57392882108688359</v>
      </c>
      <c r="CW98">
        <v>0.06</v>
      </c>
      <c r="CX98" t="e">
        <v>#VALUE!</v>
      </c>
      <c r="CY98" t="s">
        <v>1223</v>
      </c>
      <c r="CZ98">
        <v>0.12425083704292775</v>
      </c>
      <c r="DA98" t="e">
        <v>#VALUE!</v>
      </c>
      <c r="DB98" t="s">
        <v>1224</v>
      </c>
      <c r="DC98">
        <v>0.11803829519078135</v>
      </c>
      <c r="DD98" t="e">
        <v>#VALUE!</v>
      </c>
      <c r="DE98" t="s">
        <v>1224</v>
      </c>
      <c r="DF98">
        <v>0.10934073659777642</v>
      </c>
      <c r="DG98" t="e">
        <v>#VALUE!</v>
      </c>
      <c r="DH98" t="s">
        <v>1224</v>
      </c>
      <c r="DI98">
        <v>9.9400669634342201E-2</v>
      </c>
      <c r="DJ98" t="e">
        <v>#VALUE!</v>
      </c>
      <c r="DK98" t="s">
        <v>1224</v>
      </c>
      <c r="DL98">
        <v>8.6975585930049421E-2</v>
      </c>
      <c r="DM98">
        <v>-138000000</v>
      </c>
      <c r="DN98">
        <v>0.12425083704292775</v>
      </c>
      <c r="DO98">
        <v>1627607100</v>
      </c>
      <c r="DP98">
        <v>428003370</v>
      </c>
      <c r="DQ98">
        <v>4572</v>
      </c>
      <c r="DR98">
        <v>7.2476875645168165E-2</v>
      </c>
      <c r="DS98">
        <v>0.35370455079859653</v>
      </c>
      <c r="DT98" s="10">
        <v>-0.37333333333333335</v>
      </c>
      <c r="DU98">
        <v>-1.8950000000000002</v>
      </c>
      <c r="DV98">
        <v>-2.2683333333333335</v>
      </c>
      <c r="DW98">
        <v>-2.0948000000000002</v>
      </c>
      <c r="DX98">
        <v>0.3207925705117512</v>
      </c>
      <c r="DY98">
        <v>-2.0123991356845141</v>
      </c>
      <c r="DZ98">
        <v>4538</v>
      </c>
      <c r="EA98">
        <v>-2.0013814584304854</v>
      </c>
      <c r="EB98">
        <v>2</v>
      </c>
      <c r="EC98">
        <v>9.0064140174996074E-2</v>
      </c>
      <c r="ED98">
        <v>0.68860283996233029</v>
      </c>
      <c r="EE98" s="11">
        <v>-4.0751099999999996</v>
      </c>
      <c r="EF98">
        <v>-4.0648099999999996</v>
      </c>
      <c r="EG98">
        <v>19.130792570511751</v>
      </c>
      <c r="EH98" t="s">
        <v>1709</v>
      </c>
      <c r="EI98">
        <v>0</v>
      </c>
      <c r="EJ98">
        <v>0</v>
      </c>
      <c r="EK98" s="13">
        <v>45489</v>
      </c>
      <c r="EL98" s="14">
        <v>-3.21</v>
      </c>
      <c r="EM98" s="14">
        <v>1.77</v>
      </c>
      <c r="EN98" s="14">
        <v>-2.78</v>
      </c>
      <c r="EO98" s="14">
        <v>-0.22</v>
      </c>
      <c r="EP98" s="14">
        <v>1.03</v>
      </c>
    </row>
    <row r="99" spans="1:146" ht="96" x14ac:dyDescent="0.25">
      <c r="A99" s="7"/>
      <c r="B99" s="7"/>
      <c r="C99" s="7" t="str">
        <f>""&amp;CHAR(10)&amp;Basic_Fundamental_Information_Constructure(F99)&amp;CHAR(10)&amp;Basic_Fundamental_Information_Concatenate("")</f>
        <v xml:space="preserve">
市值12.4043736亿, 利润-2.08亿; PE; 平均PE-28.09; 平均PEG-10.75, PB1.53; ROIC0%; ROE-14.3%; 股利率0%; 毛利16.9467%; 净利-68.0533%; 上一年度营收增23.37%, 利润增27.78%; 当季营收增60.29%, 利润增67.98%; 过往5年营收增2.61%, 利润增-26.75%
Income profile:
</v>
      </c>
      <c r="D99" t="s">
        <v>151</v>
      </c>
      <c r="E99" t="s">
        <v>152</v>
      </c>
      <c r="F99">
        <v>16.04</v>
      </c>
      <c r="G99">
        <v>1.2</v>
      </c>
      <c r="H99" t="s">
        <v>3916</v>
      </c>
      <c r="I99">
        <v>1240437360</v>
      </c>
      <c r="K99">
        <v>1.53</v>
      </c>
      <c r="L99" t="s">
        <v>1166</v>
      </c>
      <c r="M99" t="s">
        <v>551</v>
      </c>
      <c r="N99" t="s">
        <v>433</v>
      </c>
      <c r="O99" t="s">
        <v>171</v>
      </c>
      <c r="P99">
        <v>60.39</v>
      </c>
      <c r="Q99" t="s">
        <v>315</v>
      </c>
      <c r="R99">
        <v>-9378387</v>
      </c>
      <c r="S99" s="5">
        <v>0.67979999999999996</v>
      </c>
      <c r="T99" t="s">
        <v>1365</v>
      </c>
      <c r="U99">
        <v>77334000</v>
      </c>
      <c r="V99">
        <v>77334000</v>
      </c>
      <c r="W99">
        <v>1.46</v>
      </c>
      <c r="X99">
        <v>0.08</v>
      </c>
      <c r="Y99">
        <v>-7.93</v>
      </c>
      <c r="Z99" t="s">
        <v>275</v>
      </c>
      <c r="AA99" t="s">
        <v>3219</v>
      </c>
      <c r="AB99" t="s">
        <v>3220</v>
      </c>
      <c r="AC99" t="s">
        <v>3221</v>
      </c>
      <c r="AD99" t="s">
        <v>60</v>
      </c>
      <c r="AE99">
        <v>288583</v>
      </c>
      <c r="AF99" t="s">
        <v>3222</v>
      </c>
      <c r="AG99" t="s">
        <v>3223</v>
      </c>
      <c r="AH99" t="s">
        <v>3224</v>
      </c>
      <c r="AI99" t="s">
        <v>336</v>
      </c>
      <c r="AJ99" t="s">
        <v>3225</v>
      </c>
      <c r="AK99" t="s">
        <v>3226</v>
      </c>
      <c r="AL99" t="s">
        <v>3227</v>
      </c>
      <c r="AM99" t="s">
        <v>60</v>
      </c>
      <c r="AN99" t="s">
        <v>3228</v>
      </c>
      <c r="AO99" t="s">
        <v>310</v>
      </c>
      <c r="AP99" t="s">
        <v>60</v>
      </c>
      <c r="AQ99" t="s">
        <v>246</v>
      </c>
      <c r="AR99" t="s">
        <v>60</v>
      </c>
      <c r="AS99" t="s">
        <v>1457</v>
      </c>
      <c r="AT99" t="s">
        <v>1626</v>
      </c>
      <c r="AU99" t="s">
        <v>3229</v>
      </c>
      <c r="AV99" t="s">
        <v>3230</v>
      </c>
      <c r="AW99" t="s">
        <v>3231</v>
      </c>
      <c r="AX99" t="s">
        <v>479</v>
      </c>
      <c r="AY99" t="s">
        <v>352</v>
      </c>
      <c r="AZ99" t="s">
        <v>637</v>
      </c>
      <c r="BA99" t="s">
        <v>483</v>
      </c>
      <c r="BB99" t="s">
        <v>212</v>
      </c>
      <c r="BC99" t="s">
        <v>1327</v>
      </c>
      <c r="BD99" t="s">
        <v>1031</v>
      </c>
      <c r="BE99" t="s">
        <v>548</v>
      </c>
      <c r="BF99" t="s">
        <v>206</v>
      </c>
      <c r="BG99" t="s">
        <v>958</v>
      </c>
      <c r="BH99" t="s">
        <v>315</v>
      </c>
      <c r="BI99" t="s">
        <v>3917</v>
      </c>
      <c r="BJ99" t="s">
        <v>479</v>
      </c>
      <c r="BK99" t="s">
        <v>1365</v>
      </c>
      <c r="BL99" t="s">
        <v>3918</v>
      </c>
      <c r="BM99" t="s">
        <v>1327</v>
      </c>
      <c r="BN99" t="s">
        <v>60</v>
      </c>
      <c r="BO99" t="s">
        <v>60</v>
      </c>
      <c r="BP99" t="s">
        <v>60</v>
      </c>
      <c r="BQ99">
        <v>-9.11</v>
      </c>
      <c r="BR99">
        <v>-24.56</v>
      </c>
      <c r="BS99">
        <v>-9.23</v>
      </c>
      <c r="BT99" t="s">
        <v>1343</v>
      </c>
      <c r="BU99" t="s">
        <v>1166</v>
      </c>
      <c r="BV99">
        <v>12.79</v>
      </c>
      <c r="BW99">
        <v>4.29</v>
      </c>
      <c r="BX99">
        <v>33.76</v>
      </c>
      <c r="BY99">
        <v>-66.23</v>
      </c>
      <c r="BZ99">
        <v>-111.35</v>
      </c>
      <c r="CA99">
        <v>-26.58</v>
      </c>
      <c r="CB99">
        <v>-1.1100000000000001</v>
      </c>
      <c r="CC99">
        <v>-10.39</v>
      </c>
      <c r="CD99" t="s">
        <v>3919</v>
      </c>
      <c r="CE99" t="s">
        <v>3920</v>
      </c>
      <c r="CF99" s="8">
        <v>0.60285950135040911</v>
      </c>
      <c r="CG99" s="9">
        <v>0.67980597274809917</v>
      </c>
      <c r="CH99" s="8">
        <v>0.23371647298336029</v>
      </c>
      <c r="CI99" s="8">
        <v>-0.46296295523643494</v>
      </c>
      <c r="CJ99" s="8">
        <v>-0.28634360432624817</v>
      </c>
      <c r="CK99" s="8">
        <v>0.32233008742332458</v>
      </c>
      <c r="CL99" s="8">
        <v>0.32390746474266052</v>
      </c>
      <c r="CM99" s="9">
        <v>0.27777779102325439</v>
      </c>
      <c r="CN99" s="9">
        <v>-1.2325581312179565</v>
      </c>
      <c r="CO99" s="9">
        <v>-1.7288135290145874</v>
      </c>
      <c r="CP99" s="9">
        <v>0.48739495873451233</v>
      </c>
      <c r="CQ99" s="9">
        <v>0.85882604122161865</v>
      </c>
      <c r="CR99">
        <v>-28.087377401633553</v>
      </c>
      <c r="CS99">
        <v>-10.749300522405608</v>
      </c>
      <c r="CT99">
        <v>0</v>
      </c>
      <c r="CU99" s="8">
        <v>2.612949311733246E-2</v>
      </c>
      <c r="CV99" s="9">
        <v>-0.26747457385063172</v>
      </c>
      <c r="CW99">
        <v>0.06</v>
      </c>
      <c r="CX99" t="e">
        <v>#VALUE!</v>
      </c>
      <c r="CY99" t="s">
        <v>1223</v>
      </c>
      <c r="CZ99">
        <v>2.612949311733246E-2</v>
      </c>
      <c r="DA99" t="e">
        <v>#VALUE!</v>
      </c>
      <c r="DB99" t="s">
        <v>1224</v>
      </c>
      <c r="DC99">
        <v>2.4823018461465837E-2</v>
      </c>
      <c r="DD99" t="e">
        <v>#VALUE!</v>
      </c>
      <c r="DE99" t="s">
        <v>1224</v>
      </c>
      <c r="DF99">
        <v>2.2993953943252564E-2</v>
      </c>
      <c r="DG99" t="e">
        <v>#VALUE!</v>
      </c>
      <c r="DH99" t="s">
        <v>1224</v>
      </c>
      <c r="DI99">
        <v>2.090359449386597E-2</v>
      </c>
      <c r="DJ99" t="e">
        <v>#VALUE!</v>
      </c>
      <c r="DK99" t="s">
        <v>1224</v>
      </c>
      <c r="DL99">
        <v>1.829064518213272E-2</v>
      </c>
      <c r="DM99">
        <v>-208000000</v>
      </c>
      <c r="DN99">
        <v>2.612949311733246E-2</v>
      </c>
      <c r="DO99">
        <v>806437360</v>
      </c>
      <c r="DP99">
        <v>358121900</v>
      </c>
      <c r="DQ99">
        <v>4580</v>
      </c>
      <c r="DR99">
        <v>0.57673000823307663</v>
      </c>
      <c r="DS99">
        <v>0.94728054659873084</v>
      </c>
      <c r="DT99" s="10">
        <v>-0.34000000000000008</v>
      </c>
      <c r="DU99">
        <v>-1.3516666666666666</v>
      </c>
      <c r="DV99">
        <v>-1.6916666666666667</v>
      </c>
      <c r="DW99">
        <v>-2.1038999999999999</v>
      </c>
      <c r="DX99">
        <v>0.28161387631975832</v>
      </c>
      <c r="DY99">
        <v>-2.0115966817496229</v>
      </c>
      <c r="DZ99">
        <v>4167</v>
      </c>
      <c r="EA99">
        <v>-2.0021344979135787</v>
      </c>
      <c r="EB99">
        <v>2</v>
      </c>
      <c r="EC99">
        <v>2.9567848553029717E-2</v>
      </c>
      <c r="ED99">
        <v>0.26491194041430677</v>
      </c>
      <c r="EE99" s="11">
        <v>3.0823100000000001</v>
      </c>
      <c r="EF99">
        <v>3.0703100000000001</v>
      </c>
      <c r="EG99">
        <v>17.111613876319758</v>
      </c>
      <c r="EH99" t="s">
        <v>1250</v>
      </c>
      <c r="EI99">
        <v>0</v>
      </c>
      <c r="EJ99">
        <v>0</v>
      </c>
      <c r="EK99" s="13">
        <v>45489</v>
      </c>
      <c r="EL99" s="14">
        <v>-1.08</v>
      </c>
      <c r="EM99" s="14">
        <v>4.66</v>
      </c>
      <c r="EN99" s="14">
        <v>-1.26</v>
      </c>
      <c r="EO99" s="14">
        <v>-3.47</v>
      </c>
      <c r="EP99" s="14">
        <v>1.2</v>
      </c>
    </row>
    <row r="100" spans="1:146" ht="108" x14ac:dyDescent="0.25">
      <c r="A100" s="7"/>
      <c r="B100" s="7"/>
      <c r="C100" s="7" t="str">
        <f>""&amp;CHAR(10)&amp;Basic_Fundamental_Information_Constructure(F100)&amp;CHAR(10)&amp;Basic_Fundamental_Information_Concatenate("")</f>
        <v xml:space="preserve">
市值112.006776亿, 利润8848.77万; PE118.6; 平均PE74.15; 平均PEG7.9, PB4.2; ROIC2.7233%; ROE3.58%; 股利率.788%; 毛利90.23%; 净利16.0033%; 上一年度营收增25.94%, 利润增53.03%; 当季营收增14.29%, 利润增21.21%; 过往5年营收增9.38%, 利润增.53%
Income profile:
</v>
      </c>
      <c r="D100" t="s">
        <v>85</v>
      </c>
      <c r="E100" t="s">
        <v>86</v>
      </c>
      <c r="F100">
        <v>27.92</v>
      </c>
      <c r="G100">
        <v>2.5</v>
      </c>
      <c r="H100" t="s">
        <v>3921</v>
      </c>
      <c r="I100">
        <v>11200677600</v>
      </c>
      <c r="J100">
        <v>118.6</v>
      </c>
      <c r="K100">
        <v>4.2</v>
      </c>
      <c r="L100" t="s">
        <v>1166</v>
      </c>
      <c r="M100" t="s">
        <v>1644</v>
      </c>
      <c r="N100" t="s">
        <v>1695</v>
      </c>
      <c r="O100" t="s">
        <v>210</v>
      </c>
      <c r="P100">
        <v>13.94</v>
      </c>
      <c r="Q100" t="s">
        <v>625</v>
      </c>
      <c r="R100">
        <v>34165336</v>
      </c>
      <c r="S100" s="5">
        <v>0.21210000000000001</v>
      </c>
      <c r="T100" t="s">
        <v>3248</v>
      </c>
      <c r="U100">
        <v>401170400</v>
      </c>
      <c r="V100">
        <v>401170400</v>
      </c>
      <c r="W100">
        <v>1.1299999999999999</v>
      </c>
      <c r="X100">
        <v>0.06</v>
      </c>
      <c r="Y100">
        <v>18.559999999999999</v>
      </c>
      <c r="Z100" t="s">
        <v>236</v>
      </c>
      <c r="AA100" t="s">
        <v>3232</v>
      </c>
      <c r="AB100" t="s">
        <v>3233</v>
      </c>
      <c r="AC100" t="s">
        <v>3234</v>
      </c>
      <c r="AD100" t="s">
        <v>60</v>
      </c>
      <c r="AE100">
        <v>-16044194</v>
      </c>
      <c r="AF100" t="s">
        <v>3235</v>
      </c>
      <c r="AG100" t="s">
        <v>3236</v>
      </c>
      <c r="AH100" t="s">
        <v>3237</v>
      </c>
      <c r="AI100" t="s">
        <v>3238</v>
      </c>
      <c r="AJ100" t="s">
        <v>3239</v>
      </c>
      <c r="AK100" t="s">
        <v>3240</v>
      </c>
      <c r="AL100" t="s">
        <v>3241</v>
      </c>
      <c r="AM100" t="s">
        <v>60</v>
      </c>
      <c r="AN100">
        <v>0</v>
      </c>
      <c r="AO100" t="s">
        <v>60</v>
      </c>
      <c r="AP100" t="s">
        <v>60</v>
      </c>
      <c r="AQ100" t="s">
        <v>3242</v>
      </c>
      <c r="AR100" t="s">
        <v>3243</v>
      </c>
      <c r="AS100" t="s">
        <v>369</v>
      </c>
      <c r="AT100" t="s">
        <v>60</v>
      </c>
      <c r="AU100" t="s">
        <v>3244</v>
      </c>
      <c r="AV100" t="s">
        <v>3245</v>
      </c>
      <c r="AW100" t="s">
        <v>3246</v>
      </c>
      <c r="AX100" t="s">
        <v>1195</v>
      </c>
      <c r="AY100" t="s">
        <v>1028</v>
      </c>
      <c r="AZ100" t="s">
        <v>613</v>
      </c>
      <c r="BA100" t="s">
        <v>488</v>
      </c>
      <c r="BB100" t="s">
        <v>629</v>
      </c>
      <c r="BC100" t="s">
        <v>3247</v>
      </c>
      <c r="BD100" t="s">
        <v>395</v>
      </c>
      <c r="BE100" t="s">
        <v>361</v>
      </c>
      <c r="BF100" t="s">
        <v>306</v>
      </c>
      <c r="BG100" t="s">
        <v>438</v>
      </c>
      <c r="BH100" t="s">
        <v>625</v>
      </c>
      <c r="BI100" t="s">
        <v>360</v>
      </c>
      <c r="BJ100" t="s">
        <v>1195</v>
      </c>
      <c r="BK100" t="s">
        <v>3248</v>
      </c>
      <c r="BL100" t="s">
        <v>3922</v>
      </c>
      <c r="BM100" t="s">
        <v>3247</v>
      </c>
      <c r="BN100">
        <v>1.74</v>
      </c>
      <c r="BO100">
        <v>1.51</v>
      </c>
      <c r="BP100">
        <v>4.92</v>
      </c>
      <c r="BQ100">
        <v>3.11</v>
      </c>
      <c r="BR100">
        <v>2.2599999999999998</v>
      </c>
      <c r="BS100">
        <v>5.37</v>
      </c>
      <c r="BT100" t="s">
        <v>3249</v>
      </c>
      <c r="BU100" t="s">
        <v>1166</v>
      </c>
      <c r="BV100">
        <v>90.35</v>
      </c>
      <c r="BW100">
        <v>88.49</v>
      </c>
      <c r="BX100">
        <v>91.85</v>
      </c>
      <c r="BY100">
        <v>13.17</v>
      </c>
      <c r="BZ100">
        <v>10.73</v>
      </c>
      <c r="CA100">
        <v>24.11</v>
      </c>
      <c r="CB100">
        <v>2.61</v>
      </c>
      <c r="CC100">
        <v>-7.92</v>
      </c>
      <c r="CD100" t="s">
        <v>3923</v>
      </c>
      <c r="CE100" t="s">
        <v>255</v>
      </c>
      <c r="CF100" s="8">
        <v>0.14285714285714285</v>
      </c>
      <c r="CG100" s="9">
        <v>0.21212990754340777</v>
      </c>
      <c r="CH100" s="8">
        <v>0.25939849019050598</v>
      </c>
      <c r="CI100" s="8">
        <v>-7.1553230285644531E-2</v>
      </c>
      <c r="CJ100" s="8">
        <v>-0.16105417907238007</v>
      </c>
      <c r="CK100" s="8">
        <v>0.21099290251731873</v>
      </c>
      <c r="CL100" s="8">
        <v>0.23144105076789856</v>
      </c>
      <c r="CM100" s="9">
        <v>0.53032535314559937</v>
      </c>
      <c r="CN100" s="9">
        <v>-0.58990919589996338</v>
      </c>
      <c r="CO100" s="9">
        <v>-0.43824702501296997</v>
      </c>
      <c r="CP100" s="9">
        <v>0.19523809850215912</v>
      </c>
      <c r="CQ100" s="9">
        <v>0.32911393046379089</v>
      </c>
      <c r="CR100">
        <v>74.151260081395947</v>
      </c>
      <c r="CS100">
        <v>7.9014603537538575</v>
      </c>
      <c r="CT100">
        <v>0.78796561604584525</v>
      </c>
      <c r="CU100" s="8">
        <v>9.3845006823539731E-2</v>
      </c>
      <c r="CV100" s="9">
        <v>5.3042322397232056E-3</v>
      </c>
      <c r="CW100">
        <v>0.06</v>
      </c>
      <c r="CX100">
        <v>97.999990005258226</v>
      </c>
      <c r="CY100">
        <v>91313046.047452196</v>
      </c>
      <c r="CZ100">
        <v>9.3845006823539731E-2</v>
      </c>
      <c r="DA100">
        <v>31.921426117517935</v>
      </c>
      <c r="DB100">
        <v>280334517.85818297</v>
      </c>
      <c r="DC100">
        <v>8.9152756482362747E-2</v>
      </c>
      <c r="DD100">
        <v>15.645834504514276</v>
      </c>
      <c r="DE100">
        <v>571952719.90241539</v>
      </c>
      <c r="DF100">
        <v>8.2583606004714968E-2</v>
      </c>
      <c r="DG100">
        <v>9.3494389043373474</v>
      </c>
      <c r="DH100">
        <v>957135256.08992124</v>
      </c>
      <c r="DI100">
        <v>7.5076005458831793E-2</v>
      </c>
      <c r="DJ100">
        <v>4.7777094031892808</v>
      </c>
      <c r="DK100">
        <v>1873005837.070471</v>
      </c>
      <c r="DL100">
        <v>6.569150477647781E-2</v>
      </c>
      <c r="DM100">
        <v>88487700</v>
      </c>
      <c r="DN100">
        <v>9.3845006823539731E-2</v>
      </c>
      <c r="DO100">
        <v>8948677600</v>
      </c>
      <c r="DP100">
        <v>2059324300</v>
      </c>
      <c r="DQ100">
        <v>4613</v>
      </c>
      <c r="DR100">
        <v>4.9012136033603118E-2</v>
      </c>
      <c r="DS100">
        <v>0.20682567530368456</v>
      </c>
      <c r="DT100" s="10">
        <v>-0.19000000000000006</v>
      </c>
      <c r="DU100">
        <v>0.31999999999999995</v>
      </c>
      <c r="DV100">
        <v>0.12999999999999989</v>
      </c>
      <c r="DW100">
        <v>6.2478632478632479</v>
      </c>
      <c r="DX100">
        <v>0.38533727272727147</v>
      </c>
      <c r="DY100">
        <v>6.0360237684537683</v>
      </c>
      <c r="DZ100">
        <v>1488</v>
      </c>
      <c r="EA100">
        <v>6.0255277105999978</v>
      </c>
      <c r="EB100">
        <v>6</v>
      </c>
      <c r="EC100">
        <v>3.9851145548126181E-2</v>
      </c>
      <c r="ED100">
        <v>0.27419769753700673</v>
      </c>
      <c r="EE100" s="11">
        <v>-2.0224099999999998</v>
      </c>
      <c r="EF100">
        <v>-2.0026000000000002</v>
      </c>
      <c r="EG100">
        <v>24.145337272727271</v>
      </c>
      <c r="EH100" t="s">
        <v>1363</v>
      </c>
      <c r="EI100">
        <v>0</v>
      </c>
      <c r="EJ100">
        <v>1</v>
      </c>
      <c r="EK100" s="13">
        <v>45489</v>
      </c>
      <c r="EL100" s="14">
        <v>-2.82</v>
      </c>
      <c r="EM100" s="14">
        <v>1.63</v>
      </c>
      <c r="EN100" s="14">
        <v>-1.1000000000000001</v>
      </c>
      <c r="EO100" s="14">
        <v>-1.91</v>
      </c>
      <c r="EP100" s="14">
        <v>2.5</v>
      </c>
    </row>
    <row r="101" spans="1:146" ht="96" x14ac:dyDescent="0.25">
      <c r="A101" s="7"/>
      <c r="B101" s="7"/>
      <c r="C101" s="7" t="str">
        <f>""&amp;CHAR(10)&amp;Basic_Fundamental_Information_Constructure(F101)&amp;CHAR(10)&amp;Basic_Fundamental_Information_Concatenate("")</f>
        <v xml:space="preserve">
市值45.536056亿, 利润-3.43亿; PE; 平均PE-16.72; 平均PEG-1.59, PB1.77; ROIC0%; ROE-14.9167%; 股利率0%; 毛利7.6067%; 净利-22.04%; 上一年度营收增-23.17%, 利润增16.95%; 当季营收增-5.43%, 利润增34.68%; 过往5年营收增10.53%, 利润增-364.81%
Income profile:
</v>
      </c>
      <c r="D101" t="s">
        <v>134</v>
      </c>
      <c r="E101" t="s">
        <v>150</v>
      </c>
      <c r="F101">
        <v>10.050000000000001</v>
      </c>
      <c r="G101">
        <v>1.41</v>
      </c>
      <c r="H101" t="s">
        <v>3924</v>
      </c>
      <c r="I101">
        <v>4553605600</v>
      </c>
      <c r="K101">
        <v>1.77</v>
      </c>
      <c r="L101" t="s">
        <v>1166</v>
      </c>
      <c r="M101" t="s">
        <v>334</v>
      </c>
      <c r="N101" t="s">
        <v>3250</v>
      </c>
      <c r="O101" t="s">
        <v>64</v>
      </c>
      <c r="P101">
        <v>-5.32</v>
      </c>
      <c r="Q101" t="s">
        <v>643</v>
      </c>
      <c r="R101">
        <v>-61874406</v>
      </c>
      <c r="S101" s="5">
        <v>0.3468</v>
      </c>
      <c r="T101" t="s">
        <v>313</v>
      </c>
      <c r="U101">
        <v>402263910</v>
      </c>
      <c r="V101">
        <v>453095080</v>
      </c>
      <c r="W101">
        <v>1.41</v>
      </c>
      <c r="X101">
        <v>0.09</v>
      </c>
      <c r="Y101">
        <v>-17.82</v>
      </c>
      <c r="Z101" t="s">
        <v>903</v>
      </c>
      <c r="AA101" t="s">
        <v>491</v>
      </c>
      <c r="AB101" t="s">
        <v>3251</v>
      </c>
      <c r="AC101" t="s">
        <v>3252</v>
      </c>
      <c r="AD101" t="s">
        <v>60</v>
      </c>
      <c r="AE101">
        <v>-5131662</v>
      </c>
      <c r="AF101" t="s">
        <v>3253</v>
      </c>
      <c r="AG101">
        <v>379.99</v>
      </c>
      <c r="AH101" t="s">
        <v>3254</v>
      </c>
      <c r="AI101" t="s">
        <v>1310</v>
      </c>
      <c r="AJ101" t="s">
        <v>3255</v>
      </c>
      <c r="AK101" t="s">
        <v>60</v>
      </c>
      <c r="AL101" t="s">
        <v>3256</v>
      </c>
      <c r="AM101" t="s">
        <v>60</v>
      </c>
      <c r="AN101" t="s">
        <v>630</v>
      </c>
      <c r="AO101" t="s">
        <v>60</v>
      </c>
      <c r="AP101" t="s">
        <v>60</v>
      </c>
      <c r="AQ101" t="s">
        <v>483</v>
      </c>
      <c r="AR101" t="s">
        <v>3257</v>
      </c>
      <c r="AS101" t="s">
        <v>437</v>
      </c>
      <c r="AT101" t="s">
        <v>3258</v>
      </c>
      <c r="AU101" t="s">
        <v>3259</v>
      </c>
      <c r="AV101" t="s">
        <v>2832</v>
      </c>
      <c r="AW101" t="s">
        <v>3260</v>
      </c>
      <c r="AX101" t="s">
        <v>1484</v>
      </c>
      <c r="AY101" t="s">
        <v>1196</v>
      </c>
      <c r="AZ101" t="s">
        <v>960</v>
      </c>
      <c r="BA101" t="s">
        <v>643</v>
      </c>
      <c r="BB101" t="s">
        <v>588</v>
      </c>
      <c r="BC101" t="s">
        <v>1334</v>
      </c>
      <c r="BD101" t="s">
        <v>1197</v>
      </c>
      <c r="BE101" t="s">
        <v>313</v>
      </c>
      <c r="BF101" t="s">
        <v>644</v>
      </c>
      <c r="BG101" t="s">
        <v>961</v>
      </c>
      <c r="BH101" t="s">
        <v>643</v>
      </c>
      <c r="BI101" t="s">
        <v>216</v>
      </c>
      <c r="BJ101" t="s">
        <v>1484</v>
      </c>
      <c r="BK101" t="s">
        <v>313</v>
      </c>
      <c r="BL101" t="s">
        <v>3925</v>
      </c>
      <c r="BM101" t="s">
        <v>1334</v>
      </c>
      <c r="BN101" t="s">
        <v>60</v>
      </c>
      <c r="BO101" t="s">
        <v>60</v>
      </c>
      <c r="BP101" t="s">
        <v>60</v>
      </c>
      <c r="BQ101">
        <v>-10.02</v>
      </c>
      <c r="BR101">
        <v>-13.24</v>
      </c>
      <c r="BS101">
        <v>-21.49</v>
      </c>
      <c r="BT101" t="s">
        <v>1343</v>
      </c>
      <c r="BU101" t="s">
        <v>1166</v>
      </c>
      <c r="BV101">
        <v>11.11</v>
      </c>
      <c r="BW101">
        <v>8.35</v>
      </c>
      <c r="BX101">
        <v>3.36</v>
      </c>
      <c r="BY101">
        <v>-22.87</v>
      </c>
      <c r="BZ101">
        <v>-21.27</v>
      </c>
      <c r="CA101">
        <v>-21.98</v>
      </c>
      <c r="CB101">
        <v>2.87</v>
      </c>
      <c r="CC101">
        <v>-6.34</v>
      </c>
      <c r="CD101" t="s">
        <v>3926</v>
      </c>
      <c r="CE101" t="s">
        <v>63</v>
      </c>
      <c r="CF101" s="8">
        <v>-5.434782608695652E-2</v>
      </c>
      <c r="CG101" s="9">
        <v>0.34675065642291486</v>
      </c>
      <c r="CH101" s="8">
        <v>-0.23174439370632172</v>
      </c>
      <c r="CI101" s="8">
        <v>-0.32023438811302185</v>
      </c>
      <c r="CJ101" s="8">
        <v>0.18167001008987427</v>
      </c>
      <c r="CK101" s="8">
        <v>0.62046200037002563</v>
      </c>
      <c r="CL101" s="8">
        <v>0.27632686495780945</v>
      </c>
      <c r="CM101" s="9">
        <v>0.16949152946472168</v>
      </c>
      <c r="CN101" s="9">
        <v>0.34755134582519531</v>
      </c>
      <c r="CO101" s="9">
        <v>-0.84548103809356689</v>
      </c>
      <c r="CP101" s="9">
        <v>-17.186422348022461</v>
      </c>
      <c r="CQ101" s="9">
        <v>-0.72555410861968994</v>
      </c>
      <c r="CR101">
        <v>-16.724829886145123</v>
      </c>
      <c r="CS101">
        <v>-1.5883629874621568</v>
      </c>
      <c r="CT101">
        <v>0</v>
      </c>
      <c r="CU101" s="8">
        <v>0.10529601871967316</v>
      </c>
      <c r="CV101" s="9">
        <v>-3.6480829238891603</v>
      </c>
      <c r="CW101">
        <v>0.06</v>
      </c>
      <c r="CX101" t="e">
        <v>#VALUE!</v>
      </c>
      <c r="CY101" t="s">
        <v>1223</v>
      </c>
      <c r="CZ101">
        <v>0.10529601871967316</v>
      </c>
      <c r="DA101" t="e">
        <v>#VALUE!</v>
      </c>
      <c r="DB101" t="s">
        <v>1224</v>
      </c>
      <c r="DC101">
        <v>0.10003121778368949</v>
      </c>
      <c r="DD101" t="e">
        <v>#VALUE!</v>
      </c>
      <c r="DE101" t="s">
        <v>1224</v>
      </c>
      <c r="DF101">
        <v>9.2660496473312384E-2</v>
      </c>
      <c r="DG101" t="e">
        <v>#VALUE!</v>
      </c>
      <c r="DH101" t="s">
        <v>1224</v>
      </c>
      <c r="DI101">
        <v>8.4236814975738539E-2</v>
      </c>
      <c r="DJ101" t="e">
        <v>#VALUE!</v>
      </c>
      <c r="DK101" t="s">
        <v>1224</v>
      </c>
      <c r="DL101">
        <v>7.3707213103771207E-2</v>
      </c>
      <c r="DM101">
        <v>-343000000</v>
      </c>
      <c r="DN101">
        <v>0.10529601871967316</v>
      </c>
      <c r="DO101">
        <v>3141605600</v>
      </c>
      <c r="DP101">
        <v>808944700</v>
      </c>
      <c r="DQ101">
        <v>4673</v>
      </c>
      <c r="DR101">
        <v>-0.15964384480662969</v>
      </c>
      <c r="DS101">
        <v>3.9948335803120751</v>
      </c>
      <c r="DT101" s="10">
        <v>-0.29000000000000004</v>
      </c>
      <c r="DU101">
        <v>-2.2883333333333331</v>
      </c>
      <c r="DV101">
        <v>-2.5783333333333331</v>
      </c>
      <c r="DW101">
        <v>6.3116178067318129</v>
      </c>
      <c r="DX101">
        <v>0.34718541666666636</v>
      </c>
      <c r="DY101">
        <v>6.0396332405899384</v>
      </c>
      <c r="DZ101">
        <v>4701</v>
      </c>
      <c r="EA101">
        <v>6.0031507921831828</v>
      </c>
      <c r="EB101">
        <v>6</v>
      </c>
      <c r="EC101">
        <v>5.3895089745843193E-2</v>
      </c>
      <c r="ED101">
        <v>0.42375211842953581</v>
      </c>
      <c r="EE101" s="11">
        <v>-1.0180100000000001</v>
      </c>
      <c r="EF101">
        <v>-1.0039100000000001</v>
      </c>
      <c r="EG101">
        <v>22.127185416666666</v>
      </c>
      <c r="EH101" t="s">
        <v>1227</v>
      </c>
      <c r="EI101">
        <v>0</v>
      </c>
      <c r="EJ101">
        <v>0</v>
      </c>
      <c r="EK101" s="13">
        <v>45489</v>
      </c>
      <c r="EL101" s="14">
        <v>-1.92</v>
      </c>
      <c r="EM101" s="14">
        <v>3.55</v>
      </c>
      <c r="EN101" s="14">
        <v>-0.2</v>
      </c>
      <c r="EO101" s="14">
        <v>-2.84</v>
      </c>
      <c r="EP101" s="14">
        <v>1.41</v>
      </c>
    </row>
    <row r="102" spans="1:146" ht="96" x14ac:dyDescent="0.25">
      <c r="A102" s="7"/>
      <c r="B102" s="7"/>
      <c r="C102" s="7" t="str">
        <f>""&amp;CHAR(10)&amp;Basic_Fundamental_Information_Constructure(F102)&amp;CHAR(10)&amp;Basic_Fundamental_Information_Concatenate("")</f>
        <v xml:space="preserve">
市值29.885501亿, 利润-9033.32万; PE; 平均PE-26.07; 平均PEG-.44, PB1.32; ROIC-.73%; ROE-3.6067%; 股利率0%; 毛利56.6633%; 净利-16.25%; 上一年度营收增-25.99%, 利润增-376.97%; 当季营收增-54.51%, 利润增-3210.87%; 过往5年营收增58.74%, 利润增-125.65%
Income profile:
</v>
      </c>
      <c r="D102" t="s">
        <v>1198</v>
      </c>
      <c r="E102" t="s">
        <v>1485</v>
      </c>
      <c r="F102">
        <v>11.54</v>
      </c>
      <c r="G102">
        <v>2.94</v>
      </c>
      <c r="H102" t="s">
        <v>3927</v>
      </c>
      <c r="I102">
        <v>2988550100</v>
      </c>
      <c r="K102">
        <v>1.32</v>
      </c>
      <c r="L102" t="s">
        <v>1166</v>
      </c>
      <c r="M102" t="s">
        <v>444</v>
      </c>
      <c r="N102" t="s">
        <v>3261</v>
      </c>
      <c r="O102" t="s">
        <v>3262</v>
      </c>
      <c r="P102">
        <v>-54.51</v>
      </c>
      <c r="Q102" t="s">
        <v>253</v>
      </c>
      <c r="R102">
        <v>-27099448</v>
      </c>
      <c r="S102" s="5">
        <v>-32.11</v>
      </c>
      <c r="T102" t="s">
        <v>3278</v>
      </c>
      <c r="U102">
        <v>178662790</v>
      </c>
      <c r="V102">
        <v>258973150</v>
      </c>
      <c r="W102">
        <v>1.07</v>
      </c>
      <c r="X102">
        <v>0.01</v>
      </c>
      <c r="Y102">
        <v>-88.48</v>
      </c>
      <c r="Z102" t="s">
        <v>3263</v>
      </c>
      <c r="AA102" t="s">
        <v>3264</v>
      </c>
      <c r="AB102" t="s">
        <v>3265</v>
      </c>
      <c r="AC102" t="s">
        <v>3266</v>
      </c>
      <c r="AD102" t="s">
        <v>60</v>
      </c>
      <c r="AE102">
        <v>-8646707</v>
      </c>
      <c r="AF102" t="s">
        <v>3267</v>
      </c>
      <c r="AG102" t="s">
        <v>3268</v>
      </c>
      <c r="AH102" t="s">
        <v>3269</v>
      </c>
      <c r="AI102" t="s">
        <v>3270</v>
      </c>
      <c r="AJ102" t="s">
        <v>3271</v>
      </c>
      <c r="AK102" t="s">
        <v>60</v>
      </c>
      <c r="AL102" t="s">
        <v>3272</v>
      </c>
      <c r="AM102" t="s">
        <v>60</v>
      </c>
      <c r="AN102" t="s">
        <v>3273</v>
      </c>
      <c r="AO102" t="s">
        <v>60</v>
      </c>
      <c r="AP102" t="s">
        <v>60</v>
      </c>
      <c r="AQ102" t="s">
        <v>3274</v>
      </c>
      <c r="AR102" t="s">
        <v>60</v>
      </c>
      <c r="AS102" t="s">
        <v>3275</v>
      </c>
      <c r="AT102" t="s">
        <v>60</v>
      </c>
      <c r="AU102" t="s">
        <v>3276</v>
      </c>
      <c r="AV102" t="s">
        <v>379</v>
      </c>
      <c r="AW102" t="s">
        <v>3277</v>
      </c>
      <c r="AX102" t="s">
        <v>496</v>
      </c>
      <c r="AY102" t="s">
        <v>545</v>
      </c>
      <c r="AZ102" t="s">
        <v>278</v>
      </c>
      <c r="BA102" t="s">
        <v>1200</v>
      </c>
      <c r="BB102" t="s">
        <v>1201</v>
      </c>
      <c r="BC102" t="s">
        <v>1486</v>
      </c>
      <c r="BD102" t="s">
        <v>1199</v>
      </c>
      <c r="BE102" t="s">
        <v>1202</v>
      </c>
      <c r="BF102" t="s">
        <v>1203</v>
      </c>
      <c r="BG102" t="s">
        <v>1204</v>
      </c>
      <c r="BH102" t="s">
        <v>253</v>
      </c>
      <c r="BI102" t="s">
        <v>3928</v>
      </c>
      <c r="BJ102" t="s">
        <v>496</v>
      </c>
      <c r="BK102" t="s">
        <v>3278</v>
      </c>
      <c r="BL102" t="s">
        <v>3929</v>
      </c>
      <c r="BM102" t="s">
        <v>1486</v>
      </c>
      <c r="BN102" t="s">
        <v>60</v>
      </c>
      <c r="BO102">
        <v>-0.73</v>
      </c>
      <c r="BP102" t="s">
        <v>60</v>
      </c>
      <c r="BQ102">
        <v>-0.73</v>
      </c>
      <c r="BR102">
        <v>1.71</v>
      </c>
      <c r="BS102">
        <v>-11.8</v>
      </c>
      <c r="BT102" t="s">
        <v>1343</v>
      </c>
      <c r="BU102" t="s">
        <v>1166</v>
      </c>
      <c r="BV102">
        <v>56.56</v>
      </c>
      <c r="BW102">
        <v>57.8</v>
      </c>
      <c r="BX102">
        <v>55.63</v>
      </c>
      <c r="BY102">
        <v>-34.49</v>
      </c>
      <c r="BZ102">
        <v>9.15</v>
      </c>
      <c r="CA102">
        <v>-23.41</v>
      </c>
      <c r="CB102">
        <v>6.56</v>
      </c>
      <c r="CC102">
        <v>-5.41</v>
      </c>
      <c r="CD102" t="s">
        <v>3930</v>
      </c>
      <c r="CE102" t="s">
        <v>432</v>
      </c>
      <c r="CF102" s="8">
        <v>-0.54508629955673205</v>
      </c>
      <c r="CG102" s="9">
        <v>-32.10867196090409</v>
      </c>
      <c r="CH102" s="8">
        <v>-0.25988700985908508</v>
      </c>
      <c r="CI102" s="8">
        <v>0.20408163964748383</v>
      </c>
      <c r="CJ102" s="8">
        <v>0.20987653732299805</v>
      </c>
      <c r="CK102" s="8">
        <v>2.4124083518981934</v>
      </c>
      <c r="CL102" s="8">
        <v>0.37039852142333984</v>
      </c>
      <c r="CM102" s="9">
        <v>-3.769690990447998</v>
      </c>
      <c r="CN102" s="9">
        <v>1.4767026901245117</v>
      </c>
      <c r="CO102" s="9">
        <v>0.12137667089700699</v>
      </c>
      <c r="CP102" s="9">
        <v>0.81191021203994751</v>
      </c>
      <c r="CQ102" s="9">
        <v>-4.9225602149963379</v>
      </c>
      <c r="CR102">
        <v>-26.066445280280458</v>
      </c>
      <c r="CS102">
        <v>-0.443778136535046</v>
      </c>
      <c r="CT102">
        <v>0</v>
      </c>
      <c r="CU102" s="8">
        <v>0.58737560808658595</v>
      </c>
      <c r="CV102" s="9">
        <v>-1.2564523264765739</v>
      </c>
      <c r="CW102">
        <v>0.06</v>
      </c>
      <c r="CX102" t="e">
        <v>#VALUE!</v>
      </c>
      <c r="CY102" t="s">
        <v>1223</v>
      </c>
      <c r="CZ102">
        <v>0.58737560808658595</v>
      </c>
      <c r="DA102" t="e">
        <v>#VALUE!</v>
      </c>
      <c r="DB102" t="s">
        <v>1224</v>
      </c>
      <c r="DC102">
        <v>0.55800682768225662</v>
      </c>
      <c r="DD102" t="e">
        <v>#VALUE!</v>
      </c>
      <c r="DE102" t="s">
        <v>1224</v>
      </c>
      <c r="DF102">
        <v>0.51689053511619565</v>
      </c>
      <c r="DG102" t="e">
        <v>#VALUE!</v>
      </c>
      <c r="DH102" t="s">
        <v>1224</v>
      </c>
      <c r="DI102">
        <v>0.4699004864692688</v>
      </c>
      <c r="DJ102" t="e">
        <v>#VALUE!</v>
      </c>
      <c r="DK102" t="s">
        <v>1224</v>
      </c>
      <c r="DL102">
        <v>0.41116292566061013</v>
      </c>
      <c r="DM102">
        <v>-90333200</v>
      </c>
      <c r="DN102">
        <v>0.58737560808658595</v>
      </c>
      <c r="DO102">
        <v>915550100</v>
      </c>
      <c r="DP102">
        <v>1801925800</v>
      </c>
      <c r="DQ102">
        <v>4718</v>
      </c>
      <c r="DR102">
        <v>-1.132461907643318</v>
      </c>
      <c r="DS102">
        <v>-30.852219634427517</v>
      </c>
      <c r="DT102" s="10">
        <v>0.23833333333333337</v>
      </c>
      <c r="DU102">
        <v>-2.5649999999999999</v>
      </c>
      <c r="DV102">
        <v>-2.3266666666666667</v>
      </c>
      <c r="DW102">
        <v>5.82469512195122</v>
      </c>
      <c r="DX102">
        <v>0.34948444444444277</v>
      </c>
      <c r="DY102">
        <v>5.1397729945799462</v>
      </c>
      <c r="DZ102">
        <v>4573</v>
      </c>
      <c r="EA102">
        <v>5.0146149949296435</v>
      </c>
      <c r="EB102">
        <v>5</v>
      </c>
      <c r="EC102">
        <v>8.8350471853935436E-2</v>
      </c>
      <c r="ED102">
        <v>0.52128956225770895</v>
      </c>
      <c r="EE102" s="11">
        <v>-3.10581</v>
      </c>
      <c r="EF102">
        <v>-3.0764100000000001</v>
      </c>
      <c r="EG102">
        <v>18.169484444444443</v>
      </c>
      <c r="EH102" t="s">
        <v>1368</v>
      </c>
      <c r="EI102">
        <v>1</v>
      </c>
      <c r="EJ102">
        <v>0</v>
      </c>
      <c r="EK102" s="13">
        <v>45489</v>
      </c>
      <c r="EL102" s="14">
        <v>-2.86</v>
      </c>
      <c r="EM102" s="14">
        <v>3.5</v>
      </c>
      <c r="EN102" s="14">
        <v>0.69</v>
      </c>
      <c r="EO102" s="14">
        <v>-3.45</v>
      </c>
      <c r="EP102" s="14">
        <v>2.94</v>
      </c>
    </row>
    <row r="103" spans="1:146" ht="96" x14ac:dyDescent="0.25">
      <c r="A103" s="7"/>
      <c r="B103" s="7"/>
      <c r="C103" s="7" t="str">
        <f>""&amp;CHAR(10)&amp;Basic_Fundamental_Information_Constructure(F103)&amp;CHAR(10)&amp;Basic_Fundamental_Information_Concatenate("")</f>
        <v xml:space="preserve">
市值12.4926079亿, 利润-1068.04万; PE; 平均PE37.67; 平均PEG8.2, PB.905; ROIC4.175%; ROE4.07%; 股利率0%; 毛利42.1333%; 净利6.4133%; 上一年度营收增9.42%, 利润增-122.67%; 当季营收增-.51%, 利润增-27.71%; 过往5年营收增4.6%, 利润增-6.61%
Income profile:
</v>
      </c>
      <c r="D103" t="s">
        <v>1206</v>
      </c>
      <c r="E103" t="s">
        <v>1207</v>
      </c>
      <c r="F103">
        <v>11.05</v>
      </c>
      <c r="G103">
        <v>-0.63</v>
      </c>
      <c r="H103" t="s">
        <v>3931</v>
      </c>
      <c r="I103">
        <v>1249260790</v>
      </c>
      <c r="K103">
        <v>0.90500000000000003</v>
      </c>
      <c r="L103" t="s">
        <v>1166</v>
      </c>
      <c r="M103" t="s">
        <v>774</v>
      </c>
      <c r="N103" t="s">
        <v>3279</v>
      </c>
      <c r="O103" t="s">
        <v>3280</v>
      </c>
      <c r="P103">
        <v>-0.51</v>
      </c>
      <c r="Q103" t="s">
        <v>557</v>
      </c>
      <c r="R103">
        <v>-20490160</v>
      </c>
      <c r="S103" s="5">
        <v>-0.27710000000000001</v>
      </c>
      <c r="T103" t="s">
        <v>3296</v>
      </c>
      <c r="U103">
        <v>63161648</v>
      </c>
      <c r="V103">
        <v>113055275</v>
      </c>
      <c r="W103">
        <v>1.4</v>
      </c>
      <c r="X103">
        <v>0.03</v>
      </c>
      <c r="Y103">
        <v>-41.93</v>
      </c>
      <c r="Z103" t="s">
        <v>3281</v>
      </c>
      <c r="AA103" t="s">
        <v>3282</v>
      </c>
      <c r="AB103" t="s">
        <v>3283</v>
      </c>
      <c r="AC103" t="s">
        <v>3284</v>
      </c>
      <c r="AD103" t="s">
        <v>60</v>
      </c>
      <c r="AE103">
        <v>-915333</v>
      </c>
      <c r="AF103" t="s">
        <v>3285</v>
      </c>
      <c r="AG103" t="s">
        <v>3286</v>
      </c>
      <c r="AH103" t="s">
        <v>3287</v>
      </c>
      <c r="AI103" t="s">
        <v>470</v>
      </c>
      <c r="AJ103" t="s">
        <v>3288</v>
      </c>
      <c r="AK103" t="s">
        <v>3289</v>
      </c>
      <c r="AL103" t="s">
        <v>3290</v>
      </c>
      <c r="AM103" t="s">
        <v>60</v>
      </c>
      <c r="AN103" t="s">
        <v>214</v>
      </c>
      <c r="AO103" t="s">
        <v>3291</v>
      </c>
      <c r="AP103" t="s">
        <v>3292</v>
      </c>
      <c r="AQ103" t="s">
        <v>440</v>
      </c>
      <c r="AR103" t="s">
        <v>60</v>
      </c>
      <c r="AS103" t="s">
        <v>572</v>
      </c>
      <c r="AT103" t="s">
        <v>3293</v>
      </c>
      <c r="AU103" t="s">
        <v>3294</v>
      </c>
      <c r="AV103" t="s">
        <v>599</v>
      </c>
      <c r="AW103" t="s">
        <v>3295</v>
      </c>
      <c r="AX103" t="s">
        <v>1254</v>
      </c>
      <c r="AY103" t="s">
        <v>832</v>
      </c>
      <c r="AZ103" t="s">
        <v>894</v>
      </c>
      <c r="BA103" t="s">
        <v>903</v>
      </c>
      <c r="BB103" t="s">
        <v>879</v>
      </c>
      <c r="BC103" t="s">
        <v>1487</v>
      </c>
      <c r="BD103" t="s">
        <v>1208</v>
      </c>
      <c r="BE103" t="s">
        <v>1209</v>
      </c>
      <c r="BF103" t="s">
        <v>1210</v>
      </c>
      <c r="BG103" t="s">
        <v>1211</v>
      </c>
      <c r="BH103" t="s">
        <v>557</v>
      </c>
      <c r="BI103" t="s">
        <v>3932</v>
      </c>
      <c r="BJ103" t="s">
        <v>1254</v>
      </c>
      <c r="BK103" t="s">
        <v>3296</v>
      </c>
      <c r="BL103" t="s">
        <v>3933</v>
      </c>
      <c r="BM103" t="s">
        <v>1487</v>
      </c>
      <c r="BN103" t="s">
        <v>60</v>
      </c>
      <c r="BO103">
        <v>2.62</v>
      </c>
      <c r="BP103">
        <v>5.73</v>
      </c>
      <c r="BQ103">
        <v>-3.12</v>
      </c>
      <c r="BR103">
        <v>3.31</v>
      </c>
      <c r="BS103">
        <v>12.02</v>
      </c>
      <c r="BT103" t="s">
        <v>1343</v>
      </c>
      <c r="BU103" t="s">
        <v>1166</v>
      </c>
      <c r="BV103">
        <v>38.46</v>
      </c>
      <c r="BW103">
        <v>41.39</v>
      </c>
      <c r="BX103">
        <v>46.55</v>
      </c>
      <c r="BY103">
        <v>-2.1</v>
      </c>
      <c r="BZ103">
        <v>10.02</v>
      </c>
      <c r="CA103">
        <v>11.32</v>
      </c>
      <c r="CB103">
        <v>-2.39</v>
      </c>
      <c r="CC103">
        <v>-10.53</v>
      </c>
      <c r="CD103" t="s">
        <v>3934</v>
      </c>
      <c r="CE103" t="s">
        <v>3935</v>
      </c>
      <c r="CF103" s="8">
        <v>-5.1441120425201022E-3</v>
      </c>
      <c r="CG103" s="9">
        <v>-0.27708311259310042</v>
      </c>
      <c r="CH103" s="8">
        <v>9.4188377261161804E-2</v>
      </c>
      <c r="CI103" s="8">
        <v>5.9447981417179108E-2</v>
      </c>
      <c r="CJ103" s="8">
        <v>1.9480518996715546E-2</v>
      </c>
      <c r="CK103" s="8">
        <v>0.1492537260055542</v>
      </c>
      <c r="CL103" s="8">
        <v>-9.2550791800022125E-2</v>
      </c>
      <c r="CM103" s="9">
        <v>-1.2267307043075562</v>
      </c>
      <c r="CN103" s="9">
        <v>-0.15305589139461517</v>
      </c>
      <c r="CO103" s="9">
        <v>0.157755047082901</v>
      </c>
      <c r="CP103" s="9">
        <v>0.34285682439804077</v>
      </c>
      <c r="CQ103" s="9">
        <v>0.5487017035484314</v>
      </c>
      <c r="CR103">
        <v>37.673840693126337</v>
      </c>
      <c r="CS103">
        <v>8.1963866354353279</v>
      </c>
      <c r="CT103">
        <v>0</v>
      </c>
      <c r="CU103" s="8">
        <v>4.5963962376117704E-2</v>
      </c>
      <c r="CV103" s="9">
        <v>-6.6094604134559629E-2</v>
      </c>
      <c r="CW103">
        <v>0.06</v>
      </c>
      <c r="CX103" t="e">
        <v>#VALUE!</v>
      </c>
      <c r="CY103" t="s">
        <v>1223</v>
      </c>
      <c r="CZ103">
        <v>4.5963962376117704E-2</v>
      </c>
      <c r="DA103" t="e">
        <v>#VALUE!</v>
      </c>
      <c r="DB103" t="s">
        <v>1224</v>
      </c>
      <c r="DC103">
        <v>4.3665764257311813E-2</v>
      </c>
      <c r="DD103" t="e">
        <v>#VALUE!</v>
      </c>
      <c r="DE103" t="s">
        <v>1224</v>
      </c>
      <c r="DF103">
        <v>4.0448286890983579E-2</v>
      </c>
      <c r="DG103" t="e">
        <v>#VALUE!</v>
      </c>
      <c r="DH103" t="s">
        <v>1224</v>
      </c>
      <c r="DI103">
        <v>3.6771169900894164E-2</v>
      </c>
      <c r="DJ103" t="e">
        <v>#VALUE!</v>
      </c>
      <c r="DK103" t="s">
        <v>1224</v>
      </c>
      <c r="DL103">
        <v>3.2174773663282391E-2</v>
      </c>
      <c r="DM103">
        <v>-10680400</v>
      </c>
      <c r="DN103">
        <v>4.5963962376117704E-2</v>
      </c>
      <c r="DO103">
        <v>361260790</v>
      </c>
      <c r="DP103">
        <v>825735140</v>
      </c>
      <c r="DQ103">
        <v>4736</v>
      </c>
      <c r="DR103">
        <v>-5.1108074418637808E-2</v>
      </c>
      <c r="DS103">
        <v>-0.21098850845854078</v>
      </c>
      <c r="DT103" s="10">
        <v>-0.44</v>
      </c>
      <c r="DU103">
        <v>-1.2283333333333335</v>
      </c>
      <c r="DV103">
        <v>-1.6683333333333334</v>
      </c>
      <c r="DW103">
        <v>-2.1053000000000002</v>
      </c>
      <c r="DX103">
        <v>0.37571485588088804</v>
      </c>
      <c r="DY103">
        <v>-2.0142907743242575</v>
      </c>
      <c r="DZ103">
        <v>4143</v>
      </c>
      <c r="EA103">
        <v>-2.0026975340608155</v>
      </c>
      <c r="EB103">
        <v>2</v>
      </c>
      <c r="EC103">
        <v>3.1581012031504062E-2</v>
      </c>
      <c r="ED103">
        <v>0.23270121628557358</v>
      </c>
      <c r="EE103" s="11">
        <v>-5.00481</v>
      </c>
      <c r="EF103">
        <v>-5.0111100000000004</v>
      </c>
      <c r="EG103">
        <v>24.135714855880888</v>
      </c>
      <c r="EH103" t="s">
        <v>1708</v>
      </c>
      <c r="EI103">
        <v>0</v>
      </c>
      <c r="EJ103">
        <v>0</v>
      </c>
      <c r="EK103" s="13">
        <v>45489</v>
      </c>
      <c r="EL103" s="14">
        <v>-2.91</v>
      </c>
      <c r="EM103" s="14">
        <v>3.97</v>
      </c>
      <c r="EN103" s="14">
        <v>-1.39</v>
      </c>
      <c r="EO103" s="14">
        <v>-2.2000000000000002</v>
      </c>
      <c r="EP103" s="14">
        <v>-0.63</v>
      </c>
    </row>
    <row r="104" spans="1:146" ht="96" x14ac:dyDescent="0.25">
      <c r="A104" s="7"/>
      <c r="B104" s="7"/>
      <c r="C104" s="7" t="str">
        <f>""&amp;CHAR(10)&amp;Basic_Fundamental_Information_Constructure(F104)&amp;CHAR(10)&amp;Basic_Fundamental_Information_Concatenate("")</f>
        <v xml:space="preserve">
市值24.070253亿, 利润4115.38万; PE51.03; 平均PE35.23; 平均PEG1.35, PB1.9; ROIC6.485%; ROE3.9067%; 股利率.5293%; 毛利43.6867%; 净利16.2267%; 上一年度营收增25.05%, 利润增-58.02%; 当季营收增88.84%, 利润增104.98%; 过往5年营收增26.06%, 利润增.82%
Income profile:
</v>
      </c>
      <c r="D104" t="s">
        <v>154</v>
      </c>
      <c r="E104" t="s">
        <v>155</v>
      </c>
      <c r="F104">
        <v>35.65</v>
      </c>
      <c r="G104">
        <v>1.51</v>
      </c>
      <c r="H104" t="s">
        <v>3936</v>
      </c>
      <c r="I104">
        <v>2407025300</v>
      </c>
      <c r="J104">
        <v>51.03</v>
      </c>
      <c r="K104">
        <v>1.9</v>
      </c>
      <c r="L104" t="s">
        <v>1166</v>
      </c>
      <c r="M104" t="s">
        <v>976</v>
      </c>
      <c r="N104" t="s">
        <v>3297</v>
      </c>
      <c r="O104" t="s">
        <v>3298</v>
      </c>
      <c r="P104">
        <v>88.84</v>
      </c>
      <c r="Q104" t="s">
        <v>1251</v>
      </c>
      <c r="R104">
        <v>285176</v>
      </c>
      <c r="S104" s="5">
        <v>1.05</v>
      </c>
      <c r="T104" t="s">
        <v>3309</v>
      </c>
      <c r="U104">
        <v>67518240</v>
      </c>
      <c r="V104">
        <v>67518240</v>
      </c>
      <c r="W104">
        <v>1.37</v>
      </c>
      <c r="X104">
        <v>0.04</v>
      </c>
      <c r="Y104">
        <v>-9.31</v>
      </c>
      <c r="Z104" t="s">
        <v>177</v>
      </c>
      <c r="AA104" t="s">
        <v>3299</v>
      </c>
      <c r="AB104" t="s">
        <v>3300</v>
      </c>
      <c r="AC104" t="s">
        <v>3301</v>
      </c>
      <c r="AD104" t="s">
        <v>60</v>
      </c>
      <c r="AE104">
        <v>-473169</v>
      </c>
      <c r="AF104" t="s">
        <v>3302</v>
      </c>
      <c r="AG104">
        <v>4221.22</v>
      </c>
      <c r="AH104" t="s">
        <v>3303</v>
      </c>
      <c r="AI104" t="s">
        <v>774</v>
      </c>
      <c r="AJ104" t="s">
        <v>3304</v>
      </c>
      <c r="AK104" t="s">
        <v>60</v>
      </c>
      <c r="AL104" t="s">
        <v>3305</v>
      </c>
      <c r="AM104" t="s">
        <v>60</v>
      </c>
      <c r="AN104">
        <v>0</v>
      </c>
      <c r="AO104" t="s">
        <v>3306</v>
      </c>
      <c r="AP104" t="s">
        <v>60</v>
      </c>
      <c r="AQ104" t="s">
        <v>700</v>
      </c>
      <c r="AR104" t="s">
        <v>60</v>
      </c>
      <c r="AS104" t="s">
        <v>849</v>
      </c>
      <c r="AT104" t="s">
        <v>465</v>
      </c>
      <c r="AU104" t="s">
        <v>1031</v>
      </c>
      <c r="AV104" t="s">
        <v>3307</v>
      </c>
      <c r="AW104" t="s">
        <v>3308</v>
      </c>
      <c r="AX104" t="s">
        <v>1260</v>
      </c>
      <c r="AY104" t="s">
        <v>574</v>
      </c>
      <c r="AZ104" t="s">
        <v>301</v>
      </c>
      <c r="BA104" t="s">
        <v>573</v>
      </c>
      <c r="BB104" t="s">
        <v>470</v>
      </c>
      <c r="BC104" t="s">
        <v>1488</v>
      </c>
      <c r="BD104" t="s">
        <v>1212</v>
      </c>
      <c r="BE104" t="s">
        <v>962</v>
      </c>
      <c r="BF104" t="s">
        <v>646</v>
      </c>
      <c r="BG104" t="s">
        <v>963</v>
      </c>
      <c r="BH104" t="s">
        <v>1251</v>
      </c>
      <c r="BI104" t="s">
        <v>3937</v>
      </c>
      <c r="BJ104" t="s">
        <v>1260</v>
      </c>
      <c r="BK104" t="s">
        <v>3309</v>
      </c>
      <c r="BL104" t="s">
        <v>3938</v>
      </c>
      <c r="BM104" t="s">
        <v>1488</v>
      </c>
      <c r="BN104" t="s">
        <v>60</v>
      </c>
      <c r="BO104">
        <v>7.44</v>
      </c>
      <c r="BP104">
        <v>5.53</v>
      </c>
      <c r="BQ104">
        <v>-1.21</v>
      </c>
      <c r="BR104">
        <v>7.83</v>
      </c>
      <c r="BS104">
        <v>5.0999999999999996</v>
      </c>
      <c r="BT104" t="s">
        <v>3310</v>
      </c>
      <c r="BU104" t="s">
        <v>1166</v>
      </c>
      <c r="BV104">
        <v>42.8</v>
      </c>
      <c r="BW104">
        <v>43.54</v>
      </c>
      <c r="BX104">
        <v>44.72</v>
      </c>
      <c r="BY104">
        <v>8.6300000000000008</v>
      </c>
      <c r="BZ104">
        <v>21.69</v>
      </c>
      <c r="CA104">
        <v>18.36</v>
      </c>
      <c r="CB104">
        <v>-1.19</v>
      </c>
      <c r="CC104">
        <v>-19.89</v>
      </c>
      <c r="CD104" t="s">
        <v>3939</v>
      </c>
      <c r="CE104" t="s">
        <v>3940</v>
      </c>
      <c r="CF104" s="8">
        <v>0.88841136170533097</v>
      </c>
      <c r="CG104" s="9">
        <v>1.0497524381095273</v>
      </c>
      <c r="CH104" s="8">
        <v>0.25045046210289001</v>
      </c>
      <c r="CI104" s="8">
        <v>0.20390455424785614</v>
      </c>
      <c r="CJ104" s="8">
        <v>0.53156143426895142</v>
      </c>
      <c r="CK104" s="8">
        <v>1.0067113675177097E-2</v>
      </c>
      <c r="CL104" s="8">
        <v>0.30701753497123718</v>
      </c>
      <c r="CM104" s="9">
        <v>-0.58019137382507324</v>
      </c>
      <c r="CN104" s="9">
        <v>0.61086350679397583</v>
      </c>
      <c r="CO104" s="9">
        <v>-0.11604797840118408</v>
      </c>
      <c r="CP104" s="9">
        <v>-0.12057977914810181</v>
      </c>
      <c r="CQ104" s="9">
        <v>0.24708364903926849</v>
      </c>
      <c r="CR104">
        <v>35.229727020053069</v>
      </c>
      <c r="CS104">
        <v>1.3518686607361836</v>
      </c>
      <c r="CT104">
        <v>0.52931276297335206</v>
      </c>
      <c r="CU104" s="8">
        <v>0.26060021985322235</v>
      </c>
      <c r="CV104" s="9">
        <v>8.2256048917770386E-3</v>
      </c>
      <c r="CW104">
        <v>0.06</v>
      </c>
      <c r="CX104">
        <v>33.918235492204751</v>
      </c>
      <c r="CY104">
        <v>48941971.063958056</v>
      </c>
      <c r="CZ104">
        <v>0.26060021985322235</v>
      </c>
      <c r="DA104">
        <v>9.6212348319008321</v>
      </c>
      <c r="DB104">
        <v>172537655.40530258</v>
      </c>
      <c r="DC104">
        <v>0.24757020886056122</v>
      </c>
      <c r="DD104">
        <v>3.8767651840386175</v>
      </c>
      <c r="DE104">
        <v>428198567.92839587</v>
      </c>
      <c r="DF104">
        <v>0.22932819347083566</v>
      </c>
      <c r="DG104">
        <v>1.829007227328884</v>
      </c>
      <c r="DH104">
        <v>907610027.55813694</v>
      </c>
      <c r="DI104">
        <v>0.20848017588257789</v>
      </c>
      <c r="DJ104">
        <v>0.528735634443117</v>
      </c>
      <c r="DK104">
        <v>3139613053.9762034</v>
      </c>
      <c r="DL104">
        <v>0.18242015389725563</v>
      </c>
      <c r="DM104">
        <v>41153800</v>
      </c>
      <c r="DN104">
        <v>0.26060021985322235</v>
      </c>
      <c r="DO104">
        <v>1660025300</v>
      </c>
      <c r="DP104">
        <v>948883510</v>
      </c>
      <c r="DQ104">
        <v>4737</v>
      </c>
      <c r="DR104">
        <v>0.62781114185210862</v>
      </c>
      <c r="DS104">
        <v>1.0415268332177503</v>
      </c>
      <c r="DT104" s="10">
        <v>0.10999999999999995</v>
      </c>
      <c r="DU104">
        <v>0.23333333333333331</v>
      </c>
      <c r="DV104">
        <v>0.34333333333333327</v>
      </c>
      <c r="DW104">
        <v>-3.0439940476190475</v>
      </c>
      <c r="DX104">
        <v>0.29355129204659619</v>
      </c>
      <c r="DY104">
        <v>-3.004555640473312</v>
      </c>
      <c r="DZ104">
        <v>1050</v>
      </c>
      <c r="EA104">
        <v>-3.0036190000783685</v>
      </c>
      <c r="EB104">
        <v>3</v>
      </c>
      <c r="EC104">
        <v>6.7867586595859133E-2</v>
      </c>
      <c r="ED104">
        <v>0.65540067395121671</v>
      </c>
      <c r="EE104" s="11">
        <v>-3.00691</v>
      </c>
      <c r="EF104">
        <v>-3.0082</v>
      </c>
      <c r="EG104">
        <v>19.103551292046596</v>
      </c>
      <c r="EH104" t="s">
        <v>1402</v>
      </c>
      <c r="EI104">
        <v>0</v>
      </c>
      <c r="EJ104">
        <v>1</v>
      </c>
      <c r="EK104" s="13">
        <v>45489</v>
      </c>
      <c r="EL104" s="14">
        <v>-3.95</v>
      </c>
      <c r="EM104" s="14">
        <v>2.66</v>
      </c>
      <c r="EN104" s="14">
        <v>-2.69</v>
      </c>
      <c r="EO104" s="14">
        <v>-2.74</v>
      </c>
      <c r="EP104" s="14">
        <v>1.51</v>
      </c>
    </row>
    <row r="105" spans="1:146" ht="96" x14ac:dyDescent="0.25">
      <c r="A105" s="7"/>
      <c r="B105" s="7"/>
      <c r="C105" s="7" t="str">
        <f>""&amp;CHAR(10)&amp;Basic_Fundamental_Information_Constructure(F105)&amp;CHAR(10)&amp;Basic_Fundamental_Information_Concatenate("")</f>
        <v xml:space="preserve">
市值11.37528亿, 利润-1.07亿; PE; 平均PE-58.51; 平均PEG-14.13, PB2.18; ROIC0%; ROE-10.7933%; 股利率0%; 毛利66.5267%; 净利-70.9767%; 上一年度营收增4.31%, 利润增-31.75%; 当季营收增16.72%, 利润增21.49%; 过往5年营收增-4.14%, 利润增-81.95%
Income profile:
</v>
      </c>
      <c r="D105" t="s">
        <v>647</v>
      </c>
      <c r="E105" t="s">
        <v>648</v>
      </c>
      <c r="F105">
        <v>25.62</v>
      </c>
      <c r="G105">
        <v>0.59</v>
      </c>
      <c r="H105" t="s">
        <v>3941</v>
      </c>
      <c r="I105">
        <v>1137528000</v>
      </c>
      <c r="K105">
        <v>2.1800000000000002</v>
      </c>
      <c r="L105" t="s">
        <v>1166</v>
      </c>
      <c r="M105" t="s">
        <v>3311</v>
      </c>
      <c r="N105" t="s">
        <v>802</v>
      </c>
      <c r="O105" t="s">
        <v>3312</v>
      </c>
      <c r="P105">
        <v>16.72</v>
      </c>
      <c r="Q105" t="s">
        <v>490</v>
      </c>
      <c r="R105">
        <v>-13997306</v>
      </c>
      <c r="S105" s="5">
        <v>0.21490000000000001</v>
      </c>
      <c r="T105" t="s">
        <v>1646</v>
      </c>
      <c r="U105">
        <v>44400000</v>
      </c>
      <c r="V105">
        <v>44400000</v>
      </c>
      <c r="W105">
        <v>1.0900000000000001</v>
      </c>
      <c r="X105">
        <v>0.06</v>
      </c>
      <c r="Y105">
        <v>-37.18</v>
      </c>
      <c r="Z105" t="s">
        <v>3313</v>
      </c>
      <c r="AA105" t="s">
        <v>3314</v>
      </c>
      <c r="AB105" t="s">
        <v>3315</v>
      </c>
      <c r="AC105" t="s">
        <v>3316</v>
      </c>
      <c r="AD105" t="s">
        <v>60</v>
      </c>
      <c r="AE105">
        <v>-1754579</v>
      </c>
      <c r="AF105" t="s">
        <v>3317</v>
      </c>
      <c r="AG105">
        <v>9623.16</v>
      </c>
      <c r="AH105" t="s">
        <v>3318</v>
      </c>
      <c r="AI105" t="s">
        <v>821</v>
      </c>
      <c r="AJ105" t="s">
        <v>3319</v>
      </c>
      <c r="AK105" t="s">
        <v>60</v>
      </c>
      <c r="AL105" t="s">
        <v>3320</v>
      </c>
      <c r="AM105" t="s">
        <v>60</v>
      </c>
      <c r="AN105">
        <v>0</v>
      </c>
      <c r="AO105" t="s">
        <v>60</v>
      </c>
      <c r="AP105" t="s">
        <v>60</v>
      </c>
      <c r="AQ105" t="s">
        <v>3321</v>
      </c>
      <c r="AR105" t="s">
        <v>60</v>
      </c>
      <c r="AS105" t="s">
        <v>3322</v>
      </c>
      <c r="AT105" t="s">
        <v>60</v>
      </c>
      <c r="AU105" t="s">
        <v>3323</v>
      </c>
      <c r="AV105" t="s">
        <v>3324</v>
      </c>
      <c r="AW105" t="s">
        <v>3325</v>
      </c>
      <c r="AX105" t="s">
        <v>499</v>
      </c>
      <c r="AY105" t="s">
        <v>511</v>
      </c>
      <c r="AZ105" t="s">
        <v>217</v>
      </c>
      <c r="BA105" t="s">
        <v>584</v>
      </c>
      <c r="BB105" t="s">
        <v>186</v>
      </c>
      <c r="BC105" t="s">
        <v>3326</v>
      </c>
      <c r="BD105" t="s">
        <v>1213</v>
      </c>
      <c r="BE105" t="s">
        <v>964</v>
      </c>
      <c r="BF105" t="s">
        <v>649</v>
      </c>
      <c r="BG105" t="s">
        <v>965</v>
      </c>
      <c r="BH105" t="s">
        <v>490</v>
      </c>
      <c r="BI105" t="s">
        <v>3942</v>
      </c>
      <c r="BJ105" t="s">
        <v>499</v>
      </c>
      <c r="BK105" t="s">
        <v>1646</v>
      </c>
      <c r="BL105" t="s">
        <v>3943</v>
      </c>
      <c r="BM105" t="s">
        <v>3326</v>
      </c>
      <c r="BN105" t="s">
        <v>60</v>
      </c>
      <c r="BO105" t="s">
        <v>60</v>
      </c>
      <c r="BP105" t="s">
        <v>60</v>
      </c>
      <c r="BQ105">
        <v>-12.13</v>
      </c>
      <c r="BR105">
        <v>-11.24</v>
      </c>
      <c r="BS105">
        <v>-9.01</v>
      </c>
      <c r="BT105" t="s">
        <v>1343</v>
      </c>
      <c r="BU105" t="s">
        <v>1166</v>
      </c>
      <c r="BV105">
        <v>64.75</v>
      </c>
      <c r="BW105">
        <v>67.31</v>
      </c>
      <c r="BX105">
        <v>67.52</v>
      </c>
      <c r="BY105">
        <v>-88.32</v>
      </c>
      <c r="BZ105">
        <v>-69.8</v>
      </c>
      <c r="CA105">
        <v>-54.81</v>
      </c>
      <c r="CB105">
        <v>-2.84</v>
      </c>
      <c r="CC105">
        <v>0.95</v>
      </c>
      <c r="CD105" t="s">
        <v>3944</v>
      </c>
      <c r="CE105" t="s">
        <v>3945</v>
      </c>
      <c r="CF105" s="8">
        <v>0.16717359153947037</v>
      </c>
      <c r="CG105" s="9">
        <v>0.21492237453166715</v>
      </c>
      <c r="CH105" s="8">
        <v>4.3103449046611786E-2</v>
      </c>
      <c r="CI105" s="8">
        <v>-0.12781955301761627</v>
      </c>
      <c r="CJ105" s="8">
        <v>-4.316546767950058E-2</v>
      </c>
      <c r="CK105" s="8">
        <v>-0.15757575631141663</v>
      </c>
      <c r="CL105" s="8">
        <v>7.8431375324726105E-2</v>
      </c>
      <c r="CM105" s="9">
        <v>-0.31747931241989136</v>
      </c>
      <c r="CN105" s="9">
        <v>-0.11319181323051453</v>
      </c>
      <c r="CO105" s="9">
        <v>-3.3429548740386963</v>
      </c>
      <c r="CP105" s="9">
        <v>-0.48983824253082275</v>
      </c>
      <c r="CQ105" s="9">
        <v>0.16617245972156525</v>
      </c>
      <c r="CR105">
        <v>-58.506688885802909</v>
      </c>
      <c r="CS105">
        <v>-14.130278870962004</v>
      </c>
      <c r="CT105">
        <v>0</v>
      </c>
      <c r="CU105" s="8">
        <v>-4.1405190527439115E-2</v>
      </c>
      <c r="CV105" s="9">
        <v>-0.81945835649967191</v>
      </c>
      <c r="CW105">
        <v>0.06</v>
      </c>
      <c r="CX105" t="e">
        <v>#VALUE!</v>
      </c>
      <c r="CY105" t="s">
        <v>1223</v>
      </c>
      <c r="CZ105">
        <v>-4.1405190527439115E-2</v>
      </c>
      <c r="DA105" t="e">
        <v>#VALUE!</v>
      </c>
      <c r="DB105" t="s">
        <v>1224</v>
      </c>
      <c r="DC105">
        <v>-3.9334931001067157E-2</v>
      </c>
      <c r="DD105" t="e">
        <v>#VALUE!</v>
      </c>
      <c r="DE105" t="s">
        <v>1224</v>
      </c>
      <c r="DF105">
        <v>-3.6436567664146421E-2</v>
      </c>
      <c r="DG105" t="e">
        <v>#VALUE!</v>
      </c>
      <c r="DH105" t="s">
        <v>1224</v>
      </c>
      <c r="DI105">
        <v>-3.312415242195129E-2</v>
      </c>
      <c r="DJ105" t="e">
        <v>#VALUE!</v>
      </c>
      <c r="DK105" t="s">
        <v>1224</v>
      </c>
      <c r="DL105">
        <v>-2.8983633369207378E-2</v>
      </c>
      <c r="DM105">
        <v>-107000000</v>
      </c>
      <c r="DN105">
        <v>-4.1405190527439115E-2</v>
      </c>
      <c r="DO105">
        <v>669049800</v>
      </c>
      <c r="DP105">
        <v>408488330</v>
      </c>
      <c r="DQ105">
        <v>4738</v>
      </c>
      <c r="DR105">
        <v>0.2085787820669095</v>
      </c>
      <c r="DS105">
        <v>1.0343807310313391</v>
      </c>
      <c r="DT105" s="10">
        <v>-0.55666666666666664</v>
      </c>
      <c r="DU105">
        <v>-1.9383333333333332</v>
      </c>
      <c r="DV105">
        <v>-2.4950000000000001</v>
      </c>
      <c r="DW105">
        <v>-4.334507042253521</v>
      </c>
      <c r="DX105">
        <v>0.24343899995946913</v>
      </c>
      <c r="DY105">
        <v>-4.0279109330850345</v>
      </c>
      <c r="DZ105">
        <v>4660</v>
      </c>
      <c r="EA105">
        <v>-4.002442958114159</v>
      </c>
      <c r="EB105">
        <v>4</v>
      </c>
      <c r="EC105">
        <v>3.2457207207207212E-2</v>
      </c>
      <c r="ED105">
        <v>0.38899324324324325</v>
      </c>
      <c r="EE105" s="11">
        <v>-4.0848000000000004</v>
      </c>
      <c r="EF105">
        <v>-4.0907</v>
      </c>
      <c r="EG105">
        <v>16.083438999959469</v>
      </c>
      <c r="EH105" t="s">
        <v>1630</v>
      </c>
      <c r="EI105">
        <v>0</v>
      </c>
      <c r="EJ105">
        <v>0</v>
      </c>
      <c r="EK105" s="13">
        <v>45489</v>
      </c>
      <c r="EL105" s="14">
        <v>-2.13</v>
      </c>
      <c r="EM105" s="14">
        <v>3.8</v>
      </c>
      <c r="EN105" s="14">
        <v>-1.22</v>
      </c>
      <c r="EO105" s="14">
        <v>-4.6399999999999997</v>
      </c>
      <c r="EP105" s="14">
        <v>0.59</v>
      </c>
    </row>
    <row r="106" spans="1:146" ht="108" x14ac:dyDescent="0.25">
      <c r="A106" s="7"/>
      <c r="B106" s="7"/>
      <c r="C106" s="7" t="str">
        <f>""&amp;CHAR(10)&amp;Basic_Fundamental_Information_Constructure(F106)&amp;CHAR(10)&amp;Basic_Fundamental_Information_Concatenate("")</f>
        <v xml:space="preserve">
市值25.161243亿, 利润5616.05万; PE37.94; 平均PE50.32; 平均PEG3.8, PB2.41; ROIC4.32%; ROE5.2367%; 股利率.9566%; 毛利50.03%; 净利17.47%; 上一年度营收增13.48%, 利润增10.11%; 当季营收增8.9%, 利润增149.98%; 过往5年营收增13.23%, 利润增4.94%
Income profile:
</v>
      </c>
      <c r="D106" t="s">
        <v>73</v>
      </c>
      <c r="E106" t="s">
        <v>74</v>
      </c>
      <c r="F106">
        <v>20.77</v>
      </c>
      <c r="G106">
        <v>1.71</v>
      </c>
      <c r="H106" t="s">
        <v>3946</v>
      </c>
      <c r="I106">
        <v>2516124300</v>
      </c>
      <c r="J106">
        <v>37.94</v>
      </c>
      <c r="K106">
        <v>2.41</v>
      </c>
      <c r="L106" t="s">
        <v>1166</v>
      </c>
      <c r="M106" t="s">
        <v>234</v>
      </c>
      <c r="N106" t="s">
        <v>305</v>
      </c>
      <c r="O106" t="s">
        <v>3327</v>
      </c>
      <c r="P106">
        <v>8.9</v>
      </c>
      <c r="Q106" t="s">
        <v>219</v>
      </c>
      <c r="R106">
        <v>16923969</v>
      </c>
      <c r="S106" s="5">
        <v>1.5</v>
      </c>
      <c r="T106" t="s">
        <v>1897</v>
      </c>
      <c r="U106">
        <v>121142237</v>
      </c>
      <c r="V106">
        <v>121142237</v>
      </c>
      <c r="W106">
        <v>1.38</v>
      </c>
      <c r="X106">
        <v>0.04</v>
      </c>
      <c r="Y106">
        <v>28.45</v>
      </c>
      <c r="Z106" t="s">
        <v>3328</v>
      </c>
      <c r="AA106" t="s">
        <v>3329</v>
      </c>
      <c r="AB106" t="s">
        <v>3330</v>
      </c>
      <c r="AC106" t="s">
        <v>3331</v>
      </c>
      <c r="AD106" t="s">
        <v>60</v>
      </c>
      <c r="AE106">
        <v>607284</v>
      </c>
      <c r="AF106" t="s">
        <v>3332</v>
      </c>
      <c r="AG106">
        <v>71.010000000000005</v>
      </c>
      <c r="AH106" t="s">
        <v>3333</v>
      </c>
      <c r="AI106" t="s">
        <v>569</v>
      </c>
      <c r="AJ106" t="s">
        <v>3334</v>
      </c>
      <c r="AK106" t="s">
        <v>3335</v>
      </c>
      <c r="AL106" t="s">
        <v>3336</v>
      </c>
      <c r="AM106" t="s">
        <v>60</v>
      </c>
      <c r="AN106">
        <v>0</v>
      </c>
      <c r="AO106" t="s">
        <v>541</v>
      </c>
      <c r="AP106" t="s">
        <v>60</v>
      </c>
      <c r="AQ106" t="s">
        <v>3337</v>
      </c>
      <c r="AR106" t="s">
        <v>3338</v>
      </c>
      <c r="AS106" t="s">
        <v>229</v>
      </c>
      <c r="AT106" t="s">
        <v>3339</v>
      </c>
      <c r="AU106" t="s">
        <v>3340</v>
      </c>
      <c r="AV106" t="s">
        <v>3341</v>
      </c>
      <c r="AW106" t="s">
        <v>3342</v>
      </c>
      <c r="AX106" t="s">
        <v>319</v>
      </c>
      <c r="AY106" t="s">
        <v>854</v>
      </c>
      <c r="AZ106" t="s">
        <v>505</v>
      </c>
      <c r="BA106" t="s">
        <v>368</v>
      </c>
      <c r="BB106" t="s">
        <v>476</v>
      </c>
      <c r="BC106" t="s">
        <v>1490</v>
      </c>
      <c r="BD106" t="s">
        <v>1214</v>
      </c>
      <c r="BE106" t="s">
        <v>966</v>
      </c>
      <c r="BF106" t="s">
        <v>650</v>
      </c>
      <c r="BG106" t="s">
        <v>967</v>
      </c>
      <c r="BH106" t="s">
        <v>219</v>
      </c>
      <c r="BI106" t="s">
        <v>3947</v>
      </c>
      <c r="BJ106" t="s">
        <v>319</v>
      </c>
      <c r="BK106" t="s">
        <v>1897</v>
      </c>
      <c r="BL106" t="s">
        <v>3948</v>
      </c>
      <c r="BM106" t="s">
        <v>1490</v>
      </c>
      <c r="BN106">
        <v>4.5</v>
      </c>
      <c r="BO106">
        <v>4.16</v>
      </c>
      <c r="BP106">
        <v>4.3</v>
      </c>
      <c r="BQ106">
        <v>5.44</v>
      </c>
      <c r="BR106">
        <v>5.59</v>
      </c>
      <c r="BS106">
        <v>4.68</v>
      </c>
      <c r="BT106" t="s">
        <v>3343</v>
      </c>
      <c r="BU106" t="s">
        <v>1166</v>
      </c>
      <c r="BV106">
        <v>46.16</v>
      </c>
      <c r="BW106">
        <v>51.11</v>
      </c>
      <c r="BX106">
        <v>52.82</v>
      </c>
      <c r="BY106">
        <v>18.09</v>
      </c>
      <c r="BZ106">
        <v>16.48</v>
      </c>
      <c r="CA106">
        <v>17.84</v>
      </c>
      <c r="CB106">
        <v>-3.37</v>
      </c>
      <c r="CC106">
        <v>-21.16</v>
      </c>
      <c r="CD106" t="s">
        <v>3949</v>
      </c>
      <c r="CE106" t="s">
        <v>3950</v>
      </c>
      <c r="CF106" s="8">
        <v>8.8974777184289658E-2</v>
      </c>
      <c r="CG106" s="9">
        <v>1.4998107856604777</v>
      </c>
      <c r="CH106" s="8">
        <v>0.13475176692008972</v>
      </c>
      <c r="CI106" s="8">
        <v>0.18987341225147247</v>
      </c>
      <c r="CJ106" s="8">
        <v>0.19696970283985138</v>
      </c>
      <c r="CK106" s="8">
        <v>-7.0422537624835968E-2</v>
      </c>
      <c r="CL106" s="8">
        <v>0.21022726595401764</v>
      </c>
      <c r="CM106" s="9">
        <v>0.10107832401990891</v>
      </c>
      <c r="CN106" s="9">
        <v>0.21012610197067261</v>
      </c>
      <c r="CO106" s="9">
        <v>-0.27396893501281738</v>
      </c>
      <c r="CP106" s="9">
        <v>0.41335219144821167</v>
      </c>
      <c r="CQ106" s="9">
        <v>-0.2036321759223938</v>
      </c>
      <c r="CR106">
        <v>50.319131391240582</v>
      </c>
      <c r="CS106">
        <v>3.8039885875747768</v>
      </c>
      <c r="CT106">
        <v>0.95662012518054895</v>
      </c>
      <c r="CU106" s="8">
        <v>0.13227992206811906</v>
      </c>
      <c r="CV106" s="9">
        <v>4.9391101300716403E-2</v>
      </c>
      <c r="CW106">
        <v>0.06</v>
      </c>
      <c r="CX106">
        <v>29.290283691289549</v>
      </c>
      <c r="CY106">
        <v>59990006.19179868</v>
      </c>
      <c r="CZ106">
        <v>0.13227992206811906</v>
      </c>
      <c r="DA106">
        <v>9.2367697442492549</v>
      </c>
      <c r="DB106">
        <v>190231471.46154344</v>
      </c>
      <c r="DC106">
        <v>0.1256659259647131</v>
      </c>
      <c r="DD106">
        <v>4.3322324376745449</v>
      </c>
      <c r="DE106">
        <v>405593265.1995905</v>
      </c>
      <c r="DF106">
        <v>0.11640633141994478</v>
      </c>
      <c r="DG106">
        <v>2.4608034120710625</v>
      </c>
      <c r="DH106">
        <v>714044970.58997822</v>
      </c>
      <c r="DI106">
        <v>0.10582393765449526</v>
      </c>
      <c r="DJ106">
        <v>1.1210483816348584</v>
      </c>
      <c r="DK106">
        <v>1567393815.2763157</v>
      </c>
      <c r="DL106">
        <v>9.2595945447683334E-2</v>
      </c>
      <c r="DM106">
        <v>56160500</v>
      </c>
      <c r="DN106">
        <v>0.13227992206811906</v>
      </c>
      <c r="DO106">
        <v>1757124300</v>
      </c>
      <c r="DP106">
        <v>447639570</v>
      </c>
      <c r="DQ106">
        <v>4760</v>
      </c>
      <c r="DR106">
        <v>-4.3305144883829402E-2</v>
      </c>
      <c r="DS106">
        <v>1.4504196843597612</v>
      </c>
      <c r="DT106" s="10">
        <v>-5.6666666666666719E-2</v>
      </c>
      <c r="DU106">
        <v>3.3333333333333326E-2</v>
      </c>
      <c r="DV106">
        <v>-2.3333333333333393E-2</v>
      </c>
      <c r="DW106">
        <v>-8.1592627599243848</v>
      </c>
      <c r="DX106">
        <v>0.36409502579913294</v>
      </c>
      <c r="DY106">
        <v>-8.0277268542978764</v>
      </c>
      <c r="DZ106">
        <v>1846</v>
      </c>
      <c r="EA106">
        <v>-8.0177045764373158</v>
      </c>
      <c r="EB106">
        <v>8</v>
      </c>
      <c r="EC106">
        <v>7.1690933031061665E-2</v>
      </c>
      <c r="ED106">
        <v>0.41179196649637567</v>
      </c>
      <c r="EE106" s="11">
        <v>4.0052000000000003</v>
      </c>
      <c r="EF106">
        <v>4.0223000000000004</v>
      </c>
      <c r="EG106">
        <v>19.174095025799133</v>
      </c>
      <c r="EH106" t="s">
        <v>3719</v>
      </c>
      <c r="EI106">
        <v>0</v>
      </c>
      <c r="EJ106">
        <v>0</v>
      </c>
      <c r="EK106" s="13">
        <v>45489</v>
      </c>
      <c r="EL106" s="14">
        <v>-2.15</v>
      </c>
      <c r="EM106" s="14">
        <v>5.03</v>
      </c>
      <c r="EN106" s="14">
        <v>-3.71</v>
      </c>
      <c r="EO106" s="14">
        <v>-4.13</v>
      </c>
      <c r="EP106" s="14">
        <v>1.71</v>
      </c>
    </row>
    <row r="107" spans="1:146" ht="96" x14ac:dyDescent="0.25">
      <c r="A107" s="7"/>
      <c r="B107" s="7"/>
      <c r="C107" s="7" t="str">
        <f>""&amp;CHAR(10)&amp;Basic_Fundamental_Information_Constructure(F107)&amp;CHAR(10)&amp;Basic_Fundamental_Information_Concatenate("")</f>
        <v xml:space="preserve">
市值13.695464亿, 利润-1.70亿; PE; 平均PE-6.85; 平均PEG-1.21, PB7.96; ROIC0%; ROE-49.6067%; 股利率0%; 毛利13.6467%; 净利-65.9733%; 上一年度营收增10.16%, 利润增30.33%; 当季营收增8.99%, 利润增83.57%; 过往5年营收增5.68%, 利润增-8.56%
Income profile:
</v>
      </c>
      <c r="D107" t="s">
        <v>968</v>
      </c>
      <c r="E107" t="s">
        <v>969</v>
      </c>
      <c r="F107">
        <v>28.66</v>
      </c>
      <c r="G107">
        <v>1.34</v>
      </c>
      <c r="H107" t="s">
        <v>3951</v>
      </c>
      <c r="I107">
        <v>1369546400</v>
      </c>
      <c r="K107">
        <v>7.96</v>
      </c>
      <c r="L107" t="s">
        <v>1166</v>
      </c>
      <c r="M107" t="s">
        <v>785</v>
      </c>
      <c r="N107" t="s">
        <v>429</v>
      </c>
      <c r="O107" t="s">
        <v>3345</v>
      </c>
      <c r="P107">
        <v>8.99</v>
      </c>
      <c r="Q107" t="s">
        <v>735</v>
      </c>
      <c r="R107">
        <v>-7592333</v>
      </c>
      <c r="S107" s="5">
        <v>0.8357</v>
      </c>
      <c r="T107" t="s">
        <v>3358</v>
      </c>
      <c r="U107">
        <v>35930519</v>
      </c>
      <c r="V107">
        <v>47785987</v>
      </c>
      <c r="W107">
        <v>3.14</v>
      </c>
      <c r="X107">
        <v>0.13</v>
      </c>
      <c r="Y107">
        <v>-10.52</v>
      </c>
      <c r="Z107" t="s">
        <v>3346</v>
      </c>
      <c r="AA107" t="s">
        <v>3347</v>
      </c>
      <c r="AB107" t="s">
        <v>3348</v>
      </c>
      <c r="AC107" t="s">
        <v>3349</v>
      </c>
      <c r="AD107" t="s">
        <v>60</v>
      </c>
      <c r="AE107">
        <v>2187581</v>
      </c>
      <c r="AF107" t="s">
        <v>3350</v>
      </c>
      <c r="AG107" t="s">
        <v>60</v>
      </c>
      <c r="AH107" t="s">
        <v>3351</v>
      </c>
      <c r="AI107" t="s">
        <v>275</v>
      </c>
      <c r="AJ107" t="s">
        <v>3352</v>
      </c>
      <c r="AK107" t="s">
        <v>60</v>
      </c>
      <c r="AL107" t="s">
        <v>3353</v>
      </c>
      <c r="AM107" t="s">
        <v>60</v>
      </c>
      <c r="AN107">
        <v>0</v>
      </c>
      <c r="AO107" t="s">
        <v>788</v>
      </c>
      <c r="AP107" t="s">
        <v>60</v>
      </c>
      <c r="AQ107" t="s">
        <v>3354</v>
      </c>
      <c r="AR107" t="s">
        <v>60</v>
      </c>
      <c r="AS107" t="s">
        <v>270</v>
      </c>
      <c r="AT107" t="s">
        <v>60</v>
      </c>
      <c r="AU107" t="s">
        <v>3355</v>
      </c>
      <c r="AV107" t="s">
        <v>3356</v>
      </c>
      <c r="AW107" t="s">
        <v>3357</v>
      </c>
      <c r="AX107" t="s">
        <v>172</v>
      </c>
      <c r="AY107" t="s">
        <v>980</v>
      </c>
      <c r="AZ107" t="s">
        <v>568</v>
      </c>
      <c r="BA107" t="s">
        <v>849</v>
      </c>
      <c r="BB107" t="s">
        <v>319</v>
      </c>
      <c r="BC107" t="s">
        <v>1491</v>
      </c>
      <c r="BD107" t="s">
        <v>766</v>
      </c>
      <c r="BE107" t="s">
        <v>970</v>
      </c>
      <c r="BF107" t="s">
        <v>971</v>
      </c>
      <c r="BG107" t="s">
        <v>614</v>
      </c>
      <c r="BH107" t="s">
        <v>735</v>
      </c>
      <c r="BI107" t="s">
        <v>3952</v>
      </c>
      <c r="BJ107" t="s">
        <v>172</v>
      </c>
      <c r="BK107" t="s">
        <v>3358</v>
      </c>
      <c r="BL107" t="s">
        <v>3953</v>
      </c>
      <c r="BM107" t="s">
        <v>1491</v>
      </c>
      <c r="BN107" t="s">
        <v>60</v>
      </c>
      <c r="BO107" t="s">
        <v>60</v>
      </c>
      <c r="BP107" t="s">
        <v>60</v>
      </c>
      <c r="BQ107">
        <v>-44.7</v>
      </c>
      <c r="BR107">
        <v>-53.11</v>
      </c>
      <c r="BS107">
        <v>-51.01</v>
      </c>
      <c r="BT107" t="s">
        <v>1343</v>
      </c>
      <c r="BU107" t="s">
        <v>1166</v>
      </c>
      <c r="BV107">
        <v>24.66</v>
      </c>
      <c r="BW107">
        <v>12</v>
      </c>
      <c r="BX107">
        <v>4.28</v>
      </c>
      <c r="BY107">
        <v>-50.74</v>
      </c>
      <c r="BZ107">
        <v>-80.040000000000006</v>
      </c>
      <c r="CA107">
        <v>-67.14</v>
      </c>
      <c r="CB107">
        <v>-0.14000000000000001</v>
      </c>
      <c r="CC107">
        <v>-16.93</v>
      </c>
      <c r="CD107" t="s">
        <v>3954</v>
      </c>
      <c r="CE107" t="s">
        <v>3955</v>
      </c>
      <c r="CF107" s="8">
        <v>8.9883375283969794E-2</v>
      </c>
      <c r="CG107" s="9">
        <v>0.83571712647408847</v>
      </c>
      <c r="CH107" s="8">
        <v>0.10163934528827667</v>
      </c>
      <c r="CI107" s="8">
        <v>-0.28066039085388184</v>
      </c>
      <c r="CJ107" s="8">
        <v>-1.1655011214315891E-2</v>
      </c>
      <c r="CK107" s="8">
        <v>0.13793103396892548</v>
      </c>
      <c r="CL107" s="8">
        <v>0.3368794322013855</v>
      </c>
      <c r="CM107" s="9">
        <v>0.30327868461608887</v>
      </c>
      <c r="CN107" s="9">
        <v>0.13780918717384338</v>
      </c>
      <c r="CO107" s="9">
        <v>-0.73619633913040161</v>
      </c>
      <c r="CP107" s="9">
        <v>0.14210526645183563</v>
      </c>
      <c r="CQ107" s="9">
        <v>-0.2751677930355072</v>
      </c>
      <c r="CR107">
        <v>-6.8534432026688901</v>
      </c>
      <c r="CS107">
        <v>-1.2060213364113388</v>
      </c>
      <c r="CT107">
        <v>0</v>
      </c>
      <c r="CU107" s="8">
        <v>5.6826881878077981E-2</v>
      </c>
      <c r="CV107" s="9">
        <v>-8.5634198784828183E-2</v>
      </c>
      <c r="CW107">
        <v>0.06</v>
      </c>
      <c r="CX107" t="e">
        <v>#VALUE!</v>
      </c>
      <c r="CY107" t="s">
        <v>1223</v>
      </c>
      <c r="CZ107">
        <v>5.6826881878077981E-2</v>
      </c>
      <c r="DA107" t="e">
        <v>#VALUE!</v>
      </c>
      <c r="DB107" t="s">
        <v>1224</v>
      </c>
      <c r="DC107">
        <v>5.398553778417408E-2</v>
      </c>
      <c r="DD107" t="e">
        <v>#VALUE!</v>
      </c>
      <c r="DE107" t="s">
        <v>1224</v>
      </c>
      <c r="DF107">
        <v>5.0007656052708627E-2</v>
      </c>
      <c r="DG107" t="e">
        <v>#VALUE!</v>
      </c>
      <c r="DH107" t="s">
        <v>1224</v>
      </c>
      <c r="DI107">
        <v>4.546150550246239E-2</v>
      </c>
      <c r="DJ107" t="e">
        <v>#VALUE!</v>
      </c>
      <c r="DK107" t="s">
        <v>1224</v>
      </c>
      <c r="DL107">
        <v>3.9778817314654581E-2</v>
      </c>
      <c r="DM107">
        <v>-170000000</v>
      </c>
      <c r="DN107">
        <v>5.6826881878077981E-2</v>
      </c>
      <c r="DO107">
        <v>1642546400</v>
      </c>
      <c r="DP107">
        <v>48214750</v>
      </c>
      <c r="DQ107">
        <v>4812</v>
      </c>
      <c r="DR107">
        <v>3.3056493405891813E-2</v>
      </c>
      <c r="DS107">
        <v>0.92135132525891661</v>
      </c>
      <c r="DT107" s="10">
        <v>-0.49</v>
      </c>
      <c r="DU107">
        <v>-2.3016666666666663</v>
      </c>
      <c r="DV107">
        <v>-2.7916666666666661</v>
      </c>
      <c r="DW107">
        <v>-3.0105178571428572</v>
      </c>
      <c r="DX107">
        <v>0.30977045186341329</v>
      </c>
      <c r="DY107">
        <v>-3.0012597285026348</v>
      </c>
      <c r="DZ107">
        <v>4810</v>
      </c>
      <c r="EA107">
        <v>-3.0000732601067717</v>
      </c>
      <c r="EB107">
        <v>3</v>
      </c>
      <c r="EC107">
        <v>5.2672345137498154E-2</v>
      </c>
      <c r="ED107">
        <v>0.43977746028349274</v>
      </c>
      <c r="EE107" s="11">
        <v>9.7309999999999994E-2</v>
      </c>
      <c r="EF107">
        <v>8.3909999999999998E-2</v>
      </c>
      <c r="EG107">
        <v>19.119770451863413</v>
      </c>
      <c r="EH107">
        <v>-1</v>
      </c>
      <c r="EI107">
        <v>0</v>
      </c>
      <c r="EJ107">
        <v>0</v>
      </c>
      <c r="EK107" s="13">
        <v>45489</v>
      </c>
      <c r="EL107" s="14">
        <v>-2.37</v>
      </c>
      <c r="EM107" s="14">
        <v>4.33</v>
      </c>
      <c r="EN107">
        <v>-1.32</v>
      </c>
      <c r="EO107">
        <v>-3.32</v>
      </c>
      <c r="EP107">
        <v>1.34</v>
      </c>
    </row>
    <row r="108" spans="1:146" ht="96" x14ac:dyDescent="0.25">
      <c r="A108" s="7"/>
      <c r="B108" s="7"/>
      <c r="C108" s="7" t="str">
        <f>""&amp;CHAR(10)&amp;Basic_Fundamental_Information_Constructure(F108)&amp;CHAR(10)&amp;Basic_Fundamental_Information_Concatenate("")</f>
        <v xml:space="preserve">
市值114.374348亿, 利润-6.43亿; PE; 平均PE-18.16; 平均PEG-1.28, PB7.52; ROIC0%; ROE-39.8867%; 股利率0%; 毛利41.09%; 净利-113.4967%; 上一年度营收增19.39%, 利润增26.01%; 当季营收增19.99%, 利润增-11.58%; 过往5年营收增14.22%, 利润增-53.97%
Income profile:
</v>
      </c>
      <c r="D108" t="s">
        <v>1215</v>
      </c>
      <c r="E108" t="s">
        <v>1285</v>
      </c>
      <c r="F108">
        <v>11.03</v>
      </c>
      <c r="G108">
        <v>2.5099999999999998</v>
      </c>
      <c r="H108" t="s">
        <v>3956</v>
      </c>
      <c r="I108">
        <v>11437434800</v>
      </c>
      <c r="K108">
        <v>7.52</v>
      </c>
      <c r="L108" t="s">
        <v>1166</v>
      </c>
      <c r="M108" t="s">
        <v>1654</v>
      </c>
      <c r="N108" t="s">
        <v>680</v>
      </c>
      <c r="O108" t="s">
        <v>3359</v>
      </c>
      <c r="P108">
        <v>19.989999999999998</v>
      </c>
      <c r="Q108" t="s">
        <v>1440</v>
      </c>
      <c r="R108">
        <v>-160668730</v>
      </c>
      <c r="S108" s="5">
        <v>-0.1162</v>
      </c>
      <c r="T108" t="s">
        <v>3372</v>
      </c>
      <c r="U108">
        <v>752008860</v>
      </c>
      <c r="V108">
        <v>1036938790</v>
      </c>
      <c r="W108">
        <v>2.0099999999999998</v>
      </c>
      <c r="X108">
        <v>0.02</v>
      </c>
      <c r="Y108">
        <v>-301.86</v>
      </c>
      <c r="Z108" t="s">
        <v>382</v>
      </c>
      <c r="AA108" t="s">
        <v>3360</v>
      </c>
      <c r="AB108" t="s">
        <v>3361</v>
      </c>
      <c r="AC108" t="s">
        <v>3362</v>
      </c>
      <c r="AD108" t="s">
        <v>60</v>
      </c>
      <c r="AE108">
        <v>-235396</v>
      </c>
      <c r="AF108" t="s">
        <v>3363</v>
      </c>
      <c r="AG108" t="s">
        <v>3364</v>
      </c>
      <c r="AH108" t="s">
        <v>3365</v>
      </c>
      <c r="AI108" t="s">
        <v>1005</v>
      </c>
      <c r="AJ108" t="s">
        <v>3366</v>
      </c>
      <c r="AK108" t="s">
        <v>3367</v>
      </c>
      <c r="AL108" t="s">
        <v>3368</v>
      </c>
      <c r="AM108" t="s">
        <v>60</v>
      </c>
      <c r="AN108">
        <v>0</v>
      </c>
      <c r="AO108" t="s">
        <v>617</v>
      </c>
      <c r="AP108" t="s">
        <v>3369</v>
      </c>
      <c r="AQ108" t="s">
        <v>364</v>
      </c>
      <c r="AR108" t="s">
        <v>60</v>
      </c>
      <c r="AS108" t="s">
        <v>1415</v>
      </c>
      <c r="AT108" t="s">
        <v>60</v>
      </c>
      <c r="AU108" t="s">
        <v>3370</v>
      </c>
      <c r="AV108" t="s">
        <v>3371</v>
      </c>
      <c r="AW108" t="s">
        <v>447</v>
      </c>
      <c r="AX108" t="s">
        <v>521</v>
      </c>
      <c r="AY108" t="s">
        <v>565</v>
      </c>
      <c r="AZ108" t="s">
        <v>1008</v>
      </c>
      <c r="BA108" t="s">
        <v>367</v>
      </c>
      <c r="BB108" t="s">
        <v>714</v>
      </c>
      <c r="BC108" t="s">
        <v>1492</v>
      </c>
      <c r="BD108" t="s">
        <v>1182</v>
      </c>
      <c r="BE108" t="s">
        <v>1216</v>
      </c>
      <c r="BF108" t="s">
        <v>1122</v>
      </c>
      <c r="BG108" t="s">
        <v>1137</v>
      </c>
      <c r="BH108" t="s">
        <v>1440</v>
      </c>
      <c r="BI108" t="s">
        <v>3957</v>
      </c>
      <c r="BJ108" t="s">
        <v>521</v>
      </c>
      <c r="BK108" t="s">
        <v>3372</v>
      </c>
      <c r="BL108" t="s">
        <v>3958</v>
      </c>
      <c r="BM108" t="s">
        <v>1492</v>
      </c>
      <c r="BN108" t="s">
        <v>60</v>
      </c>
      <c r="BO108" t="s">
        <v>60</v>
      </c>
      <c r="BP108" t="s">
        <v>60</v>
      </c>
      <c r="BQ108">
        <v>-20.71</v>
      </c>
      <c r="BR108">
        <v>-53.4</v>
      </c>
      <c r="BS108">
        <v>-45.55</v>
      </c>
      <c r="BT108" t="s">
        <v>1343</v>
      </c>
      <c r="BU108" t="s">
        <v>1166</v>
      </c>
      <c r="BV108">
        <v>52.2</v>
      </c>
      <c r="BW108">
        <v>34.06</v>
      </c>
      <c r="BX108">
        <v>37.01</v>
      </c>
      <c r="BY108">
        <v>-104.66</v>
      </c>
      <c r="BZ108">
        <v>-174.08</v>
      </c>
      <c r="CA108">
        <v>-61.75</v>
      </c>
      <c r="CB108">
        <v>0.55000000000000004</v>
      </c>
      <c r="CC108">
        <v>1.57</v>
      </c>
      <c r="CD108" t="s">
        <v>3959</v>
      </c>
      <c r="CE108" t="s">
        <v>950</v>
      </c>
      <c r="CF108" s="8">
        <v>0.19989545701165834</v>
      </c>
      <c r="CG108" s="9">
        <v>-0.11575506944444444</v>
      </c>
      <c r="CH108" s="8">
        <v>0.19391635060310364</v>
      </c>
      <c r="CI108" s="8">
        <v>-0.51115238666534424</v>
      </c>
      <c r="CJ108" s="8">
        <v>0.4251655638217926</v>
      </c>
      <c r="CK108" s="8">
        <v>-6.4436182379722595E-2</v>
      </c>
      <c r="CL108" s="8">
        <v>0.66735535860061646</v>
      </c>
      <c r="CM108" s="9">
        <v>0.26006904244422913</v>
      </c>
      <c r="CN108" s="9">
        <v>-0.375</v>
      </c>
      <c r="CO108" s="9">
        <v>0.22263222932815552</v>
      </c>
      <c r="CP108" s="9">
        <v>-0.27031248807907104</v>
      </c>
      <c r="CQ108" s="9">
        <v>-2.5359115600585937</v>
      </c>
      <c r="CR108">
        <v>-18.164269137109581</v>
      </c>
      <c r="CS108">
        <v>-1.2776466381240843</v>
      </c>
      <c r="CT108">
        <v>0</v>
      </c>
      <c r="CU108" s="8">
        <v>0.14216974079608918</v>
      </c>
      <c r="CV108" s="9">
        <v>-0.53970455527305605</v>
      </c>
      <c r="CW108">
        <v>0.06</v>
      </c>
      <c r="CX108" t="e">
        <v>#VALUE!</v>
      </c>
      <c r="CY108" t="s">
        <v>1223</v>
      </c>
      <c r="CZ108">
        <v>0.14216974079608918</v>
      </c>
      <c r="DA108" t="e">
        <v>#VALUE!</v>
      </c>
      <c r="DB108" t="s">
        <v>1224</v>
      </c>
      <c r="DC108">
        <v>0.13506125375628472</v>
      </c>
      <c r="DD108" t="e">
        <v>#VALUE!</v>
      </c>
      <c r="DE108" t="s">
        <v>1224</v>
      </c>
      <c r="DF108">
        <v>0.12510937190055849</v>
      </c>
      <c r="DG108" t="e">
        <v>#VALUE!</v>
      </c>
      <c r="DH108" t="s">
        <v>1224</v>
      </c>
      <c r="DI108">
        <v>0.11373579263687135</v>
      </c>
      <c r="DJ108" t="e">
        <v>#VALUE!</v>
      </c>
      <c r="DK108" t="s">
        <v>1224</v>
      </c>
      <c r="DL108">
        <v>9.9518818557262426E-2</v>
      </c>
      <c r="DM108">
        <v>-643000000</v>
      </c>
      <c r="DN108">
        <v>0.14216974079608918</v>
      </c>
      <c r="DO108">
        <v>11481434800</v>
      </c>
      <c r="DP108">
        <v>1077474100</v>
      </c>
      <c r="DQ108">
        <v>4822</v>
      </c>
      <c r="DR108">
        <v>5.7725716215569156E-2</v>
      </c>
      <c r="DS108">
        <v>0.42394948582861158</v>
      </c>
      <c r="DT108" s="10">
        <v>-9.0000000000000011E-2</v>
      </c>
      <c r="DU108">
        <v>-2.9283333333333332</v>
      </c>
      <c r="DV108">
        <v>-3.0183333333333331</v>
      </c>
      <c r="DW108">
        <v>1.5700000000000002E-2</v>
      </c>
      <c r="DX108">
        <v>0.40905106007067288</v>
      </c>
      <c r="DY108">
        <v>1.7121016431095408E-3</v>
      </c>
      <c r="DZ108">
        <v>4889</v>
      </c>
      <c r="EA108">
        <v>7.3083641707045213E-5</v>
      </c>
      <c r="EB108">
        <v>0</v>
      </c>
      <c r="EC108">
        <v>5.9524149925956574E-2</v>
      </c>
      <c r="ED108">
        <v>0.54583742594873896</v>
      </c>
      <c r="EE108" s="11">
        <v>-3.1188099999999999</v>
      </c>
      <c r="EF108">
        <v>-3.0937100000000002</v>
      </c>
      <c r="EG108">
        <v>30.109051060070673</v>
      </c>
      <c r="EH108" t="s">
        <v>1368</v>
      </c>
      <c r="EI108">
        <v>0</v>
      </c>
      <c r="EJ108">
        <v>0</v>
      </c>
      <c r="EK108" s="13">
        <v>45489</v>
      </c>
      <c r="EL108" s="14">
        <v>-3.64</v>
      </c>
      <c r="EM108" s="14">
        <v>2.13</v>
      </c>
      <c r="EN108">
        <v>-2.35</v>
      </c>
      <c r="EO108">
        <v>-0.28000000000000003</v>
      </c>
      <c r="EP108">
        <v>2.5099999999999998</v>
      </c>
    </row>
    <row r="109" spans="1:146" ht="96" x14ac:dyDescent="0.25">
      <c r="C109" s="7" t="str">
        <f>""&amp;CHAR(10)&amp;Basic_Fundamental_Information_Constructure(F109)&amp;CHAR(10)&amp;Basic_Fundamental_Information_Concatenate("")</f>
        <v xml:space="preserve">
市值100.431816亿, 利润-3.83亿; PE; 平均PE-26.11; 平均PEG-.72, PB2.34; ROIC0%; ROE-22.37%; 股利率0%; 毛利31.39%; 净利-75.5967%; 上一年度营收增-7.33%, 利润增14.32%; 当季营收增78.57%, 利润增-52.67%; 过往5年营收增36.03%, 利润增-26.91%
Income profile:
</v>
      </c>
      <c r="D109" t="s">
        <v>1493</v>
      </c>
      <c r="E109" t="s">
        <v>1494</v>
      </c>
      <c r="F109">
        <v>28.28</v>
      </c>
      <c r="G109">
        <v>9.06</v>
      </c>
      <c r="H109" t="s">
        <v>3960</v>
      </c>
      <c r="I109">
        <v>10043181600</v>
      </c>
      <c r="K109">
        <v>2.34</v>
      </c>
      <c r="L109" t="s">
        <v>1166</v>
      </c>
      <c r="M109" t="s">
        <v>506</v>
      </c>
      <c r="N109" t="s">
        <v>3373</v>
      </c>
      <c r="O109" t="s">
        <v>3374</v>
      </c>
      <c r="P109" s="5">
        <v>78.569999999999993</v>
      </c>
      <c r="Q109" t="s">
        <v>572</v>
      </c>
      <c r="R109">
        <v>-137817010</v>
      </c>
      <c r="S109">
        <v>-0.52669999999999995</v>
      </c>
      <c r="T109" t="s">
        <v>3384</v>
      </c>
      <c r="U109">
        <v>257860410</v>
      </c>
      <c r="V109">
        <v>355133720</v>
      </c>
      <c r="W109">
        <v>1.1299999999999999</v>
      </c>
      <c r="X109">
        <v>0.02</v>
      </c>
      <c r="Y109">
        <v>-140.24</v>
      </c>
      <c r="Z109" t="s">
        <v>525</v>
      </c>
      <c r="AA109" t="s">
        <v>3375</v>
      </c>
      <c r="AB109" t="s">
        <v>3376</v>
      </c>
      <c r="AC109" t="s">
        <v>3377</v>
      </c>
      <c r="AD109" t="s">
        <v>60</v>
      </c>
      <c r="AE109">
        <v>-2392549</v>
      </c>
      <c r="AF109" t="s">
        <v>3378</v>
      </c>
      <c r="AG109">
        <v>1000</v>
      </c>
      <c r="AH109" t="s">
        <v>3379</v>
      </c>
      <c r="AI109" t="s">
        <v>1607</v>
      </c>
      <c r="AJ109" t="s">
        <v>3380</v>
      </c>
      <c r="AK109" t="s">
        <v>1667</v>
      </c>
      <c r="AL109" t="s">
        <v>3381</v>
      </c>
      <c r="AM109" t="s">
        <v>60</v>
      </c>
      <c r="AN109">
        <v>0</v>
      </c>
      <c r="AO109" t="s">
        <v>1238</v>
      </c>
      <c r="AP109" t="s">
        <v>3382</v>
      </c>
      <c r="AQ109" t="s">
        <v>447</v>
      </c>
      <c r="AR109" t="s">
        <v>60</v>
      </c>
      <c r="AS109" t="s">
        <v>412</v>
      </c>
      <c r="AT109" t="s">
        <v>60</v>
      </c>
      <c r="AU109" t="s">
        <v>1309</v>
      </c>
      <c r="AV109" t="s">
        <v>1046</v>
      </c>
      <c r="AW109" t="s">
        <v>3383</v>
      </c>
      <c r="AX109" t="s">
        <v>557</v>
      </c>
      <c r="AY109" t="s">
        <v>950</v>
      </c>
      <c r="AZ109" t="s">
        <v>380</v>
      </c>
      <c r="BA109" t="s">
        <v>370</v>
      </c>
      <c r="BB109" t="s">
        <v>511</v>
      </c>
      <c r="BC109" t="s">
        <v>1338</v>
      </c>
      <c r="BD109" t="s">
        <v>1265</v>
      </c>
      <c r="BE109" t="s">
        <v>1461</v>
      </c>
      <c r="BF109" t="s">
        <v>1016</v>
      </c>
      <c r="BG109" t="s">
        <v>181</v>
      </c>
      <c r="BH109" t="s">
        <v>572</v>
      </c>
      <c r="BI109" t="s">
        <v>3961</v>
      </c>
      <c r="BJ109" t="s">
        <v>557</v>
      </c>
      <c r="BK109" t="s">
        <v>3384</v>
      </c>
      <c r="BL109" t="s">
        <v>3962</v>
      </c>
      <c r="BM109" t="s">
        <v>1338</v>
      </c>
      <c r="BN109" t="s">
        <v>60</v>
      </c>
      <c r="BO109" t="s">
        <v>60</v>
      </c>
      <c r="BP109" t="s">
        <v>60</v>
      </c>
      <c r="BQ109">
        <v>-8.9499999999999993</v>
      </c>
      <c r="BR109">
        <v>-35.79</v>
      </c>
      <c r="BS109" t="s">
        <v>60</v>
      </c>
      <c r="BT109" t="s">
        <v>1343</v>
      </c>
      <c r="BU109" t="s">
        <v>1166</v>
      </c>
      <c r="BV109">
        <v>23.48</v>
      </c>
      <c r="BW109">
        <v>31.87</v>
      </c>
      <c r="BX109">
        <v>38.82</v>
      </c>
      <c r="BY109">
        <v>-75.91</v>
      </c>
      <c r="BZ109">
        <v>-81.96</v>
      </c>
      <c r="CA109">
        <v>-68.92</v>
      </c>
      <c r="CB109">
        <v>5.92</v>
      </c>
      <c r="CC109" s="8">
        <v>1.65</v>
      </c>
      <c r="CD109" s="9" t="s">
        <v>3963</v>
      </c>
      <c r="CE109" s="8" t="s">
        <v>3964</v>
      </c>
      <c r="CF109" s="8">
        <v>0.78568060044765131</v>
      </c>
      <c r="CG109" s="8">
        <v>-0.52665230298867893</v>
      </c>
      <c r="CH109" s="8">
        <v>-7.3260076344013214E-2</v>
      </c>
      <c r="CI109" s="8">
        <v>-3.5335689783096313E-2</v>
      </c>
      <c r="CJ109" s="9">
        <v>0.32863849401473999</v>
      </c>
      <c r="CK109" s="9">
        <v>0.85217392444610596</v>
      </c>
      <c r="CL109" s="9">
        <v>0.72932332754135132</v>
      </c>
      <c r="CM109" s="9">
        <v>0.14317673444747925</v>
      </c>
      <c r="CN109" s="9">
        <v>-0.14615385234355927</v>
      </c>
      <c r="CO109">
        <v>7.6335878111422062E-3</v>
      </c>
      <c r="CP109">
        <v>0.21400000154972076</v>
      </c>
      <c r="CQ109">
        <v>-1.5641025304794312</v>
      </c>
      <c r="CR109" s="8">
        <v>-26.108790987868282</v>
      </c>
      <c r="CS109" s="9">
        <v>-0.7246242459098402</v>
      </c>
      <c r="CT109">
        <v>0</v>
      </c>
      <c r="CU109">
        <v>0.36030799597501756</v>
      </c>
      <c r="CV109">
        <v>-0.26908921180292966</v>
      </c>
      <c r="CW109">
        <v>0.06</v>
      </c>
      <c r="CX109" t="e">
        <v>#VALUE!</v>
      </c>
      <c r="CY109" t="s">
        <v>1223</v>
      </c>
      <c r="CZ109">
        <v>0.36030799597501756</v>
      </c>
      <c r="DA109" t="e">
        <v>#VALUE!</v>
      </c>
      <c r="DB109" t="s">
        <v>1224</v>
      </c>
      <c r="DC109">
        <v>0.34229259617626667</v>
      </c>
      <c r="DD109" t="e">
        <v>#VALUE!</v>
      </c>
      <c r="DE109" t="s">
        <v>1224</v>
      </c>
      <c r="DF109">
        <v>0.31707103645801543</v>
      </c>
      <c r="DG109" t="e">
        <v>#VALUE!</v>
      </c>
      <c r="DH109" t="s">
        <v>1224</v>
      </c>
      <c r="DI109">
        <v>0.28824639678001407</v>
      </c>
      <c r="DJ109" t="e">
        <v>#VALUE!</v>
      </c>
      <c r="DK109" t="s">
        <v>1224</v>
      </c>
      <c r="DL109">
        <v>0.2522155971825123</v>
      </c>
      <c r="DM109">
        <v>-383000000</v>
      </c>
      <c r="DN109">
        <v>0.36030799597501756</v>
      </c>
      <c r="DO109">
        <v>6229181600</v>
      </c>
      <c r="DP109">
        <v>3439781900</v>
      </c>
      <c r="DQ109" s="10">
        <v>4835</v>
      </c>
      <c r="DR109">
        <v>0.42537260447263375</v>
      </c>
      <c r="DS109">
        <v>-0.25756309118574927</v>
      </c>
      <c r="DT109">
        <v>0.12666666666666657</v>
      </c>
      <c r="DU109">
        <v>-2.8450000000000002</v>
      </c>
      <c r="DV109">
        <v>-2.7183333333333337</v>
      </c>
      <c r="DW109">
        <v>4.2787162162162158</v>
      </c>
      <c r="DX109">
        <v>0.86438273381295461</v>
      </c>
      <c r="DY109">
        <v>4.0290931606066502</v>
      </c>
      <c r="DZ109">
        <v>4774</v>
      </c>
      <c r="EA109">
        <v>4.0018970085141987</v>
      </c>
      <c r="EB109" s="11">
        <v>4</v>
      </c>
      <c r="EC109" s="11">
        <v>8.171119318097983E-2</v>
      </c>
      <c r="ED109">
        <v>0.78280372812809773</v>
      </c>
      <c r="EE109">
        <v>-1.0132099999999999</v>
      </c>
      <c r="EF109">
        <v>-1.0773999999999999</v>
      </c>
      <c r="EG109">
        <v>76.104382733812955</v>
      </c>
      <c r="EH109" s="13" t="s">
        <v>1225</v>
      </c>
      <c r="EI109" s="14">
        <v>0</v>
      </c>
      <c r="EJ109" s="14">
        <v>0</v>
      </c>
      <c r="EK109" s="14">
        <v>45489</v>
      </c>
      <c r="EL109" s="14">
        <v>-2.72</v>
      </c>
      <c r="EM109" s="14">
        <v>2.19</v>
      </c>
      <c r="EN109">
        <v>-1.37</v>
      </c>
      <c r="EO109">
        <v>-2.7</v>
      </c>
      <c r="EP109">
        <v>9.06</v>
      </c>
    </row>
    <row r="110" spans="1:146" ht="96" x14ac:dyDescent="0.25">
      <c r="A110" s="7"/>
      <c r="B110" s="7"/>
      <c r="C110" s="7" t="str">
        <f>""&amp;CHAR(10)&amp;Basic_Fundamental_Information_Constructure(F110)&amp;CHAR(10)&amp;Basic_Fundamental_Information_Concatenate("")</f>
        <v xml:space="preserve">
市值23.888765亿, 利润-1844.69万; PE; 平均PE357.73; 平均PEG536.13, PB2.36; ROIC0%; ROE-10.8733%; 股利率0%; 毛利62.71%; 净利-18.6867%; 上一年度营收增-3.85%, 利润增89.69%; 当季营收增1.82%, 利润增14.36%; 过往5年营收增.67%, 利润增-57.45%
Income profile:
</v>
      </c>
      <c r="D110" t="s">
        <v>146</v>
      </c>
      <c r="E110" t="s">
        <v>147</v>
      </c>
      <c r="F110">
        <v>5.61</v>
      </c>
      <c r="G110">
        <v>0.72</v>
      </c>
      <c r="H110" t="s">
        <v>3965</v>
      </c>
      <c r="I110">
        <v>2388876500</v>
      </c>
      <c r="K110">
        <v>2.36</v>
      </c>
      <c r="L110" t="s">
        <v>1166</v>
      </c>
      <c r="M110" t="s">
        <v>608</v>
      </c>
      <c r="N110" t="s">
        <v>1633</v>
      </c>
      <c r="O110" t="s">
        <v>279</v>
      </c>
      <c r="P110">
        <v>1.64</v>
      </c>
      <c r="Q110" t="s">
        <v>506</v>
      </c>
      <c r="R110">
        <v>-14760748</v>
      </c>
      <c r="S110" s="5">
        <v>0.14360000000000001</v>
      </c>
      <c r="T110" t="s">
        <v>3399</v>
      </c>
      <c r="U110">
        <v>425824680</v>
      </c>
      <c r="V110">
        <v>425824680</v>
      </c>
      <c r="W110">
        <v>1.58</v>
      </c>
      <c r="X110">
        <v>7.0000000000000007E-2</v>
      </c>
      <c r="Y110">
        <v>-14.52</v>
      </c>
      <c r="Z110" t="s">
        <v>180</v>
      </c>
      <c r="AA110" t="s">
        <v>3385</v>
      </c>
      <c r="AB110" t="s">
        <v>3386</v>
      </c>
      <c r="AC110" t="s">
        <v>3387</v>
      </c>
      <c r="AD110" t="s">
        <v>60</v>
      </c>
      <c r="AE110">
        <v>1243315</v>
      </c>
      <c r="AF110" t="s">
        <v>3388</v>
      </c>
      <c r="AG110" t="s">
        <v>3389</v>
      </c>
      <c r="AH110" t="s">
        <v>3390</v>
      </c>
      <c r="AI110" t="s">
        <v>489</v>
      </c>
      <c r="AJ110" t="s">
        <v>3391</v>
      </c>
      <c r="AK110" t="s">
        <v>60</v>
      </c>
      <c r="AL110" t="s">
        <v>3392</v>
      </c>
      <c r="AM110" t="s">
        <v>60</v>
      </c>
      <c r="AN110" t="s">
        <v>200</v>
      </c>
      <c r="AO110" t="s">
        <v>511</v>
      </c>
      <c r="AP110" t="s">
        <v>3393</v>
      </c>
      <c r="AQ110" t="s">
        <v>3394</v>
      </c>
      <c r="AR110" t="s">
        <v>3395</v>
      </c>
      <c r="AS110" t="s">
        <v>1263</v>
      </c>
      <c r="AT110" t="s">
        <v>1703</v>
      </c>
      <c r="AU110" t="s">
        <v>3396</v>
      </c>
      <c r="AV110" t="s">
        <v>3397</v>
      </c>
      <c r="AW110" t="s">
        <v>3398</v>
      </c>
      <c r="AX110" t="s">
        <v>760</v>
      </c>
      <c r="AY110" t="s">
        <v>608</v>
      </c>
      <c r="AZ110" t="s">
        <v>497</v>
      </c>
      <c r="BA110" t="s">
        <v>271</v>
      </c>
      <c r="BB110" t="s">
        <v>271</v>
      </c>
      <c r="BC110" t="s">
        <v>807</v>
      </c>
      <c r="BD110" t="s">
        <v>1217</v>
      </c>
      <c r="BE110" t="s">
        <v>972</v>
      </c>
      <c r="BF110" t="s">
        <v>973</v>
      </c>
      <c r="BG110" t="s">
        <v>226</v>
      </c>
      <c r="BH110" t="s">
        <v>506</v>
      </c>
      <c r="BI110" t="s">
        <v>255</v>
      </c>
      <c r="BJ110" t="s">
        <v>760</v>
      </c>
      <c r="BK110" t="s">
        <v>3399</v>
      </c>
      <c r="BL110" t="s">
        <v>3966</v>
      </c>
      <c r="BM110" t="s">
        <v>807</v>
      </c>
      <c r="BN110" t="s">
        <v>60</v>
      </c>
      <c r="BO110" t="s">
        <v>60</v>
      </c>
      <c r="BP110" t="s">
        <v>60</v>
      </c>
      <c r="BQ110">
        <v>-9.43</v>
      </c>
      <c r="BR110">
        <v>-17.88</v>
      </c>
      <c r="BS110">
        <v>-5.31</v>
      </c>
      <c r="BT110" t="s">
        <v>1343</v>
      </c>
      <c r="BU110" t="s">
        <v>1166</v>
      </c>
      <c r="BV110">
        <v>63.17</v>
      </c>
      <c r="BW110">
        <v>60.83</v>
      </c>
      <c r="BX110">
        <v>64.13</v>
      </c>
      <c r="BY110">
        <v>-3.85</v>
      </c>
      <c r="BZ110">
        <v>-39.82</v>
      </c>
      <c r="CA110">
        <v>-12.39</v>
      </c>
      <c r="CB110">
        <v>-1.58</v>
      </c>
      <c r="CC110">
        <v>-17.38</v>
      </c>
      <c r="CD110" t="s">
        <v>3967</v>
      </c>
      <c r="CE110" t="s">
        <v>426</v>
      </c>
      <c r="CF110" s="8">
        <v>1.8181818181818181E-2</v>
      </c>
      <c r="CG110" s="9">
        <v>0.14358457834121435</v>
      </c>
      <c r="CH110" s="8">
        <v>-3.8461539894342422E-2</v>
      </c>
      <c r="CI110" s="8">
        <v>-9.3577980995178223E-2</v>
      </c>
      <c r="CJ110" s="8">
        <v>6.8627454340457916E-2</v>
      </c>
      <c r="CK110" s="8">
        <v>9.6774190664291382E-2</v>
      </c>
      <c r="CL110" s="8">
        <v>0</v>
      </c>
      <c r="CM110" s="9">
        <v>0.89694470167160034</v>
      </c>
      <c r="CN110" s="9">
        <v>-2.0064630508422852</v>
      </c>
      <c r="CO110" s="9">
        <v>-1.6355258226394653</v>
      </c>
      <c r="CP110" s="9">
        <v>-2.78647281229496E-2</v>
      </c>
      <c r="CQ110" s="9">
        <v>-9.9355138838291168E-2</v>
      </c>
      <c r="CR110">
        <v>357.7287021368993</v>
      </c>
      <c r="CS110">
        <v>536.12998516123946</v>
      </c>
      <c r="CT110">
        <v>0</v>
      </c>
      <c r="CU110" s="8">
        <v>6.6724248230457302E-3</v>
      </c>
      <c r="CV110" s="9">
        <v>-0.57445280775427821</v>
      </c>
      <c r="CW110">
        <v>0.06</v>
      </c>
      <c r="CX110" t="e">
        <v>#VALUE!</v>
      </c>
      <c r="CY110" t="s">
        <v>1223</v>
      </c>
      <c r="CZ110">
        <v>6.6724248230457302E-3</v>
      </c>
      <c r="DA110" t="e">
        <v>#VALUE!</v>
      </c>
      <c r="DB110" t="s">
        <v>1224</v>
      </c>
      <c r="DC110">
        <v>6.3388035818934436E-3</v>
      </c>
      <c r="DD110" t="e">
        <v>#VALUE!</v>
      </c>
      <c r="DE110" t="s">
        <v>1224</v>
      </c>
      <c r="DF110">
        <v>5.8717338442802426E-3</v>
      </c>
      <c r="DG110" t="e">
        <v>#VALUE!</v>
      </c>
      <c r="DH110" t="s">
        <v>1224</v>
      </c>
      <c r="DI110">
        <v>5.3379398584365847E-3</v>
      </c>
      <c r="DJ110" t="e">
        <v>#VALUE!</v>
      </c>
      <c r="DK110" t="s">
        <v>1224</v>
      </c>
      <c r="DL110">
        <v>4.6706973761320107E-3</v>
      </c>
      <c r="DM110">
        <v>-18446900</v>
      </c>
      <c r="DN110">
        <v>6.6724248230457302E-3</v>
      </c>
      <c r="DO110">
        <v>1924876500</v>
      </c>
      <c r="DP110">
        <v>12616390</v>
      </c>
      <c r="DQ110">
        <v>4853</v>
      </c>
      <c r="DR110">
        <v>1.1509393358772451E-2</v>
      </c>
      <c r="DS110">
        <v>0.7180373860954925</v>
      </c>
      <c r="DT110" s="10">
        <v>-0.44</v>
      </c>
      <c r="DU110">
        <v>-2.1616666666666666</v>
      </c>
      <c r="DV110">
        <v>-2.6016666666666666</v>
      </c>
      <c r="DW110">
        <v>-3.0156071428571427</v>
      </c>
      <c r="DX110">
        <v>0.32626369426751439</v>
      </c>
      <c r="DY110">
        <v>-3.0019706155141037</v>
      </c>
      <c r="DZ110">
        <v>4712</v>
      </c>
      <c r="EA110">
        <v>-3.0001524169038714</v>
      </c>
      <c r="EB110">
        <v>3</v>
      </c>
      <c r="EC110">
        <v>4.6552961655486946E-2</v>
      </c>
      <c r="ED110">
        <v>0.36869633765708459</v>
      </c>
      <c r="EE110" s="11">
        <v>1.0410000000000003E-2</v>
      </c>
      <c r="EF110">
        <v>3.2099999999999997E-3</v>
      </c>
      <c r="EG110">
        <v>20.126263694267514</v>
      </c>
      <c r="EH110">
        <v>-1</v>
      </c>
      <c r="EI110">
        <v>0</v>
      </c>
      <c r="EJ110">
        <v>0</v>
      </c>
      <c r="EK110" s="13">
        <v>45489</v>
      </c>
      <c r="EL110" s="14">
        <v>-2.73</v>
      </c>
      <c r="EM110" s="14">
        <v>3.71</v>
      </c>
      <c r="EN110">
        <v>-1.87</v>
      </c>
      <c r="EO110">
        <v>-3.3</v>
      </c>
      <c r="EP110">
        <v>0.72</v>
      </c>
    </row>
    <row r="111" spans="1:146" ht="96" x14ac:dyDescent="0.25">
      <c r="A111" s="7"/>
      <c r="B111" s="7"/>
      <c r="C111" s="7" t="str">
        <f>""&amp;CHAR(10)&amp;Basic_Fundamental_Information_Constructure(F111)&amp;CHAR(10)&amp;Basic_Fundamental_Information_Concatenate("")</f>
        <v xml:space="preserve">
市值24.755694亿, 利润-1.70亿; PE; 平均PE-86.76; 平均PEG-9.5, PB3.2; ROIC0%; ROE-8.5%; 股利率0%; 毛利30.75%; 净利-19.2933%; 上一年度营收增8.23%, 利润增-96.15%; 当季营收增-25.35%, 利润增-335.49%; 过往5年营收增9.13%, 利润增-130.89%
Income profile:
</v>
      </c>
      <c r="D111" t="s">
        <v>1047</v>
      </c>
      <c r="E111" t="s">
        <v>3400</v>
      </c>
      <c r="F111">
        <v>33.33</v>
      </c>
      <c r="G111">
        <v>1.31</v>
      </c>
      <c r="H111" t="s">
        <v>3968</v>
      </c>
      <c r="I111">
        <v>2475569400</v>
      </c>
      <c r="K111">
        <v>3.2</v>
      </c>
      <c r="L111" t="s">
        <v>1166</v>
      </c>
      <c r="M111" t="s">
        <v>230</v>
      </c>
      <c r="N111" t="s">
        <v>1319</v>
      </c>
      <c r="O111" t="s">
        <v>3401</v>
      </c>
      <c r="P111">
        <v>-25.35</v>
      </c>
      <c r="Q111" t="s">
        <v>304</v>
      </c>
      <c r="R111">
        <v>-18854432</v>
      </c>
      <c r="S111" s="5">
        <v>-3.355</v>
      </c>
      <c r="T111" t="s">
        <v>3358</v>
      </c>
      <c r="U111">
        <v>74274510</v>
      </c>
      <c r="V111">
        <v>74274510</v>
      </c>
      <c r="W111">
        <v>1.45</v>
      </c>
      <c r="X111">
        <v>0.06</v>
      </c>
      <c r="Y111">
        <v>-26.03</v>
      </c>
      <c r="Z111" t="s">
        <v>177</v>
      </c>
      <c r="AA111" t="s">
        <v>3402</v>
      </c>
      <c r="AB111" t="s">
        <v>3403</v>
      </c>
      <c r="AC111" t="s">
        <v>3404</v>
      </c>
      <c r="AD111" t="s">
        <v>60</v>
      </c>
      <c r="AE111">
        <v>-519297</v>
      </c>
      <c r="AF111" t="s">
        <v>3405</v>
      </c>
      <c r="AG111">
        <v>110.91</v>
      </c>
      <c r="AH111" t="s">
        <v>3406</v>
      </c>
      <c r="AI111" t="s">
        <v>364</v>
      </c>
      <c r="AJ111" t="s">
        <v>3407</v>
      </c>
      <c r="AK111" t="s">
        <v>3408</v>
      </c>
      <c r="AL111" t="s">
        <v>3409</v>
      </c>
      <c r="AM111" t="s">
        <v>60</v>
      </c>
      <c r="AN111">
        <v>0</v>
      </c>
      <c r="AO111" t="s">
        <v>1634</v>
      </c>
      <c r="AP111" t="s">
        <v>3410</v>
      </c>
      <c r="AQ111" t="s">
        <v>486</v>
      </c>
      <c r="AR111" t="s">
        <v>3411</v>
      </c>
      <c r="AS111" t="s">
        <v>404</v>
      </c>
      <c r="AT111" t="s">
        <v>60</v>
      </c>
      <c r="AU111" t="s">
        <v>3412</v>
      </c>
      <c r="AV111" t="s">
        <v>3413</v>
      </c>
      <c r="AW111" t="s">
        <v>3414</v>
      </c>
      <c r="AX111" t="s">
        <v>333</v>
      </c>
      <c r="AY111" t="s">
        <v>471</v>
      </c>
      <c r="AZ111" t="s">
        <v>245</v>
      </c>
      <c r="BA111" t="s">
        <v>849</v>
      </c>
      <c r="BB111" t="s">
        <v>615</v>
      </c>
      <c r="BC111" t="s">
        <v>3415</v>
      </c>
      <c r="BD111" t="s">
        <v>3416</v>
      </c>
      <c r="BE111" t="s">
        <v>3417</v>
      </c>
      <c r="BF111" t="s">
        <v>3418</v>
      </c>
      <c r="BG111" t="s">
        <v>3419</v>
      </c>
      <c r="BH111" t="s">
        <v>304</v>
      </c>
      <c r="BI111" t="s">
        <v>3969</v>
      </c>
      <c r="BJ111" t="s">
        <v>333</v>
      </c>
      <c r="BK111" t="s">
        <v>3358</v>
      </c>
      <c r="BL111" t="s">
        <v>3970</v>
      </c>
      <c r="BM111" t="s">
        <v>3415</v>
      </c>
      <c r="BN111" t="s">
        <v>60</v>
      </c>
      <c r="BO111" t="s">
        <v>60</v>
      </c>
      <c r="BP111" t="s">
        <v>60</v>
      </c>
      <c r="BQ111">
        <v>-4.53</v>
      </c>
      <c r="BR111">
        <v>-17.8</v>
      </c>
      <c r="BS111">
        <v>-3.17</v>
      </c>
      <c r="BT111" t="s">
        <v>1343</v>
      </c>
      <c r="BU111" t="s">
        <v>1166</v>
      </c>
      <c r="BV111">
        <v>31.43</v>
      </c>
      <c r="BW111">
        <v>27.89</v>
      </c>
      <c r="BX111">
        <v>32.93</v>
      </c>
      <c r="BY111">
        <v>-31.9</v>
      </c>
      <c r="BZ111">
        <v>-18.54</v>
      </c>
      <c r="CA111">
        <v>-7.44</v>
      </c>
      <c r="CB111">
        <v>11.4</v>
      </c>
      <c r="CC111">
        <v>13.75</v>
      </c>
      <c r="CD111" t="s">
        <v>3971</v>
      </c>
      <c r="CE111" t="s">
        <v>3972</v>
      </c>
      <c r="CF111" s="8">
        <v>-0.25345439027620409</v>
      </c>
      <c r="CG111" s="9">
        <v>-3.354875158794318</v>
      </c>
      <c r="CH111" s="8">
        <v>8.2329317927360535E-2</v>
      </c>
      <c r="CI111" s="8">
        <v>0.10176990926265717</v>
      </c>
      <c r="CJ111" s="8">
        <v>0.31014493107795715</v>
      </c>
      <c r="CK111" s="8">
        <v>-8.4880635142326355E-2</v>
      </c>
      <c r="CL111" s="8">
        <v>4.722222313284874E-2</v>
      </c>
      <c r="CM111" s="9">
        <v>-0.96146988868713379</v>
      </c>
      <c r="CN111" s="9">
        <v>-1.9581514596939087</v>
      </c>
      <c r="CO111" s="9">
        <v>-2.7768573760986328</v>
      </c>
      <c r="CP111" s="9">
        <v>-0.61284977197647095</v>
      </c>
      <c r="CQ111" s="9">
        <v>-0.23531703650951385</v>
      </c>
      <c r="CR111">
        <v>-86.764968333689666</v>
      </c>
      <c r="CS111">
        <v>-9.5014976972767187</v>
      </c>
      <c r="CT111">
        <v>0</v>
      </c>
      <c r="CU111" s="8">
        <v>9.1317149251699453E-2</v>
      </c>
      <c r="CV111" s="9">
        <v>-1.3089291065931321</v>
      </c>
      <c r="CW111">
        <v>0.06</v>
      </c>
      <c r="CX111" t="e">
        <v>#VALUE!</v>
      </c>
      <c r="CY111" t="s">
        <v>1223</v>
      </c>
      <c r="CZ111">
        <v>9.1317149251699453E-2</v>
      </c>
      <c r="DA111" t="e">
        <v>#VALUE!</v>
      </c>
      <c r="DB111" t="s">
        <v>1224</v>
      </c>
      <c r="DC111">
        <v>8.6751291789114476E-2</v>
      </c>
      <c r="DD111" t="e">
        <v>#VALUE!</v>
      </c>
      <c r="DE111" t="s">
        <v>1224</v>
      </c>
      <c r="DF111">
        <v>8.035909134149552E-2</v>
      </c>
      <c r="DG111" t="e">
        <v>#VALUE!</v>
      </c>
      <c r="DH111" t="s">
        <v>1224</v>
      </c>
      <c r="DI111">
        <v>7.305371940135956E-2</v>
      </c>
      <c r="DJ111" t="e">
        <v>#VALUE!</v>
      </c>
      <c r="DK111" t="s">
        <v>1224</v>
      </c>
      <c r="DL111">
        <v>6.392200447618962E-2</v>
      </c>
      <c r="DM111">
        <v>-170000000</v>
      </c>
      <c r="DN111">
        <v>9.1317149251699453E-2</v>
      </c>
      <c r="DO111">
        <v>2097569400</v>
      </c>
      <c r="DP111">
        <v>743127510</v>
      </c>
      <c r="DQ111">
        <v>4925</v>
      </c>
      <c r="DR111">
        <v>-0.34477153952790351</v>
      </c>
      <c r="DS111">
        <v>-2.0459460522011859</v>
      </c>
      <c r="DT111" s="10">
        <v>-0.3066666666666667</v>
      </c>
      <c r="DU111">
        <v>-3.3816666666666673</v>
      </c>
      <c r="DV111">
        <v>-3.6883333333333339</v>
      </c>
      <c r="DW111">
        <v>9.8290909090909082</v>
      </c>
      <c r="DX111">
        <v>0.4730547714947187</v>
      </c>
      <c r="DY111">
        <v>9.234678137821076</v>
      </c>
      <c r="DZ111">
        <v>5048</v>
      </c>
      <c r="EA111">
        <v>9.0027111827161637</v>
      </c>
      <c r="EB111">
        <v>9</v>
      </c>
      <c r="EC111">
        <v>6.0081177243713896E-2</v>
      </c>
      <c r="ED111">
        <v>0.21225989912286194</v>
      </c>
      <c r="EE111" s="11">
        <v>6.0167099999999998</v>
      </c>
      <c r="EF111">
        <v>6.0036100000000001</v>
      </c>
      <c r="EG111">
        <v>19.283054771494719</v>
      </c>
      <c r="EH111" t="s">
        <v>1504</v>
      </c>
      <c r="EI111">
        <v>1</v>
      </c>
      <c r="EJ111">
        <v>0</v>
      </c>
      <c r="EK111" s="13">
        <v>45489</v>
      </c>
      <c r="EL111" s="14">
        <v>-5.39</v>
      </c>
      <c r="EM111" s="14">
        <v>1.88</v>
      </c>
      <c r="EN111">
        <v>6.4</v>
      </c>
      <c r="EO111">
        <v>0</v>
      </c>
      <c r="EP111">
        <v>1.31</v>
      </c>
    </row>
    <row r="112" spans="1:146" ht="96" x14ac:dyDescent="0.25">
      <c r="A112" s="7"/>
      <c r="B112" s="7"/>
      <c r="C112" s="7" t="str">
        <f>""&amp;CHAR(10)&amp;Basic_Fundamental_Information_Constructure(F112)&amp;CHAR(10)&amp;Basic_Fundamental_Information_Concatenate("")</f>
        <v xml:space="preserve">
市值21.56亿, 利润-3341.53万; PE; 平均PE44.95; 平均PEG4.41, PB1.49; ROIC1.665%; ROE.5367%; 股利率0%; 毛利28.24%; 净利1.56%; 上一年度营收增-32.14%, 利润增-216.81%; 当季营收增-35.52%, 利润增-167.75%; 过往5年营收增-10.2%, 利润增-63.87%
Income profile:
</v>
      </c>
      <c r="D112" t="s">
        <v>1048</v>
      </c>
      <c r="E112" t="s">
        <v>1049</v>
      </c>
      <c r="F112">
        <v>2.8</v>
      </c>
      <c r="G112">
        <v>2.19</v>
      </c>
      <c r="H112" t="s">
        <v>3973</v>
      </c>
      <c r="I112">
        <v>2156000000</v>
      </c>
      <c r="K112">
        <v>1.49</v>
      </c>
      <c r="L112" t="s">
        <v>1166</v>
      </c>
      <c r="M112" t="s">
        <v>3420</v>
      </c>
      <c r="N112" t="s">
        <v>1641</v>
      </c>
      <c r="O112" t="s">
        <v>371</v>
      </c>
      <c r="P112">
        <v>-35.72</v>
      </c>
      <c r="Q112" t="s">
        <v>1080</v>
      </c>
      <c r="R112">
        <v>-31837896</v>
      </c>
      <c r="S112" s="5">
        <v>-1.6779999999999999</v>
      </c>
      <c r="T112" t="s">
        <v>3434</v>
      </c>
      <c r="U112">
        <v>384792200</v>
      </c>
      <c r="V112">
        <v>770000000</v>
      </c>
      <c r="W112">
        <v>2.23</v>
      </c>
      <c r="X112">
        <v>0.03</v>
      </c>
      <c r="Y112">
        <v>-25.11</v>
      </c>
      <c r="Z112" t="s">
        <v>217</v>
      </c>
      <c r="AA112" t="s">
        <v>3421</v>
      </c>
      <c r="AB112" t="s">
        <v>3422</v>
      </c>
      <c r="AC112" t="s">
        <v>3423</v>
      </c>
      <c r="AD112" t="s">
        <v>60</v>
      </c>
      <c r="AE112">
        <v>-2550557</v>
      </c>
      <c r="AF112" t="s">
        <v>3424</v>
      </c>
      <c r="AG112" t="s">
        <v>3425</v>
      </c>
      <c r="AH112" t="s">
        <v>3426</v>
      </c>
      <c r="AI112" t="s">
        <v>535</v>
      </c>
      <c r="AJ112" t="s">
        <v>3427</v>
      </c>
      <c r="AK112" t="s">
        <v>3428</v>
      </c>
      <c r="AL112" t="s">
        <v>3429</v>
      </c>
      <c r="AM112" t="s">
        <v>60</v>
      </c>
      <c r="AN112">
        <v>0</v>
      </c>
      <c r="AO112" t="s">
        <v>224</v>
      </c>
      <c r="AP112" t="s">
        <v>3430</v>
      </c>
      <c r="AQ112" t="s">
        <v>518</v>
      </c>
      <c r="AR112" t="s">
        <v>60</v>
      </c>
      <c r="AS112" t="s">
        <v>1480</v>
      </c>
      <c r="AT112" t="s">
        <v>487</v>
      </c>
      <c r="AU112" t="s">
        <v>741</v>
      </c>
      <c r="AV112" t="s">
        <v>3431</v>
      </c>
      <c r="AW112" t="s">
        <v>3432</v>
      </c>
      <c r="AX112" t="s">
        <v>1335</v>
      </c>
      <c r="AY112" t="s">
        <v>1018</v>
      </c>
      <c r="AZ112" t="s">
        <v>1649</v>
      </c>
      <c r="BA112" t="s">
        <v>1050</v>
      </c>
      <c r="BB112" t="s">
        <v>959</v>
      </c>
      <c r="BC112" t="s">
        <v>3433</v>
      </c>
      <c r="BD112" t="s">
        <v>1704</v>
      </c>
      <c r="BE112" t="s">
        <v>1705</v>
      </c>
      <c r="BF112" t="s">
        <v>1051</v>
      </c>
      <c r="BG112" t="s">
        <v>1052</v>
      </c>
      <c r="BH112" t="s">
        <v>1080</v>
      </c>
      <c r="BI112" t="s">
        <v>282</v>
      </c>
      <c r="BJ112" t="s">
        <v>1335</v>
      </c>
      <c r="BK112" t="s">
        <v>3434</v>
      </c>
      <c r="BL112" t="s">
        <v>3974</v>
      </c>
      <c r="BM112" t="s">
        <v>3433</v>
      </c>
      <c r="BN112" t="s">
        <v>60</v>
      </c>
      <c r="BO112">
        <v>0.91</v>
      </c>
      <c r="BP112">
        <v>2.42</v>
      </c>
      <c r="BQ112">
        <v>-3.96</v>
      </c>
      <c r="BR112">
        <v>1.88</v>
      </c>
      <c r="BS112">
        <v>3.69</v>
      </c>
      <c r="BT112" t="s">
        <v>1343</v>
      </c>
      <c r="BU112" t="s">
        <v>1166</v>
      </c>
      <c r="BV112">
        <v>28.24</v>
      </c>
      <c r="BW112">
        <v>27.8</v>
      </c>
      <c r="BX112">
        <v>28.68</v>
      </c>
      <c r="BY112">
        <v>-3.06</v>
      </c>
      <c r="BZ112">
        <v>3.45</v>
      </c>
      <c r="CA112">
        <v>4.29</v>
      </c>
      <c r="CB112">
        <v>0</v>
      </c>
      <c r="CC112">
        <v>-9.68</v>
      </c>
      <c r="CD112" t="s">
        <v>3975</v>
      </c>
      <c r="CE112" t="s">
        <v>3964</v>
      </c>
      <c r="CF112" s="8">
        <v>-0.3551912568306011</v>
      </c>
      <c r="CG112" s="9">
        <v>-1.677545981313127</v>
      </c>
      <c r="CH112" s="8">
        <v>-0.3214285671710968</v>
      </c>
      <c r="CI112" s="8">
        <v>-0.16017872095108032</v>
      </c>
      <c r="CJ112" s="8">
        <v>-6.5593250095844269E-2</v>
      </c>
      <c r="CK112" s="8">
        <v>-0.13378103077411652</v>
      </c>
      <c r="CL112" s="8">
        <v>0.17120391130447388</v>
      </c>
      <c r="CM112" s="9">
        <v>-2.1680688858032227</v>
      </c>
      <c r="CN112" s="9">
        <v>-0.412931889295578</v>
      </c>
      <c r="CO112" s="9">
        <v>-0.24225211143493652</v>
      </c>
      <c r="CP112" s="9">
        <v>-0.22049170732498169</v>
      </c>
      <c r="CQ112" s="9">
        <v>-0.14978837966918945</v>
      </c>
      <c r="CR112">
        <v>44.954284661817702</v>
      </c>
      <c r="CS112">
        <v>4.4092050704741528</v>
      </c>
      <c r="CT112">
        <v>0</v>
      </c>
      <c r="CU112" s="8">
        <v>-0.10195553153753281</v>
      </c>
      <c r="CV112" s="9">
        <v>-0.63870659470558167</v>
      </c>
      <c r="CW112">
        <v>0.06</v>
      </c>
      <c r="CX112" t="e">
        <v>#VALUE!</v>
      </c>
      <c r="CY112" t="s">
        <v>1223</v>
      </c>
      <c r="CZ112">
        <v>-0.10195553153753281</v>
      </c>
      <c r="DA112" t="e">
        <v>#VALUE!</v>
      </c>
      <c r="DB112" t="s">
        <v>1224</v>
      </c>
      <c r="DC112">
        <v>-9.685775496065617E-2</v>
      </c>
      <c r="DD112" t="e">
        <v>#VALUE!</v>
      </c>
      <c r="DE112" t="s">
        <v>1224</v>
      </c>
      <c r="DF112">
        <v>-8.9720867753028871E-2</v>
      </c>
      <c r="DG112" t="e">
        <v>#VALUE!</v>
      </c>
      <c r="DH112" t="s">
        <v>1224</v>
      </c>
      <c r="DI112">
        <v>-8.1564425230026258E-2</v>
      </c>
      <c r="DJ112" t="e">
        <v>#VALUE!</v>
      </c>
      <c r="DK112" t="s">
        <v>1224</v>
      </c>
      <c r="DL112">
        <v>-7.136887207627296E-2</v>
      </c>
      <c r="DM112">
        <v>-33415300.000000004</v>
      </c>
      <c r="DN112">
        <v>-0.10195553153753281</v>
      </c>
      <c r="DO112">
        <v>2554000000</v>
      </c>
      <c r="DP112">
        <v>975091800.00000024</v>
      </c>
      <c r="DQ112">
        <v>4933</v>
      </c>
      <c r="DR112">
        <v>-0.25323572529306826</v>
      </c>
      <c r="DS112">
        <v>-1.0388393866075454</v>
      </c>
      <c r="DT112" s="10">
        <v>-0.65666666666666662</v>
      </c>
      <c r="DU112">
        <v>-2.0483333333333333</v>
      </c>
      <c r="DV112">
        <v>-2.7050000000000001</v>
      </c>
      <c r="DW112">
        <v>-2.0968</v>
      </c>
      <c r="DX112">
        <v>0.3545809352517979</v>
      </c>
      <c r="DY112">
        <v>-2.011091434532374</v>
      </c>
      <c r="DZ112">
        <v>4770</v>
      </c>
      <c r="EA112">
        <v>-2.0007319000269064</v>
      </c>
      <c r="EB112">
        <v>2</v>
      </c>
      <c r="EC112">
        <v>4.1368181818181818E-2</v>
      </c>
      <c r="ED112">
        <v>0.36103896103896105</v>
      </c>
      <c r="EE112" s="11">
        <v>-2.0051000000000001</v>
      </c>
      <c r="EF112">
        <v>-2.0270000000000001</v>
      </c>
      <c r="EG112">
        <v>24.114580935251798</v>
      </c>
      <c r="EH112" t="s">
        <v>1363</v>
      </c>
      <c r="EI112">
        <v>0</v>
      </c>
      <c r="EJ112">
        <v>0</v>
      </c>
      <c r="EK112" s="13">
        <v>45489</v>
      </c>
      <c r="EL112" s="14">
        <v>-2.4300000000000002</v>
      </c>
      <c r="EM112" s="14">
        <v>3.65</v>
      </c>
      <c r="EN112">
        <v>0</v>
      </c>
      <c r="EO112">
        <v>-3.52</v>
      </c>
      <c r="EP112">
        <v>2.19</v>
      </c>
    </row>
    <row r="113" spans="1:146" ht="108" x14ac:dyDescent="0.25">
      <c r="C113" s="7" t="str">
        <f>""&amp;CHAR(10)&amp;Basic_Fundamental_Information_Constructure(F113)&amp;CHAR(10)&amp;Basic_Fundamental_Information_Concatenate("")</f>
        <v xml:space="preserve">
市值55亿, 利润5857.28万; PE149.3; 平均PE354.42; 平均PEG19.65, PB3.06; ROIC9.27%; ROE5.715%; 股利率.3273%; 毛利19.16%; 净利3.5467%; 上一年度营收增-12.03%, 利润增-2.49%; 当季营收增-76.07%, 利润增-5123.26%; 过往5年营收增18.03%, 利润增94.22%
Income profile:
</v>
      </c>
      <c r="D113" t="s">
        <v>1495</v>
      </c>
      <c r="E113" t="s">
        <v>1496</v>
      </c>
      <c r="F113">
        <v>13.75</v>
      </c>
      <c r="G113">
        <v>1.93</v>
      </c>
      <c r="H113" t="s">
        <v>3976</v>
      </c>
      <c r="I113">
        <v>5500000000</v>
      </c>
      <c r="J113">
        <v>149.30000000000001</v>
      </c>
      <c r="K113">
        <v>3.06</v>
      </c>
      <c r="L113" t="s">
        <v>1166</v>
      </c>
      <c r="M113" t="s">
        <v>3435</v>
      </c>
      <c r="N113" t="s">
        <v>3436</v>
      </c>
      <c r="O113" t="s">
        <v>3437</v>
      </c>
      <c r="P113">
        <v>-76.069999999999993</v>
      </c>
      <c r="Q113" t="s">
        <v>1205</v>
      </c>
      <c r="R113">
        <v>-21313695</v>
      </c>
      <c r="S113">
        <v>-51.23</v>
      </c>
      <c r="T113" t="s">
        <v>3451</v>
      </c>
      <c r="U113">
        <v>169020000</v>
      </c>
      <c r="V113">
        <v>400000000</v>
      </c>
      <c r="W113">
        <v>1.86</v>
      </c>
      <c r="X113">
        <v>0.02</v>
      </c>
      <c r="Y113">
        <v>-27.72</v>
      </c>
      <c r="Z113" t="s">
        <v>378</v>
      </c>
      <c r="AA113" t="s">
        <v>3438</v>
      </c>
      <c r="AB113" t="s">
        <v>3439</v>
      </c>
      <c r="AC113" t="s">
        <v>3440</v>
      </c>
      <c r="AD113" t="s">
        <v>60</v>
      </c>
      <c r="AE113">
        <v>-5797971</v>
      </c>
      <c r="AF113" t="s">
        <v>3441</v>
      </c>
      <c r="AG113" t="s">
        <v>3442</v>
      </c>
      <c r="AH113" t="s">
        <v>3443</v>
      </c>
      <c r="AI113" t="s">
        <v>510</v>
      </c>
      <c r="AJ113" t="s">
        <v>3444</v>
      </c>
      <c r="AK113" t="s">
        <v>3445</v>
      </c>
      <c r="AL113" t="s">
        <v>3446</v>
      </c>
      <c r="AM113" t="s">
        <v>60</v>
      </c>
      <c r="AN113">
        <v>0</v>
      </c>
      <c r="AO113" t="s">
        <v>60</v>
      </c>
      <c r="AP113" t="s">
        <v>3447</v>
      </c>
      <c r="AQ113" t="s">
        <v>406</v>
      </c>
      <c r="AR113" t="s">
        <v>60</v>
      </c>
      <c r="AS113" t="s">
        <v>1186</v>
      </c>
      <c r="AT113" t="s">
        <v>60</v>
      </c>
      <c r="AU113" t="s">
        <v>1377</v>
      </c>
      <c r="AV113" t="s">
        <v>3448</v>
      </c>
      <c r="AW113" t="s">
        <v>3449</v>
      </c>
      <c r="AX113" t="s">
        <v>1408</v>
      </c>
      <c r="AY113" t="s">
        <v>1239</v>
      </c>
      <c r="AZ113" t="s">
        <v>175</v>
      </c>
      <c r="BA113" t="s">
        <v>1302</v>
      </c>
      <c r="BB113" t="s">
        <v>60</v>
      </c>
      <c r="BC113" t="s">
        <v>3450</v>
      </c>
      <c r="BD113" t="s">
        <v>1497</v>
      </c>
      <c r="BE113" t="s">
        <v>1498</v>
      </c>
      <c r="BF113" t="s">
        <v>1499</v>
      </c>
      <c r="BG113" t="s">
        <v>60</v>
      </c>
      <c r="BH113" t="s">
        <v>1205</v>
      </c>
      <c r="BI113" t="s">
        <v>3556</v>
      </c>
      <c r="BJ113" t="s">
        <v>1408</v>
      </c>
      <c r="BK113" t="s">
        <v>3451</v>
      </c>
      <c r="BL113" t="s">
        <v>3977</v>
      </c>
      <c r="BM113" t="s">
        <v>3450</v>
      </c>
      <c r="BN113" t="s">
        <v>60</v>
      </c>
      <c r="BO113">
        <v>10.52</v>
      </c>
      <c r="BP113">
        <v>8.02</v>
      </c>
      <c r="BQ113">
        <v>0.72</v>
      </c>
      <c r="BR113">
        <v>10.71</v>
      </c>
      <c r="BS113" t="s">
        <v>60</v>
      </c>
      <c r="BT113" t="s">
        <v>1353</v>
      </c>
      <c r="BU113" t="s">
        <v>1166</v>
      </c>
      <c r="BV113">
        <v>19.75</v>
      </c>
      <c r="BW113">
        <v>19.11</v>
      </c>
      <c r="BX113">
        <v>18.62</v>
      </c>
      <c r="BY113">
        <v>3.85</v>
      </c>
      <c r="BZ113">
        <v>3.59</v>
      </c>
      <c r="CA113">
        <v>3.2</v>
      </c>
      <c r="CB113">
        <v>0</v>
      </c>
      <c r="CC113" s="8">
        <v>-9.84</v>
      </c>
      <c r="CD113" s="9" t="s">
        <v>3978</v>
      </c>
      <c r="CE113" s="8" t="s">
        <v>3979</v>
      </c>
      <c r="CF113" s="8">
        <v>-0.76065848484848486</v>
      </c>
      <c r="CG113" s="8">
        <v>-51.232606646240868</v>
      </c>
      <c r="CH113" s="8">
        <v>-0.12031661719083786</v>
      </c>
      <c r="CI113" s="8">
        <v>0.26165118813514709</v>
      </c>
      <c r="CJ113" s="9">
        <v>0.58105266094207764</v>
      </c>
      <c r="CK113" s="9">
        <v>-1.0515246540307999E-3</v>
      </c>
      <c r="CL113" s="9" t="s">
        <v>60</v>
      </c>
      <c r="CM113" s="9">
        <v>-2.4857698008418083E-2</v>
      </c>
      <c r="CN113" s="9">
        <v>0.33537942171096802</v>
      </c>
      <c r="CO113">
        <v>2.8518073558807373</v>
      </c>
      <c r="CP113">
        <v>0.60656577348709106</v>
      </c>
      <c r="CQ113" t="s">
        <v>60</v>
      </c>
      <c r="CR113" s="8">
        <v>354.42391936146987</v>
      </c>
      <c r="CS113" s="9">
        <v>19.653757095781931</v>
      </c>
      <c r="CT113">
        <v>0.32727272727272727</v>
      </c>
      <c r="CU113">
        <v>0.18033392680808902</v>
      </c>
      <c r="CV113">
        <v>0.94222371326759458</v>
      </c>
      <c r="CW113">
        <v>0.06</v>
      </c>
      <c r="CX113">
        <v>83.483927744150037</v>
      </c>
      <c r="CY113">
        <v>65222134.932212114</v>
      </c>
      <c r="CZ113">
        <v>0.18033392680808902</v>
      </c>
      <c r="DA113">
        <v>25.293032931372014</v>
      </c>
      <c r="DB113">
        <v>215276673.80871263</v>
      </c>
      <c r="DC113">
        <v>0.17131723046768457</v>
      </c>
      <c r="DD113">
        <v>11.215623685829492</v>
      </c>
      <c r="DE113">
        <v>485483478.45154142</v>
      </c>
      <c r="DF113">
        <v>0.15869385559111834</v>
      </c>
      <c r="DG113">
        <v>5.9587011526620861</v>
      </c>
      <c r="DH113">
        <v>913789743.85507035</v>
      </c>
      <c r="DI113">
        <v>0.14426714144647121</v>
      </c>
      <c r="DJ113">
        <v>2.3156779838459003</v>
      </c>
      <c r="DK113">
        <v>2351363202.4764047</v>
      </c>
      <c r="DL113">
        <v>0.12623374876566232</v>
      </c>
      <c r="DM113">
        <v>58572800</v>
      </c>
      <c r="DN113">
        <v>0.18033392680808902</v>
      </c>
      <c r="DO113">
        <v>5445000000</v>
      </c>
      <c r="DP113">
        <v>1654239800</v>
      </c>
      <c r="DQ113" s="10">
        <v>4971</v>
      </c>
      <c r="DR113">
        <v>-0.94099241165657388</v>
      </c>
      <c r="DS113">
        <v>-52.174830359508462</v>
      </c>
      <c r="DT113">
        <v>-0.188</v>
      </c>
      <c r="DU113">
        <v>-0.62</v>
      </c>
      <c r="DV113">
        <v>-0.80800000000000005</v>
      </c>
      <c r="DW113">
        <v>-2.0983999999999998</v>
      </c>
      <c r="DX113">
        <v>0.24100047800068608</v>
      </c>
      <c r="DY113">
        <v>-2.0060024470352675</v>
      </c>
      <c r="DZ113">
        <v>3413</v>
      </c>
      <c r="EA113">
        <v>-2.0019910212018295</v>
      </c>
      <c r="EB113" s="11">
        <v>2</v>
      </c>
      <c r="EC113" s="11">
        <v>1.4867250000000002E-2</v>
      </c>
      <c r="ED113">
        <v>0.24372350000000001</v>
      </c>
      <c r="EE113">
        <v>0.11021</v>
      </c>
      <c r="EF113">
        <v>9.0910000000000005E-2</v>
      </c>
      <c r="EG113">
        <v>18.061000478000686</v>
      </c>
      <c r="EH113" s="13">
        <v>-1</v>
      </c>
      <c r="EI113" s="14">
        <v>0</v>
      </c>
      <c r="EJ113" s="14">
        <v>0</v>
      </c>
      <c r="EK113" s="14">
        <v>45489</v>
      </c>
      <c r="EL113" s="14">
        <v>-1.86</v>
      </c>
      <c r="EM113" s="14">
        <v>2.5</v>
      </c>
      <c r="EN113">
        <v>-1.29</v>
      </c>
      <c r="EO113">
        <v>-2.1</v>
      </c>
      <c r="EP113">
        <v>1.93</v>
      </c>
    </row>
    <row r="114" spans="1:146" ht="108" x14ac:dyDescent="0.25">
      <c r="A114" s="7"/>
      <c r="B114" s="7"/>
      <c r="C114" s="7" t="str">
        <f>""&amp;CHAR(10)&amp;Basic_Fundamental_Information_Constructure(F114)&amp;CHAR(10)&amp;Basic_Fundamental_Information_Concatenate("")</f>
        <v xml:space="preserve">
市值172.72331亿, 利润3.43亿; PE50.89; 平均PE90.51; 平均PEG1.91, PB4.91; ROIC10.31%; ROE10.0767%; 股利率.604%; 毛利48.89%; 净利20.5667%; 上一年度营收增59.54%, 利润增41.15%; 当季营收增56.34%, 利润增-62.08%; 过往5年营收增47.44%, 利润增31.93%
Income profile:
</v>
      </c>
      <c r="D114" t="s">
        <v>654</v>
      </c>
      <c r="E114" t="s">
        <v>655</v>
      </c>
      <c r="F114">
        <v>31.79</v>
      </c>
      <c r="G114">
        <v>3.48</v>
      </c>
      <c r="H114" t="s">
        <v>3980</v>
      </c>
      <c r="I114">
        <v>17272331000</v>
      </c>
      <c r="J114">
        <v>50.89</v>
      </c>
      <c r="K114">
        <v>4.91</v>
      </c>
      <c r="L114" t="s">
        <v>1166</v>
      </c>
      <c r="M114" t="s">
        <v>3005</v>
      </c>
      <c r="N114" t="s">
        <v>3452</v>
      </c>
      <c r="O114" t="s">
        <v>389</v>
      </c>
      <c r="P114">
        <v>56.44</v>
      </c>
      <c r="Q114" t="s">
        <v>3465</v>
      </c>
      <c r="R114">
        <v>1939924</v>
      </c>
      <c r="S114" s="5">
        <v>-0.62080000000000002</v>
      </c>
      <c r="T114" t="s">
        <v>243</v>
      </c>
      <c r="U114">
        <v>543325930</v>
      </c>
      <c r="V114">
        <v>543325930</v>
      </c>
      <c r="W114">
        <v>1.53</v>
      </c>
      <c r="X114">
        <v>7.0000000000000007E-2</v>
      </c>
      <c r="Y114">
        <v>4.1900000000000004</v>
      </c>
      <c r="Z114" t="s">
        <v>494</v>
      </c>
      <c r="AA114" t="s">
        <v>197</v>
      </c>
      <c r="AB114" t="s">
        <v>3453</v>
      </c>
      <c r="AC114" t="s">
        <v>3454</v>
      </c>
      <c r="AD114" t="s">
        <v>60</v>
      </c>
      <c r="AE114">
        <v>-5499071</v>
      </c>
      <c r="AF114" t="s">
        <v>3455</v>
      </c>
      <c r="AG114" t="s">
        <v>3456</v>
      </c>
      <c r="AH114" t="s">
        <v>3457</v>
      </c>
      <c r="AI114" t="s">
        <v>1635</v>
      </c>
      <c r="AJ114" t="s">
        <v>3458</v>
      </c>
      <c r="AK114" t="s">
        <v>3459</v>
      </c>
      <c r="AL114" t="s">
        <v>3460</v>
      </c>
      <c r="AM114" t="s">
        <v>60</v>
      </c>
      <c r="AN114" t="s">
        <v>3461</v>
      </c>
      <c r="AO114" t="s">
        <v>665</v>
      </c>
      <c r="AP114" t="s">
        <v>3462</v>
      </c>
      <c r="AQ114" t="s">
        <v>3463</v>
      </c>
      <c r="AR114" t="s">
        <v>60</v>
      </c>
      <c r="AS114" t="s">
        <v>1312</v>
      </c>
      <c r="AT114" t="s">
        <v>60</v>
      </c>
      <c r="AU114" t="s">
        <v>1110</v>
      </c>
      <c r="AV114" t="s">
        <v>3464</v>
      </c>
      <c r="AW114" t="s">
        <v>499</v>
      </c>
      <c r="AX114" t="s">
        <v>1366</v>
      </c>
      <c r="AY114" t="s">
        <v>1157</v>
      </c>
      <c r="AZ114" t="s">
        <v>550</v>
      </c>
      <c r="BA114" t="s">
        <v>286</v>
      </c>
      <c r="BB114" t="s">
        <v>383</v>
      </c>
      <c r="BC114" t="s">
        <v>278</v>
      </c>
      <c r="BD114" t="s">
        <v>202</v>
      </c>
      <c r="BE114" t="s">
        <v>387</v>
      </c>
      <c r="BF114" t="s">
        <v>264</v>
      </c>
      <c r="BG114" t="s">
        <v>974</v>
      </c>
      <c r="BH114" t="s">
        <v>3465</v>
      </c>
      <c r="BI114" t="s">
        <v>3981</v>
      </c>
      <c r="BJ114" t="s">
        <v>1366</v>
      </c>
      <c r="BK114" t="s">
        <v>243</v>
      </c>
      <c r="BL114" t="s">
        <v>3982</v>
      </c>
      <c r="BM114" t="s">
        <v>278</v>
      </c>
      <c r="BN114">
        <v>3.78</v>
      </c>
      <c r="BO114">
        <v>10.91</v>
      </c>
      <c r="BP114">
        <v>16.239999999999998</v>
      </c>
      <c r="BQ114">
        <v>3.17</v>
      </c>
      <c r="BR114">
        <v>10.52</v>
      </c>
      <c r="BS114">
        <v>16.54</v>
      </c>
      <c r="BT114" t="s">
        <v>3466</v>
      </c>
      <c r="BU114" t="s">
        <v>1166</v>
      </c>
      <c r="BV114">
        <v>48.33</v>
      </c>
      <c r="BW114">
        <v>48.86</v>
      </c>
      <c r="BX114">
        <v>49.48</v>
      </c>
      <c r="BY114">
        <v>19.16</v>
      </c>
      <c r="BZ114">
        <v>19.239999999999998</v>
      </c>
      <c r="CA114">
        <v>23.3</v>
      </c>
      <c r="CB114">
        <v>4.43</v>
      </c>
      <c r="CC114">
        <v>-8.25</v>
      </c>
      <c r="CD114" t="s">
        <v>3983</v>
      </c>
      <c r="CE114" t="s">
        <v>3984</v>
      </c>
      <c r="CF114" s="8">
        <v>0.56343283582089554</v>
      </c>
      <c r="CG114" s="9">
        <v>-0.62081976505541325</v>
      </c>
      <c r="CH114" s="8">
        <v>0.59543442726135254</v>
      </c>
      <c r="CI114" s="8">
        <v>0.51634609699249268</v>
      </c>
      <c r="CJ114" s="8">
        <v>0.47937411069869995</v>
      </c>
      <c r="CK114" s="8">
        <v>0.43762782216072083</v>
      </c>
      <c r="CL114" s="8">
        <v>0.34340658783912659</v>
      </c>
      <c r="CM114" s="9">
        <v>0.41152262687683105</v>
      </c>
      <c r="CN114" s="9">
        <v>0.10454545170068741</v>
      </c>
      <c r="CO114" s="9">
        <v>0.49659863114356995</v>
      </c>
      <c r="CP114" s="9">
        <v>0.42718446254730225</v>
      </c>
      <c r="CQ114" s="9">
        <v>0.15667310357093811</v>
      </c>
      <c r="CR114">
        <v>90.506197772408768</v>
      </c>
      <c r="CS114">
        <v>1.9076514573109231</v>
      </c>
      <c r="CT114">
        <v>0.60396351053790498</v>
      </c>
      <c r="CU114" s="8">
        <v>0.47443780899047849</v>
      </c>
      <c r="CV114" s="9">
        <v>0.31930485516786578</v>
      </c>
      <c r="CW114">
        <v>0.06</v>
      </c>
      <c r="CX114">
        <v>32.523877034191528</v>
      </c>
      <c r="CY114">
        <v>477105819.32427746</v>
      </c>
      <c r="CZ114">
        <v>0.47443780899047849</v>
      </c>
      <c r="DA114">
        <v>7.793094782373478</v>
      </c>
      <c r="DB114">
        <v>1991164156.645098</v>
      </c>
      <c r="DC114">
        <v>0.45071591854095455</v>
      </c>
      <c r="DD114">
        <v>2.4179059830930698</v>
      </c>
      <c r="DE114">
        <v>6417673436.6444178</v>
      </c>
      <c r="DF114">
        <v>0.41750527191162107</v>
      </c>
      <c r="DG114">
        <v>0.80971520972513467</v>
      </c>
      <c r="DH114">
        <v>19163936670.113312</v>
      </c>
      <c r="DI114">
        <v>0.37955024719238284</v>
      </c>
      <c r="DJ114">
        <v>9.6735068603589797E-2</v>
      </c>
      <c r="DK114">
        <v>160410606246.5144</v>
      </c>
      <c r="DL114">
        <v>0.3321064662933349</v>
      </c>
      <c r="DM114">
        <v>343000000</v>
      </c>
      <c r="DN114">
        <v>0.47443780899047849</v>
      </c>
      <c r="DO114">
        <v>15517331000</v>
      </c>
      <c r="DP114">
        <v>2522665600</v>
      </c>
      <c r="DQ114">
        <v>4976</v>
      </c>
      <c r="DR114">
        <v>8.8995026830417046E-2</v>
      </c>
      <c r="DS114">
        <v>-0.94012462022327903</v>
      </c>
      <c r="DT114" s="10">
        <v>0.22666666666666657</v>
      </c>
      <c r="DU114">
        <v>7.6666666666666591E-2</v>
      </c>
      <c r="DV114">
        <v>0.30333333333333318</v>
      </c>
      <c r="DW114">
        <v>6.3493690851735014</v>
      </c>
      <c r="DX114">
        <v>0.60826708511564953</v>
      </c>
      <c r="DY114">
        <v>6.0622810084434011</v>
      </c>
      <c r="DZ114">
        <v>1119</v>
      </c>
      <c r="EA114">
        <v>6.0486345529023469</v>
      </c>
      <c r="EB114">
        <v>6</v>
      </c>
      <c r="EC114">
        <v>2.9377394154554707E-2</v>
      </c>
      <c r="ED114">
        <v>0.16479426998818186</v>
      </c>
      <c r="EE114" s="11">
        <v>1.0199999999999999E-2</v>
      </c>
      <c r="EF114">
        <v>4.4999999999999998E-2</v>
      </c>
      <c r="EG114">
        <v>43.17826708511565</v>
      </c>
      <c r="EH114" t="s">
        <v>1060</v>
      </c>
      <c r="EI114">
        <v>0</v>
      </c>
      <c r="EJ114">
        <v>1</v>
      </c>
      <c r="EK114" s="13">
        <v>45489</v>
      </c>
      <c r="EL114" s="14">
        <v>-2.77</v>
      </c>
      <c r="EM114" s="14">
        <v>0.88</v>
      </c>
      <c r="EN114">
        <v>-1.4</v>
      </c>
      <c r="EO114">
        <v>1.22</v>
      </c>
      <c r="EP114">
        <v>3.48</v>
      </c>
    </row>
    <row r="115" spans="1:146" ht="96" x14ac:dyDescent="0.25">
      <c r="A115" s="7"/>
      <c r="B115" s="7"/>
      <c r="C115" s="7" t="str">
        <f>""&amp;CHAR(10)&amp;Basic_Fundamental_Information_Constructure(F115)&amp;CHAR(10)&amp;Basic_Fundamental_Information_Concatenate("")</f>
        <v xml:space="preserve">
市值33.957044亿, 利润-3038.52万; PE; 平均PE77.92; 平均PEG201.25, PB4.34; ROIC4.255%; ROE1.74%; 股利率0%; 毛利61.5833%; 净利2.88%; 上一年度营收增-35.36%, 利润增-203.16%; 当季营收增41.04%, 利润增95.34%; 过往5年营收增.39%, 利润增-49.86%
Income profile:
</v>
      </c>
      <c r="D115" t="s">
        <v>1053</v>
      </c>
      <c r="E115" t="s">
        <v>1054</v>
      </c>
      <c r="F115">
        <v>56.29</v>
      </c>
      <c r="G115">
        <v>3.59</v>
      </c>
      <c r="H115" t="s">
        <v>3985</v>
      </c>
      <c r="I115">
        <v>3395704400</v>
      </c>
      <c r="K115">
        <v>4.34</v>
      </c>
      <c r="L115" t="s">
        <v>1166</v>
      </c>
      <c r="M115" t="s">
        <v>3467</v>
      </c>
      <c r="N115" t="s">
        <v>188</v>
      </c>
      <c r="O115" t="s">
        <v>3468</v>
      </c>
      <c r="P115">
        <v>41.04</v>
      </c>
      <c r="Q115" t="s">
        <v>205</v>
      </c>
      <c r="R115">
        <v>-634142</v>
      </c>
      <c r="S115" s="5">
        <v>0.95340000000000003</v>
      </c>
      <c r="T115" t="s">
        <v>3482</v>
      </c>
      <c r="U115">
        <v>41251785</v>
      </c>
      <c r="V115">
        <v>60325180</v>
      </c>
      <c r="W115">
        <v>1.05</v>
      </c>
      <c r="X115">
        <v>0.05</v>
      </c>
      <c r="Y115">
        <v>-1.56</v>
      </c>
      <c r="Z115" t="s">
        <v>3469</v>
      </c>
      <c r="AA115" t="s">
        <v>3470</v>
      </c>
      <c r="AB115" t="s">
        <v>3471</v>
      </c>
      <c r="AC115" t="s">
        <v>3472</v>
      </c>
      <c r="AD115" t="s">
        <v>60</v>
      </c>
      <c r="AE115">
        <v>50477</v>
      </c>
      <c r="AF115" t="s">
        <v>3473</v>
      </c>
      <c r="AG115" t="s">
        <v>3474</v>
      </c>
      <c r="AH115" t="s">
        <v>3475</v>
      </c>
      <c r="AI115" t="s">
        <v>326</v>
      </c>
      <c r="AJ115" t="s">
        <v>3476</v>
      </c>
      <c r="AK115" t="s">
        <v>60</v>
      </c>
      <c r="AL115" t="s">
        <v>3477</v>
      </c>
      <c r="AM115" t="s">
        <v>60</v>
      </c>
      <c r="AN115">
        <v>0</v>
      </c>
      <c r="AO115" t="s">
        <v>60</v>
      </c>
      <c r="AP115" t="s">
        <v>60</v>
      </c>
      <c r="AQ115" t="s">
        <v>3478</v>
      </c>
      <c r="AR115" t="s">
        <v>60</v>
      </c>
      <c r="AS115" t="s">
        <v>3479</v>
      </c>
      <c r="AT115" t="s">
        <v>60</v>
      </c>
      <c r="AU115" t="s">
        <v>3480</v>
      </c>
      <c r="AV115" t="s">
        <v>364</v>
      </c>
      <c r="AW115" t="s">
        <v>3481</v>
      </c>
      <c r="AX115" t="s">
        <v>379</v>
      </c>
      <c r="AY115" t="s">
        <v>349</v>
      </c>
      <c r="AZ115" t="s">
        <v>373</v>
      </c>
      <c r="BA115" t="s">
        <v>460</v>
      </c>
      <c r="BB115" t="s">
        <v>323</v>
      </c>
      <c r="BC115" t="s">
        <v>1501</v>
      </c>
      <c r="BD115" t="s">
        <v>1218</v>
      </c>
      <c r="BE115" t="s">
        <v>1055</v>
      </c>
      <c r="BF115" t="s">
        <v>1056</v>
      </c>
      <c r="BG115" t="s">
        <v>1057</v>
      </c>
      <c r="BH115" t="s">
        <v>205</v>
      </c>
      <c r="BI115" t="s">
        <v>3986</v>
      </c>
      <c r="BJ115" t="s">
        <v>379</v>
      </c>
      <c r="BK115" t="s">
        <v>3482</v>
      </c>
      <c r="BL115" t="s">
        <v>3987</v>
      </c>
      <c r="BM115" t="s">
        <v>1501</v>
      </c>
      <c r="BN115" t="s">
        <v>60</v>
      </c>
      <c r="BO115">
        <v>3.45</v>
      </c>
      <c r="BP115">
        <v>5.0599999999999996</v>
      </c>
      <c r="BQ115">
        <v>-3.98</v>
      </c>
      <c r="BR115">
        <v>3.61</v>
      </c>
      <c r="BS115">
        <v>5.59</v>
      </c>
      <c r="BT115" t="s">
        <v>1343</v>
      </c>
      <c r="BU115" t="s">
        <v>1166</v>
      </c>
      <c r="BV115">
        <v>56.01</v>
      </c>
      <c r="BW115">
        <v>64.73</v>
      </c>
      <c r="BX115">
        <v>64.010000000000005</v>
      </c>
      <c r="BY115">
        <v>-17.87</v>
      </c>
      <c r="BZ115">
        <v>11.2</v>
      </c>
      <c r="CA115">
        <v>15.31</v>
      </c>
      <c r="CB115">
        <v>3.93</v>
      </c>
      <c r="CC115">
        <v>-4.3499999999999996</v>
      </c>
      <c r="CD115" t="s">
        <v>3988</v>
      </c>
      <c r="CE115" t="s">
        <v>3989</v>
      </c>
      <c r="CF115" s="8">
        <v>0.41044299624532421</v>
      </c>
      <c r="CG115" s="9">
        <v>0.95342773000007341</v>
      </c>
      <c r="CH115" s="8">
        <v>-0.35361215472221375</v>
      </c>
      <c r="CI115" s="8">
        <v>0.27669903635978699</v>
      </c>
      <c r="CJ115" s="8">
        <v>-0.11587982624769211</v>
      </c>
      <c r="CK115" s="8">
        <v>-2.1008403971791267E-2</v>
      </c>
      <c r="CL115" s="8">
        <v>0.23316061496734619</v>
      </c>
      <c r="CM115" s="9">
        <v>-2.0316119194030762</v>
      </c>
      <c r="CN115" s="9">
        <v>-6.8067483603954315E-2</v>
      </c>
      <c r="CO115" s="9">
        <v>-0.61494863033294678</v>
      </c>
      <c r="CP115" s="9">
        <v>6.0573522932827473E-3</v>
      </c>
      <c r="CQ115" s="9">
        <v>0.21534253656864166</v>
      </c>
      <c r="CR115">
        <v>77.921016641119081</v>
      </c>
      <c r="CS115">
        <v>201.24992107071506</v>
      </c>
      <c r="CT115">
        <v>0</v>
      </c>
      <c r="CU115" s="8">
        <v>3.8718532770872114E-3</v>
      </c>
      <c r="CV115" s="9">
        <v>-0.49864562889561059</v>
      </c>
      <c r="CW115">
        <v>0.06</v>
      </c>
      <c r="CX115" t="e">
        <v>#VALUE!</v>
      </c>
      <c r="CY115" t="s">
        <v>1223</v>
      </c>
      <c r="CZ115">
        <v>3.8718532770872114E-3</v>
      </c>
      <c r="DA115" t="e">
        <v>#VALUE!</v>
      </c>
      <c r="DB115" t="s">
        <v>1224</v>
      </c>
      <c r="DC115">
        <v>3.6782606132328508E-3</v>
      </c>
      <c r="DD115" t="e">
        <v>#VALUE!</v>
      </c>
      <c r="DE115" t="s">
        <v>1224</v>
      </c>
      <c r="DF115">
        <v>3.4072308838367462E-3</v>
      </c>
      <c r="DG115" t="e">
        <v>#VALUE!</v>
      </c>
      <c r="DH115" t="s">
        <v>1224</v>
      </c>
      <c r="DI115">
        <v>3.0974826216697694E-3</v>
      </c>
      <c r="DJ115" t="e">
        <v>#VALUE!</v>
      </c>
      <c r="DK115" t="s">
        <v>1224</v>
      </c>
      <c r="DL115">
        <v>2.7102972939610477E-3</v>
      </c>
      <c r="DM115">
        <v>-30385200</v>
      </c>
      <c r="DN115">
        <v>3.8718532770872114E-3</v>
      </c>
      <c r="DO115">
        <v>2655917500</v>
      </c>
      <c r="DP115">
        <v>485036390</v>
      </c>
      <c r="DQ115">
        <v>5100</v>
      </c>
      <c r="DR115">
        <v>0.40657114296823699</v>
      </c>
      <c r="DS115">
        <v>1.452073358895684</v>
      </c>
      <c r="DT115" s="10">
        <v>-0.35666666666666669</v>
      </c>
      <c r="DU115">
        <v>-1.595</v>
      </c>
      <c r="DV115">
        <v>-1.9516666666666667</v>
      </c>
      <c r="DW115">
        <v>6.47463768115942</v>
      </c>
      <c r="DX115">
        <v>0.40585764638767841</v>
      </c>
      <c r="DY115">
        <v>6.0787222886840064</v>
      </c>
      <c r="DZ115">
        <v>4345</v>
      </c>
      <c r="EA115">
        <v>6.0117459142309011</v>
      </c>
      <c r="EB115">
        <v>6</v>
      </c>
      <c r="EC115">
        <v>0.10795657799943573</v>
      </c>
      <c r="ED115">
        <v>0.65089901099341929</v>
      </c>
      <c r="EE115" s="11">
        <v>-1.0758000000000001</v>
      </c>
      <c r="EF115">
        <v>-1.1116999999999999</v>
      </c>
      <c r="EG115">
        <v>24.165857646387678</v>
      </c>
      <c r="EH115" t="s">
        <v>1225</v>
      </c>
      <c r="EI115">
        <v>0</v>
      </c>
      <c r="EJ115">
        <v>0</v>
      </c>
      <c r="EK115" s="13">
        <v>45489</v>
      </c>
      <c r="EL115" s="14">
        <v>-2.2799999999999998</v>
      </c>
      <c r="EM115" s="14">
        <v>3.26</v>
      </c>
      <c r="EN115">
        <v>-0.65</v>
      </c>
      <c r="EO115">
        <v>-3.52</v>
      </c>
      <c r="EP115">
        <v>3.59</v>
      </c>
    </row>
    <row r="116" spans="1:146" x14ac:dyDescent="0.25">
      <c r="A116" s="7"/>
      <c r="B116" s="7"/>
      <c r="C116" s="7"/>
      <c r="S116" s="5"/>
    </row>
    <row r="117" spans="1:146" x14ac:dyDescent="0.25">
      <c r="S117" s="5"/>
    </row>
    <row r="118" spans="1:146" x14ac:dyDescent="0.25">
      <c r="S118" s="5"/>
    </row>
    <row r="119" spans="1:146" x14ac:dyDescent="0.25">
      <c r="S119" s="5"/>
    </row>
    <row r="120" spans="1:146" x14ac:dyDescent="0.25">
      <c r="S120" s="5"/>
    </row>
    <row r="121" spans="1:146" x14ac:dyDescent="0.25">
      <c r="S121" s="5"/>
    </row>
    <row r="122" spans="1:146" x14ac:dyDescent="0.25">
      <c r="S122" s="6"/>
    </row>
  </sheetData>
  <autoFilter ref="BU1:BU12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IT服务&quot;,&quot;&quot;'" altText="更新基本面按钮_x000a_">
                <anchor moveWithCells="1" sizeWithCells="1">
                  <from>
                    <xdr:col>147</xdr:col>
                    <xdr:colOff>304800</xdr:colOff>
                    <xdr:row>0</xdr:row>
                    <xdr:rowOff>95250</xdr:rowOff>
                  </from>
                  <to>
                    <xdr:col>147</xdr:col>
                    <xdr:colOff>1492250</xdr:colOff>
                    <xdr:row>0</xdr:row>
                    <xdr:rowOff>393700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计算机应用</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2024-07-16T13:33:20Z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