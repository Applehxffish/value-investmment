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有色金属\"/>
    </mc:Choice>
  </mc:AlternateContent>
  <bookViews>
    <workbookView xWindow="-110" yWindow="-110" windowWidth="23260" windowHeight="13180"/>
  </bookViews>
  <sheets>
    <sheet name="小金属" sheetId="15" r:id="rId1"/>
    <sheet name="估值-增速与年化收益" sheetId="14" r:id="rId2"/>
  </sheets>
  <functionGroups builtInGroupCount="18"/>
  <definedNames>
    <definedName name="_xlnm._FilterDatabase" localSheetId="0" hidden="1">小金属!$BU$1:$BU$18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9" i="15"/>
  <c r="C14" i="15"/>
  <c r="C7" i="15"/>
  <c r="C5" i="15"/>
  <c r="C4" i="15"/>
  <c r="C2" i="15"/>
  <c r="C18" i="15"/>
  <c r="C16" i="15"/>
  <c r="C6" i="15"/>
  <c r="C13" i="15"/>
  <c r="C8" i="15"/>
  <c r="C17" i="15"/>
  <c r="C15" i="15"/>
  <c r="C12" i="15"/>
  <c r="C10" i="15"/>
  <c r="C3" i="15"/>
  <c r="C11" i="15"/>
</calcChain>
</file>

<file path=xl/sharedStrings.xml><?xml version="1.0" encoding="utf-8"?>
<sst xmlns="http://schemas.openxmlformats.org/spreadsheetml/2006/main" count="1073" uniqueCount="868">
  <si>
    <t>&lt;-增速</t>
    <phoneticPr fontId="1" type="noConversion"/>
  </si>
  <si>
    <t>&lt;-估值</t>
    <phoneticPr fontId="1" type="noConversion"/>
  </si>
  <si>
    <t>&lt;-折合年化收益</t>
    <phoneticPr fontId="1" type="noConversion"/>
  </si>
  <si>
    <t>现价</t>
  </si>
  <si>
    <t>市净率</t>
  </si>
  <si>
    <t>--</t>
  </si>
  <si>
    <t>代码</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</si>
  <si>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</si>
  <si>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</si>
  <si>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</si>
  <si>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</si>
  <si>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</si>
  <si>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</si>
  <si>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</si>
  <si>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</si>
  <si>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</si>
  <si>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</si>
  <si>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</si>
  <si>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</si>
  <si>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</si>
  <si>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</si>
  <si>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1.07亿</t>
  </si>
  <si>
    <t>1.03亿</t>
  </si>
  <si>
    <t>1.19亿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</si>
  <si>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</si>
  <si>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</si>
  <si>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</si>
  <si>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</si>
  <si>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</si>
  <si>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</si>
  <si>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</si>
  <si>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</si>
  <si>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</si>
  <si>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</si>
  <si>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</si>
  <si>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</si>
  <si>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</si>
  <si>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1.17亿</t>
  </si>
  <si>
    <t>1.34亿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</si>
  <si>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</si>
  <si>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</si>
  <si>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</si>
  <si>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</si>
  <si>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</si>
  <si>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</si>
  <si>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</si>
  <si>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</si>
  <si>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</si>
  <si>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</si>
  <si>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</si>
  <si>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</si>
  <si>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</si>
  <si>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</si>
  <si>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</si>
  <si>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</si>
  <si>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</si>
  <si>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2.70亿</t>
  </si>
  <si>
    <t>1.91亿</t>
  </si>
  <si>
    <t>SZ000762</t>
  </si>
  <si>
    <t>西藏矿业</t>
  </si>
  <si>
    <t>3.83亿</t>
  </si>
  <si>
    <t>-4851.67万</t>
  </si>
  <si>
    <t>6.57亿</t>
  </si>
  <si>
    <t>5.00亿</t>
  </si>
  <si>
    <t>8443.42万</t>
  </si>
  <si>
    <t>-1.81亿</t>
  </si>
  <si>
    <t>7.08亿</t>
  </si>
  <si>
    <t>1.59亿</t>
  </si>
  <si>
    <t>13.41亿</t>
  </si>
  <si>
    <t>6.01亿</t>
  </si>
  <si>
    <t>10.95亿</t>
  </si>
  <si>
    <t>4.88亿</t>
  </si>
  <si>
    <t>1.41亿</t>
  </si>
  <si>
    <t>1.11亿</t>
  </si>
  <si>
    <t>2.86亿</t>
  </si>
  <si>
    <t>1.55亿</t>
  </si>
  <si>
    <t>SZ002192</t>
  </si>
  <si>
    <t>融捷股份</t>
  </si>
  <si>
    <t>3.90亿</t>
  </si>
  <si>
    <t>2104.48万</t>
  </si>
  <si>
    <t>1.20亿</t>
  </si>
  <si>
    <t>-3.26亿</t>
  </si>
  <si>
    <t>-703.63万</t>
  </si>
  <si>
    <t>SZ002240</t>
  </si>
  <si>
    <t>盛新锂能</t>
  </si>
  <si>
    <t>17.91亿</t>
  </si>
  <si>
    <t>2717.47万</t>
  </si>
  <si>
    <t>22.79亿</t>
  </si>
  <si>
    <t>25.18亿</t>
  </si>
  <si>
    <t>-5924.06万</t>
  </si>
  <si>
    <t>1.04亿</t>
  </si>
  <si>
    <t>4.64亿</t>
  </si>
  <si>
    <t>SZ002460</t>
  </si>
  <si>
    <t>赣锋锂业</t>
  </si>
  <si>
    <t>55.24亿</t>
  </si>
  <si>
    <t>10.25亿</t>
  </si>
  <si>
    <t>53.42亿</t>
  </si>
  <si>
    <t>50.04亿</t>
  </si>
  <si>
    <t>3.58亿</t>
  </si>
  <si>
    <t>SZ002466</t>
  </si>
  <si>
    <t>天齐锂业</t>
  </si>
  <si>
    <t>32.39亿</t>
  </si>
  <si>
    <t>-18.34亿</t>
  </si>
  <si>
    <t>48.41亿</t>
  </si>
  <si>
    <t>62.44亿</t>
  </si>
  <si>
    <t>-59.83亿</t>
  </si>
  <si>
    <t>22.00亿</t>
  </si>
  <si>
    <t>22.54亿</t>
  </si>
  <si>
    <t>SZ002738</t>
  </si>
  <si>
    <t>中矿资源</t>
  </si>
  <si>
    <t>12.76亿</t>
  </si>
  <si>
    <t>1.74亿</t>
  </si>
  <si>
    <t>11.65亿</t>
  </si>
  <si>
    <t>8.67亿</t>
  </si>
  <si>
    <t>1.40亿</t>
  </si>
  <si>
    <t>SZ300618</t>
  </si>
  <si>
    <t>寒锐钴业</t>
  </si>
  <si>
    <t>3.35亿</t>
  </si>
  <si>
    <t>17.79亿</t>
  </si>
  <si>
    <t>27.82亿</t>
  </si>
  <si>
    <t>1386.57万</t>
  </si>
  <si>
    <t>5.13亿</t>
  </si>
  <si>
    <t>3.63亿</t>
  </si>
  <si>
    <t>3.00亿</t>
  </si>
  <si>
    <t>6.14亿</t>
  </si>
  <si>
    <t>SH600711</t>
  </si>
  <si>
    <t>盛屯矿业</t>
  </si>
  <si>
    <t>392.36亿</t>
  </si>
  <si>
    <t>5908.80万</t>
  </si>
  <si>
    <t>359.03亿</t>
  </si>
  <si>
    <t>326.65亿</t>
  </si>
  <si>
    <t>1.89亿</t>
  </si>
  <si>
    <t>SH603399</t>
  </si>
  <si>
    <t>吉翔股份</t>
  </si>
  <si>
    <t>22.90亿</t>
  </si>
  <si>
    <t>-2.63亿</t>
  </si>
  <si>
    <t>28.55亿</t>
  </si>
  <si>
    <t>37.30亿</t>
  </si>
  <si>
    <t>-2.26亿</t>
  </si>
  <si>
    <t>SH603799</t>
  </si>
  <si>
    <t>华友钴业</t>
  </si>
  <si>
    <t>211.87亿</t>
  </si>
  <si>
    <t>188.53亿</t>
  </si>
  <si>
    <t>144.51亿</t>
  </si>
  <si>
    <t>15.28亿</t>
  </si>
  <si>
    <t>23.29亿</t>
  </si>
  <si>
    <t>SH605376</t>
  </si>
  <si>
    <t>5.96亿</t>
  </si>
  <si>
    <t>4.81亿</t>
  </si>
  <si>
    <t>5.28亿</t>
  </si>
  <si>
    <t>流通股本</t>
  </si>
  <si>
    <t>投入资本回报率roic%[20201231]</t>
  </si>
  <si>
    <t>净资产收益率%[20201231]</t>
  </si>
  <si>
    <t>1.00亿</t>
  </si>
  <si>
    <t>1.10亿</t>
  </si>
  <si>
    <t>SZ301219</t>
  </si>
  <si>
    <t>腾远钴业</t>
  </si>
  <si>
    <t>17.87亿</t>
  </si>
  <si>
    <t>17.39亿</t>
  </si>
  <si>
    <t>16.71亿</t>
  </si>
  <si>
    <t>1.85亿</t>
  </si>
  <si>
    <t>1.公司业绩高速增长的原因主要是公司锂产品销售量价齐升；2.预计到2025年，国内各类锂资源产能合计50万吨左右产能，全球锂资源供应量150万吨左右；2.从布局上看，产业链上下游企业均在积极开展回收再利用布局，随着动力电池报废高潮的临近，对废弃动力电池加以合理回收利用有极大的意义和必要性；</t>
    <phoneticPr fontId="1" type="noConversion"/>
  </si>
  <si>
    <t>1.国内有关报道讲，钴在蓄电池行业、金刚石工具行业和催化剂行业的应用也将进一步扩大，从而对金属钴的需求呈上升趋势。</t>
    <phoneticPr fontId="1" type="noConversion"/>
  </si>
  <si>
    <t>1.由于钴、铜、镍金属受全球经济、新冠疫情、供需关系、市场预期、投机炒作等众多因素影响，钴、铜、镍金属价格具有高波动性特征，进而传导引致产品市场价格波动。</t>
    <phoneticPr fontId="1" type="noConversion"/>
  </si>
  <si>
    <t>1.预计一季报业绩：净利润7.600亿元至8.000亿元，增长幅度为8.3倍至8.79倍 变动原因：新能源、新材料市场需求增长显著，公司主要产品锂盐、铯盐及甲酸铯租售业务生产经营良好。公司新建的2.5万吨电池级氢氧化锂和电池级碳酸锂生产线于2021年11月达产，公司6000吨氟化锂生产线改扩建完成。新建产能的释放和锂盐产品价格的上涨使公司盈利能力同比显著提升。</t>
    <phoneticPr fontId="1" type="noConversion"/>
  </si>
  <si>
    <t>净利润[20201231]</t>
  </si>
  <si>
    <t>6.44亿</t>
  </si>
  <si>
    <t>1.95亿</t>
  </si>
  <si>
    <t>7.95亿</t>
  </si>
  <si>
    <t>1.51亿</t>
  </si>
  <si>
    <t>9.21亿</t>
  </si>
  <si>
    <t>6828.94万</t>
  </si>
  <si>
    <t>6.63亿</t>
  </si>
  <si>
    <t>1.65亿</t>
  </si>
  <si>
    <t>111.62亿</t>
  </si>
  <si>
    <t>52.28亿</t>
  </si>
  <si>
    <t>76.63亿</t>
  </si>
  <si>
    <t>20.79亿</t>
  </si>
  <si>
    <t>2.38亿</t>
  </si>
  <si>
    <t>43.50亿</t>
  </si>
  <si>
    <t>22.37亿</t>
  </si>
  <si>
    <t>41.60亿</t>
  </si>
  <si>
    <t>11.50亿</t>
  </si>
  <si>
    <t>3.87亿</t>
  </si>
  <si>
    <t>353.17亿</t>
  </si>
  <si>
    <t>38.98亿</t>
  </si>
  <si>
    <t>9.70亿</t>
  </si>
  <si>
    <t xml:space="preserve">    名称</t>
  </si>
  <si>
    <t>净利润?</t>
  </si>
  <si>
    <t>扣非净利润</t>
  </si>
  <si>
    <t>营业总收入[20201231]</t>
  </si>
  <si>
    <t>投入资本回报率roic%[20211231]</t>
  </si>
  <si>
    <t>净资产收益率%[20211231]</t>
  </si>
  <si>
    <t>13.13亿</t>
  </si>
  <si>
    <t>1.08亿</t>
  </si>
  <si>
    <t>扭亏</t>
  </si>
  <si>
    <t>1.信披有问题，多次被证监会点名；多年信披考核C</t>
    <phoneticPr fontId="1" type="noConversion"/>
  </si>
  <si>
    <t>1.公司在未来民爆需求最旺盛的中西部以及内蒙、山西、云南等区域均有产业与市场布局；2.公司专注于氢氧化锂的研发、生产和销售，同时配有碳酸锂，生产工艺水平和装备技术水平处于行业前列。公司在多年的生产管控过程中积淀了大量的工艺诀窍和技术诀窍，确保了产品质量持续稳定，与国内外众多优质客户建立了良好的合作关系；3.按照行业要求，到2022年6月，普通工业雷管全部置换为工业数码电子雷管。公司是全国最早从事电子雷管生产的企业之一，技术底蕴深厚，产能位居行业前列，公司将依托电子雷管技术、渠道优势，不断提高电子雷管产能，提升电子雷管在全国的市场占有率</t>
    <phoneticPr fontId="1" type="noConversion"/>
  </si>
  <si>
    <t>SZ002497</t>
  </si>
  <si>
    <t>雅化集团</t>
  </si>
  <si>
    <t>52.41亿</t>
  </si>
  <si>
    <t>9.37亿</t>
  </si>
  <si>
    <t>32.50亿</t>
  </si>
  <si>
    <t>31.97亿</t>
  </si>
  <si>
    <t>30.67亿</t>
  </si>
  <si>
    <t>3.24亿</t>
  </si>
  <si>
    <t>7168.00万</t>
  </si>
  <si>
    <t>1.83亿</t>
  </si>
  <si>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</si>
  <si>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</si>
  <si>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</si>
  <si>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</si>
  <si>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</si>
  <si>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</si>
  <si>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</si>
  <si>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</si>
  <si>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</si>
  <si>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能源金属</t>
  </si>
  <si>
    <t>1.68亿</t>
  </si>
  <si>
    <t>SZ002176</t>
  </si>
  <si>
    <t>江特电机</t>
  </si>
  <si>
    <t>29.82亿</t>
  </si>
  <si>
    <t>3.86亿</t>
  </si>
  <si>
    <t>18.44亿</t>
  </si>
  <si>
    <t>30.17亿</t>
  </si>
  <si>
    <t>1432.65万</t>
  </si>
  <si>
    <t>2.90亿</t>
  </si>
  <si>
    <t>1.25亿</t>
  </si>
  <si>
    <t>SZ002756</t>
  </si>
  <si>
    <t>永兴材料</t>
  </si>
  <si>
    <t>71.99亿</t>
  </si>
  <si>
    <t>8.87亿</t>
  </si>
  <si>
    <t>49.73亿</t>
  </si>
  <si>
    <t>49.09亿</t>
  </si>
  <si>
    <t>47.94亿</t>
  </si>
  <si>
    <t>2.58亿</t>
  </si>
  <si>
    <t>3.44亿</t>
  </si>
  <si>
    <t>SZ300390</t>
  </si>
  <si>
    <t>33.98亿</t>
  </si>
  <si>
    <t>9.11亿</t>
  </si>
  <si>
    <t>7.58亿</t>
  </si>
  <si>
    <t>7.78亿</t>
  </si>
  <si>
    <t>6184.02万</t>
  </si>
  <si>
    <t>5027.69万</t>
  </si>
  <si>
    <t>3.02亿</t>
  </si>
  <si>
    <t>1.38亿</t>
  </si>
  <si>
    <t>7.20亿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</si>
  <si>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</si>
  <si>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</si>
  <si>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</si>
  <si>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</si>
  <si>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</si>
  <si>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</si>
  <si>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</si>
  <si>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</si>
  <si>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</si>
  <si>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</si>
  <si>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</si>
  <si>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</si>
  <si>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</si>
  <si>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</si>
  <si>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</si>
  <si>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</si>
  <si>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</si>
  <si>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</si>
  <si>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</si>
  <si>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</si>
  <si>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</si>
  <si>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</si>
  <si>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</si>
  <si>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</si>
  <si>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</si>
  <si>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</si>
  <si>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</si>
  <si>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</si>
  <si>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</si>
  <si>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</si>
  <si>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</si>
  <si>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</si>
  <si>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</si>
  <si>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扣非对比净利润</t>
    <phoneticPr fontId="1" type="noConversion"/>
  </si>
  <si>
    <t>股利率</t>
    <phoneticPr fontId="1" type="noConversion"/>
  </si>
  <si>
    <t>折现率</t>
    <phoneticPr fontId="1" type="noConversion"/>
  </si>
  <si>
    <t>1年自由现金流折现</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</si>
  <si>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</si>
  <si>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</si>
  <si>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</si>
  <si>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</si>
  <si>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原始顺序</t>
    <phoneticPr fontId="1" type="noConversion"/>
  </si>
  <si>
    <t>策略1利润单季最佳增速</t>
    <phoneticPr fontId="1" type="noConversion"/>
  </si>
  <si>
    <t>营收和利润加权</t>
    <phoneticPr fontId="1" type="noConversion"/>
  </si>
  <si>
    <t>5日成交换手率</t>
    <phoneticPr fontId="1" type="noConversion"/>
  </si>
  <si>
    <t>30日成交换手率</t>
    <phoneticPr fontId="1" type="noConversion"/>
  </si>
  <si>
    <t>昨日价格累计指数</t>
    <phoneticPr fontId="1" type="noConversion"/>
  </si>
  <si>
    <t>成交量异动策略</t>
    <phoneticPr fontId="1" type="noConversion"/>
  </si>
  <si>
    <t>N日期</t>
    <phoneticPr fontId="1" type="noConversion"/>
  </si>
  <si>
    <t>N-2</t>
    <phoneticPr fontId="1" type="noConversion"/>
  </si>
  <si>
    <t>N-1</t>
    <phoneticPr fontId="1" type="noConversion"/>
  </si>
  <si>
    <t>N</t>
    <phoneticPr fontId="1" type="noConversion"/>
  </si>
  <si>
    <t>过往营收增速均值</t>
    <phoneticPr fontId="1" type="noConversion"/>
  </si>
  <si>
    <t>过往利润增速均值</t>
    <phoneticPr fontId="1" type="noConversion"/>
  </si>
  <si>
    <t>1增速</t>
    <phoneticPr fontId="1" type="noConversion"/>
  </si>
  <si>
    <t>3增速</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</si>
  <si>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</si>
  <si>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</si>
  <si>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</si>
  <si>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</si>
  <si>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策略1营收单季最佳增速</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</si>
  <si>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</si>
  <si>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</si>
  <si>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</si>
  <si>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</si>
  <si>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</si>
  <si>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</si>
  <si>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</si>
  <si>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</si>
  <si>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今日价格累积指数</t>
    <phoneticPr fontId="1" type="noConversion"/>
  </si>
  <si>
    <t>价格箱体形态过滤</t>
    <phoneticPr fontId="1" type="noConversion"/>
  </si>
  <si>
    <t>价格右侧初期策略</t>
    <phoneticPr fontId="1" type="noConversion"/>
  </si>
  <si>
    <t>N-4</t>
    <phoneticPr fontId="1" type="noConversion"/>
  </si>
  <si>
    <t>N-3</t>
    <phoneticPr fontId="1" type="noConversion"/>
  </si>
  <si>
    <t>不分配不转增</t>
  </si>
  <si>
    <t>1.28亿</t>
  </si>
  <si>
    <t>3.05亿</t>
  </si>
  <si>
    <t>2.29亿</t>
  </si>
  <si>
    <t>10派1元(含税)</t>
  </si>
  <si>
    <t>2.74亿</t>
  </si>
  <si>
    <t>1.63亿</t>
  </si>
  <si>
    <t>22.63亿</t>
  </si>
  <si>
    <t>2.22亿</t>
  </si>
  <si>
    <t>亏损</t>
  </si>
  <si>
    <r>
      <t>1.全球锂资源供给大部分来自盐湖和硬岩锂矿，其中成熟的盐湖主要分布在南美锂三角和中国，大部分锂矿山依然集中在西澳；2.8月美国《2022削减通胀法案》提出：</t>
    </r>
    <r>
      <rPr>
        <sz val="9"/>
        <color rgb="FFFF0000"/>
        <rFont val="宋体"/>
        <family val="3"/>
        <charset val="134"/>
        <scheme val="minor"/>
      </rPr>
      <t>新能源车必须在美国本土制造才能享受补贴，进口车无补贴资格；电池关键矿物金属必须有40%-80%的比例在美国或与美国签订FTA（自由贸易协定）的国家或地区进行加工才可以享受补贴</t>
    </r>
    <r>
      <rPr>
        <sz val="9"/>
        <color theme="1"/>
        <rFont val="宋体"/>
        <family val="2"/>
        <charset val="134"/>
        <scheme val="minor"/>
      </rPr>
      <t>；2025年起，电池关键矿物金属不得来自某些国家的“敏感实体”。公司积极制定全球化的战略布局，目前主要的锂原材料进口来源为澳大利亚Mt Marion矿山，澳大利亚皮尔巴拉矿山等，均属于来自与美国签的FTA的国家。公司正在建设中的墨西哥Sonora锂黏土项目位置处于美墨边界，墨西哥也属于与美国签订FTA的国家。但是截止目前，对于这一法案如何落地还有待证实。因此，上述法案对公司以及中国锂产业公司的影响究竟如何，</t>
    </r>
    <r>
      <rPr>
        <sz val="9"/>
        <color rgb="FFFF0000"/>
        <rFont val="宋体"/>
        <family val="3"/>
        <charset val="134"/>
        <scheme val="minor"/>
      </rPr>
      <t>并无明确结论</t>
    </r>
    <r>
      <rPr>
        <sz val="9"/>
        <color theme="1"/>
        <rFont val="宋体"/>
        <family val="2"/>
        <charset val="134"/>
        <scheme val="minor"/>
      </rPr>
      <t>。公司将积极关注事项的发展，待法案的具体落地细则公布后再进行判断。</t>
    </r>
    <phoneticPr fontId="1" type="noConversion"/>
  </si>
  <si>
    <t>1.与阿根廷YPF能源公司签署产业链合作备忘录2022年8月，公司与阿根廷YPF能源公司在中阿两国签署的“一带一路”谅解备忘录的指引下成功签署合作备忘录，将充分发挥各自的产业优势;</t>
    <phoneticPr fontId="1" type="noConversion"/>
  </si>
  <si>
    <t>1.二期年产2万吨电池级碳酸锂项目于10月全面达产，公司目前已具有年产3万吨电池级碳酸锂产能;</t>
    <phoneticPr fontId="1" type="noConversion"/>
  </si>
  <si>
    <r>
      <t>1.关于未来碳酸锂生产成本，主要有原料、辅料和能源三个方面影响。原料方面，如果</t>
    </r>
    <r>
      <rPr>
        <sz val="9"/>
        <color rgb="FFFF0000"/>
        <rFont val="宋体"/>
        <family val="3"/>
        <charset val="134"/>
        <scheme val="minor"/>
      </rPr>
      <t>碳酸锂</t>
    </r>
    <r>
      <rPr>
        <sz val="9"/>
        <color theme="1"/>
        <rFont val="宋体"/>
        <family val="2"/>
        <charset val="134"/>
        <scheme val="minor"/>
      </rPr>
      <t>价格持续上涨，那么原矿价格也会随之提升；辅料主要是</t>
    </r>
    <r>
      <rPr>
        <sz val="9"/>
        <color rgb="FFFF0000"/>
        <rFont val="宋体"/>
        <family val="3"/>
        <charset val="134"/>
        <scheme val="minor"/>
      </rPr>
      <t>纯碱</t>
    </r>
    <r>
      <rPr>
        <sz val="9"/>
        <color theme="1"/>
        <rFont val="宋体"/>
        <family val="2"/>
        <charset val="134"/>
        <scheme val="minor"/>
      </rPr>
      <t>，随行就市采购；能源主要是</t>
    </r>
    <r>
      <rPr>
        <sz val="9"/>
        <color rgb="FFFF0000"/>
        <rFont val="宋体"/>
        <family val="3"/>
        <charset val="134"/>
        <scheme val="minor"/>
      </rPr>
      <t>天然气，其次是电力</t>
    </r>
    <r>
      <rPr>
        <sz val="9"/>
        <color theme="1"/>
        <rFont val="宋体"/>
        <family val="2"/>
        <charset val="134"/>
        <scheme val="minor"/>
      </rPr>
      <t>。</t>
    </r>
    <phoneticPr fontId="1" type="noConversion"/>
  </si>
  <si>
    <r>
      <t>1.预计年报业绩：净利润64.00亿元至68.00亿元，增长幅度为</t>
    </r>
    <r>
      <rPr>
        <b/>
        <sz val="9"/>
        <color rgb="FFFF0000"/>
        <rFont val="宋体"/>
        <family val="3"/>
        <charset val="134"/>
        <scheme val="minor"/>
      </rPr>
      <t>6.03倍至6.47倍</t>
    </r>
    <r>
      <rPr>
        <sz val="9"/>
        <color theme="1"/>
        <rFont val="宋体"/>
        <family val="2"/>
        <charset val="134"/>
        <scheme val="minor"/>
      </rPr>
      <t xml:space="preserve"> 变动原因 ▲ 
原因：1、报告期内，公司新增的二期年产2.5万吨电池级</t>
    </r>
    <r>
      <rPr>
        <sz val="9"/>
        <color rgb="FFFF0000"/>
        <rFont val="宋体"/>
        <family val="3"/>
        <charset val="134"/>
        <scheme val="minor"/>
      </rPr>
      <t>氢氧化锂</t>
    </r>
    <r>
      <rPr>
        <sz val="9"/>
        <color theme="1"/>
        <rFont val="宋体"/>
        <family val="2"/>
        <charset val="134"/>
        <scheme val="minor"/>
      </rPr>
      <t>生产项目顺利达产，公司产销量同比实现大幅增长； 2、报告期内，受益于新能源汽车产业政策和锂盐市场旺盛需求的双重驱动，公司电池级氢氧化锂产品出货数量及销售金额同比大幅增长，为公司带来了较大利润贡献。</t>
    </r>
    <phoneticPr fontId="1" type="noConversion"/>
  </si>
  <si>
    <t>1-1</t>
  </si>
  <si>
    <t>1.亚洲最大锂矿盐湖；</t>
    <phoneticPr fontId="1" type="noConversion"/>
  </si>
  <si>
    <t>1-0</t>
  </si>
  <si>
    <t>0亿</t>
  </si>
  <si>
    <t>2.75亿</t>
  </si>
  <si>
    <t>2.16亿</t>
  </si>
  <si>
    <t>2.73亿</t>
  </si>
  <si>
    <t>3.99亿</t>
  </si>
  <si>
    <t>-2-0</t>
  </si>
  <si>
    <t>22.09亿</t>
  </si>
  <si>
    <t>7.62亿</t>
  </si>
  <si>
    <t>3.19亿</t>
  </si>
  <si>
    <t>38.39亿</t>
  </si>
  <si>
    <t>6.40亿</t>
  </si>
  <si>
    <t>14.51亿</t>
  </si>
  <si>
    <t>65.72亿</t>
  </si>
  <si>
    <t>23.26亿</t>
  </si>
  <si>
    <t>4.76亿</t>
  </si>
  <si>
    <t>26.89亿</t>
  </si>
  <si>
    <t>29.49亿</t>
  </si>
  <si>
    <t>-19.06亿</t>
  </si>
  <si>
    <t>-17.59亿</t>
  </si>
  <si>
    <t>17.99亿</t>
  </si>
  <si>
    <t>1.49亿</t>
  </si>
  <si>
    <t>29.92亿</t>
  </si>
  <si>
    <t>24.40亿</t>
  </si>
  <si>
    <t>1.05亿</t>
  </si>
  <si>
    <t>120.39亿</t>
  </si>
  <si>
    <t>55.52亿</t>
  </si>
  <si>
    <t>8.66亿</t>
  </si>
  <si>
    <t>139.41万</t>
  </si>
  <si>
    <t>418.23亿</t>
  </si>
  <si>
    <t>205.04亿</t>
  </si>
  <si>
    <t>10派10元(含税)</t>
  </si>
  <si>
    <t>404.49亿</t>
  </si>
  <si>
    <t>241.25亿</t>
  </si>
  <si>
    <t>144.57亿</t>
  </si>
  <si>
    <t>45.38亿</t>
  </si>
  <si>
    <t>1.29亿</t>
  </si>
  <si>
    <t>-8.39亿</t>
  </si>
  <si>
    <t>SZ002667</t>
  </si>
  <si>
    <t>威领股份</t>
  </si>
  <si>
    <t>11.86亿</t>
  </si>
  <si>
    <t>-9592.25万</t>
  </si>
  <si>
    <t>505.15万</t>
  </si>
  <si>
    <t>1095.22万</t>
  </si>
  <si>
    <t>1260.11万</t>
  </si>
  <si>
    <t>80.41亿</t>
  </si>
  <si>
    <t>32.95亿</t>
  </si>
  <si>
    <t>24.18亿</t>
  </si>
  <si>
    <t>5.62亿</t>
  </si>
  <si>
    <t>155.79亿</t>
  </si>
  <si>
    <t>63.20亿</t>
  </si>
  <si>
    <t>19.96亿</t>
  </si>
  <si>
    <t>天华新能</t>
  </si>
  <si>
    <t>170.30亿</t>
  </si>
  <si>
    <t>65.86亿</t>
  </si>
  <si>
    <t>14.19亿</t>
  </si>
  <si>
    <t>50.87亿</t>
  </si>
  <si>
    <t>2.12亿</t>
  </si>
  <si>
    <t>16.59亿</t>
  </si>
  <si>
    <t>22.08亿</t>
  </si>
  <si>
    <t>48.01亿</t>
  </si>
  <si>
    <t>1.62亿</t>
  </si>
  <si>
    <t>11.75亿</t>
  </si>
  <si>
    <t>452.40亿</t>
  </si>
  <si>
    <t>10.27亿</t>
  </si>
  <si>
    <t>1.64亿</t>
  </si>
  <si>
    <t>10派3元(含税)</t>
  </si>
  <si>
    <t>70.61亿</t>
  </si>
  <si>
    <t>4.92亿</t>
  </si>
  <si>
    <t>38.88亿</t>
  </si>
  <si>
    <t>1819.45万</t>
  </si>
  <si>
    <t>630.34亿</t>
  </si>
  <si>
    <t>7.47亿</t>
  </si>
  <si>
    <t>1.53亿</t>
  </si>
  <si>
    <t>-1-1</t>
  </si>
  <si>
    <t>-6-0</t>
  </si>
  <si>
    <r>
      <t>1.大部分利润是从锂业务来，</t>
    </r>
    <r>
      <rPr>
        <sz val="9"/>
        <color rgb="FFFF0000"/>
        <rFont val="宋体"/>
        <family val="3"/>
        <charset val="134"/>
        <scheme val="minor"/>
      </rPr>
      <t>钼的利润贡献很小</t>
    </r>
    <r>
      <rPr>
        <sz val="9"/>
        <color theme="1"/>
        <rFont val="宋体"/>
        <family val="2"/>
        <charset val="134"/>
        <scheme val="minor"/>
      </rPr>
      <t>（虽然营收比例大，但毛利过低）；2.且钼的业务主要是钼炉料，就是</t>
    </r>
    <r>
      <rPr>
        <sz val="9"/>
        <color rgb="FFFF0000"/>
        <rFont val="宋体"/>
        <family val="3"/>
        <charset val="134"/>
        <scheme val="minor"/>
      </rPr>
      <t>没有矿资源</t>
    </r>
    <r>
      <rPr>
        <sz val="9"/>
        <color theme="1"/>
        <rFont val="宋体"/>
        <family val="2"/>
        <charset val="134"/>
        <scheme val="minor"/>
      </rPr>
      <t>，但进行钼加工；</t>
    </r>
    <phoneticPr fontId="1" type="noConversion"/>
  </si>
  <si>
    <t>5.48亿</t>
  </si>
  <si>
    <t>4-0</t>
  </si>
  <si>
    <t>3.01亿</t>
  </si>
  <si>
    <t>56.70亿</t>
  </si>
  <si>
    <t>538.44万</t>
  </si>
  <si>
    <t>43.45亿</t>
  </si>
  <si>
    <t>1.48亿</t>
  </si>
  <si>
    <t>8.06亿</t>
  </si>
  <si>
    <t>1.06亿</t>
  </si>
  <si>
    <t>6871.29万</t>
  </si>
  <si>
    <t>213.03万</t>
  </si>
  <si>
    <t>1814.97万</t>
  </si>
  <si>
    <t>4840625亿</t>
  </si>
  <si>
    <t>19059535亿</t>
  </si>
  <si>
    <t>16.40亿</t>
  </si>
  <si>
    <t>31184946亿</t>
  </si>
  <si>
    <t>2093249100亿</t>
  </si>
  <si>
    <t>20.44亿</t>
  </si>
  <si>
    <t>10000.00万</t>
  </si>
  <si>
    <t>1653.33万</t>
  </si>
  <si>
    <t>6.71亿</t>
  </si>
  <si>
    <t>12.19亿</t>
  </si>
  <si>
    <t>2807.84万</t>
  </si>
  <si>
    <t>-5.51亿</t>
  </si>
  <si>
    <t>-945.13万</t>
  </si>
  <si>
    <t>9003.70万</t>
  </si>
  <si>
    <t>1739.77万</t>
  </si>
  <si>
    <t>锂</t>
  </si>
  <si>
    <t>4065.93万</t>
  </si>
  <si>
    <t>2343.73万</t>
  </si>
  <si>
    <t>24.96亿</t>
  </si>
  <si>
    <t>38.12亿</t>
  </si>
  <si>
    <t>2.99亿</t>
  </si>
  <si>
    <t>27.99亿</t>
  </si>
  <si>
    <t>-3.97亿</t>
  </si>
  <si>
    <t>3.50亿</t>
  </si>
  <si>
    <t>771.37万</t>
  </si>
  <si>
    <t>4440.75万</t>
  </si>
  <si>
    <t>3292474亿</t>
  </si>
  <si>
    <t>34.48万</t>
  </si>
  <si>
    <t>-52574241亿</t>
  </si>
  <si>
    <t>8.10亿</t>
  </si>
  <si>
    <t>576161300亿</t>
  </si>
  <si>
    <t>2877351800亿</t>
  </si>
  <si>
    <t>2.48亿</t>
  </si>
  <si>
    <t>6.79亿</t>
  </si>
  <si>
    <t>21.10亿</t>
  </si>
  <si>
    <t>7.72亿</t>
  </si>
  <si>
    <t>3453.17万</t>
  </si>
  <si>
    <t>8014.88万</t>
  </si>
  <si>
    <t>4803.02万</t>
  </si>
  <si>
    <t>7.00亿</t>
  </si>
  <si>
    <t>5064.81万</t>
  </si>
  <si>
    <t>2-1</t>
  </si>
  <si>
    <t>465.91万</t>
  </si>
  <si>
    <t>33.21亿</t>
  </si>
  <si>
    <t>8243.76万</t>
  </si>
  <si>
    <t>12.11亿</t>
  </si>
  <si>
    <t>3.80亿</t>
  </si>
  <si>
    <t>7466.86万</t>
  </si>
  <si>
    <t>4723.80万</t>
  </si>
  <si>
    <t>73.15万</t>
  </si>
  <si>
    <t>1969.00万</t>
  </si>
  <si>
    <t>23720406亿</t>
  </si>
  <si>
    <t>16122580亿</t>
  </si>
  <si>
    <t>3.76亿</t>
  </si>
  <si>
    <t>214433200亿</t>
  </si>
  <si>
    <t>1947860400亿</t>
  </si>
  <si>
    <t>2723.29万</t>
  </si>
  <si>
    <t>4683.86万</t>
  </si>
  <si>
    <t>4.82亿</t>
  </si>
  <si>
    <t>-742.40万</t>
  </si>
  <si>
    <t>1.94亿</t>
  </si>
  <si>
    <t>6208.80万</t>
  </si>
  <si>
    <t>2906.97万</t>
  </si>
  <si>
    <t>677.50万</t>
  </si>
  <si>
    <t>74.78亿</t>
  </si>
  <si>
    <t>129.97亿</t>
  </si>
  <si>
    <t>12.13亿</t>
  </si>
  <si>
    <t>79.51亿</t>
  </si>
  <si>
    <t>7.02亿</t>
  </si>
  <si>
    <t>13.37亿</t>
  </si>
  <si>
    <t>316.48万</t>
  </si>
  <si>
    <t>9757.19万</t>
  </si>
  <si>
    <t>8046163亿</t>
  </si>
  <si>
    <t>8.90万</t>
  </si>
  <si>
    <t>-156127360亿</t>
  </si>
  <si>
    <t>27.13亿</t>
  </si>
  <si>
    <t>544986160亿</t>
  </si>
  <si>
    <t>8302334500亿</t>
  </si>
  <si>
    <t>35.77亿</t>
  </si>
  <si>
    <t>38.47亿</t>
  </si>
  <si>
    <t>10.67亿</t>
  </si>
  <si>
    <t>69.20亿</t>
  </si>
  <si>
    <t>20.46亿</t>
  </si>
  <si>
    <t>4.53亿</t>
  </si>
  <si>
    <t>-13.62亿</t>
  </si>
  <si>
    <t>11.76亿</t>
  </si>
  <si>
    <t>27.84亿</t>
  </si>
  <si>
    <t>10派2.4元(含税)</t>
  </si>
  <si>
    <t>4127.54万</t>
  </si>
  <si>
    <t>2.96亿</t>
  </si>
  <si>
    <t>-4-1</t>
  </si>
  <si>
    <t>1062.56万</t>
  </si>
  <si>
    <t>393.82亿</t>
  </si>
  <si>
    <t>542.57亿</t>
  </si>
  <si>
    <t>50.58亿</t>
  </si>
  <si>
    <t>329.72亿</t>
  </si>
  <si>
    <t>49.47亿</t>
  </si>
  <si>
    <t>55.37亿</t>
  </si>
  <si>
    <t>47.45亿</t>
  </si>
  <si>
    <t>4248.72万</t>
  </si>
  <si>
    <t>258859250亿</t>
  </si>
  <si>
    <t>92.29万</t>
  </si>
  <si>
    <t>-254188570亿</t>
  </si>
  <si>
    <t>90.86亿</t>
  </si>
  <si>
    <t>4545119800亿</t>
  </si>
  <si>
    <t>25667561000亿</t>
  </si>
  <si>
    <t>128.91亿</t>
  </si>
  <si>
    <t>64.94亿</t>
  </si>
  <si>
    <t>30.15亿</t>
  </si>
  <si>
    <t>204.69亿</t>
  </si>
  <si>
    <t>166.39亿</t>
  </si>
  <si>
    <t>-20.79亿</t>
  </si>
  <si>
    <t>15.74亿</t>
  </si>
  <si>
    <t>94.38亿</t>
  </si>
  <si>
    <t>23.97亿</t>
  </si>
  <si>
    <t>10派8元(含税)</t>
  </si>
  <si>
    <t>6633.21万</t>
  </si>
  <si>
    <t>4.30亿</t>
  </si>
  <si>
    <t>1312.82万</t>
  </si>
  <si>
    <t>189.92亿</t>
  </si>
  <si>
    <t>528.25亿</t>
  </si>
  <si>
    <t>25.85亿</t>
  </si>
  <si>
    <t>405.03亿</t>
  </si>
  <si>
    <t>72.97亿</t>
  </si>
  <si>
    <t>17.30亿</t>
  </si>
  <si>
    <t>13.34亿</t>
  </si>
  <si>
    <t>376.30万</t>
  </si>
  <si>
    <t>-1327208450亿</t>
  </si>
  <si>
    <t>840.71万</t>
  </si>
  <si>
    <t>-3916733900亿</t>
  </si>
  <si>
    <t>92.87亿</t>
  </si>
  <si>
    <t>1344209200亿</t>
  </si>
  <si>
    <t>7321.46万</t>
  </si>
  <si>
    <t>16636189000亿</t>
  </si>
  <si>
    <t>64.87亿</t>
  </si>
  <si>
    <t>15.07亿</t>
  </si>
  <si>
    <t>51.24亿</t>
  </si>
  <si>
    <t>92.68亿</t>
  </si>
  <si>
    <t>31.44亿</t>
  </si>
  <si>
    <t>-20.93亿</t>
  </si>
  <si>
    <t>-10.42亿</t>
  </si>
  <si>
    <t>114.49亿</t>
  </si>
  <si>
    <t>48.75亿</t>
  </si>
  <si>
    <t>10派13.5元(含税)</t>
  </si>
  <si>
    <t>8266.90万</t>
  </si>
  <si>
    <t>-2-1</t>
  </si>
  <si>
    <t>764.97万</t>
  </si>
  <si>
    <t>108.11亿</t>
  </si>
  <si>
    <t>18.52亿</t>
  </si>
  <si>
    <t>118.95亿</t>
  </si>
  <si>
    <t>4021.47万</t>
  </si>
  <si>
    <t>18.21亿</t>
  </si>
  <si>
    <t>16.81亿</t>
  </si>
  <si>
    <t>1458.30万</t>
  </si>
  <si>
    <t>-8586993亿</t>
  </si>
  <si>
    <t>64.06万</t>
  </si>
  <si>
    <t>7736844亿</t>
  </si>
  <si>
    <t>36.95亿</t>
  </si>
  <si>
    <t>1200388300亿</t>
  </si>
  <si>
    <t>3.07亿</t>
  </si>
  <si>
    <t>8635970800亿</t>
  </si>
  <si>
    <t>4.79亿</t>
  </si>
  <si>
    <t>5430.75万</t>
  </si>
  <si>
    <t>14.37万</t>
  </si>
  <si>
    <t>31.09亿</t>
  </si>
  <si>
    <t>4.77亿</t>
  </si>
  <si>
    <t>6.74亿</t>
  </si>
  <si>
    <t>-5.22亿</t>
  </si>
  <si>
    <t>9178.98万</t>
  </si>
  <si>
    <t>30.38亿</t>
  </si>
  <si>
    <t>5.93亿</t>
  </si>
  <si>
    <t>10派0.35元(含税)</t>
  </si>
  <si>
    <t>4142.44万</t>
  </si>
  <si>
    <t>499.46万</t>
  </si>
  <si>
    <t>9.16亿</t>
  </si>
  <si>
    <t>10.78亿</t>
  </si>
  <si>
    <t>11.41亿</t>
  </si>
  <si>
    <t>-2.23亿</t>
  </si>
  <si>
    <t>47.59万</t>
  </si>
  <si>
    <t>2358.65万</t>
  </si>
  <si>
    <t>1632156亿</t>
  </si>
  <si>
    <t>5.08万</t>
  </si>
  <si>
    <t>-21989328亿</t>
  </si>
  <si>
    <t>5909.16万</t>
  </si>
  <si>
    <t>55871129亿</t>
  </si>
  <si>
    <t>1894.04万</t>
  </si>
  <si>
    <t>558684420亿</t>
  </si>
  <si>
    <t>2.50亿</t>
  </si>
  <si>
    <t>1.50亿</t>
  </si>
  <si>
    <t>9800.00万</t>
  </si>
  <si>
    <t>-1.03亿</t>
  </si>
  <si>
    <t>-1596.71万</t>
  </si>
  <si>
    <t>5554.27万</t>
  </si>
  <si>
    <t>8203.06万</t>
  </si>
  <si>
    <t>3.14亿</t>
  </si>
  <si>
    <t>88.67万</t>
  </si>
  <si>
    <t>2655.56万</t>
  </si>
  <si>
    <t>695.90万</t>
  </si>
  <si>
    <t>36.61亿</t>
  </si>
  <si>
    <t>124.45亿</t>
  </si>
  <si>
    <t>11.27亿</t>
  </si>
  <si>
    <t>60.13亿</t>
  </si>
  <si>
    <t>9.38亿</t>
  </si>
  <si>
    <t>6.98亿</t>
  </si>
  <si>
    <t>800.78万</t>
  </si>
  <si>
    <t>6829.13万</t>
  </si>
  <si>
    <t>84739亿</t>
  </si>
  <si>
    <t>346.91万</t>
  </si>
  <si>
    <t>228330770亿</t>
  </si>
  <si>
    <t>40.79亿</t>
  </si>
  <si>
    <t>512449560亿</t>
  </si>
  <si>
    <t>403.00万</t>
  </si>
  <si>
    <t>7521800500亿</t>
  </si>
  <si>
    <t>6.91亿</t>
  </si>
  <si>
    <t>6387.47万</t>
  </si>
  <si>
    <t>17.58亿</t>
  </si>
  <si>
    <t>4.60亿</t>
  </si>
  <si>
    <t>-1.06亿</t>
  </si>
  <si>
    <t>3143.32万</t>
  </si>
  <si>
    <t>-4.24亿</t>
  </si>
  <si>
    <t>20.72亿</t>
  </si>
  <si>
    <t>10.96亿</t>
  </si>
  <si>
    <t>4649.79万</t>
  </si>
  <si>
    <t>3.29亿</t>
  </si>
  <si>
    <t>484.81万</t>
  </si>
  <si>
    <t>22.31亿</t>
  </si>
  <si>
    <t>135.56亿</t>
  </si>
  <si>
    <t>23.00亿</t>
  </si>
  <si>
    <t>121.89亿</t>
  </si>
  <si>
    <t>34.07亿</t>
  </si>
  <si>
    <t>19.35亿</t>
  </si>
  <si>
    <t>18.65亿</t>
  </si>
  <si>
    <t>716.18万</t>
  </si>
  <si>
    <t>3742.78万</t>
  </si>
  <si>
    <t>6752498亿</t>
  </si>
  <si>
    <t>3.31万</t>
  </si>
  <si>
    <t>308004750亿</t>
  </si>
  <si>
    <t>99.99亿</t>
  </si>
  <si>
    <t>305518400亿</t>
  </si>
  <si>
    <t>12262450600亿</t>
  </si>
  <si>
    <t>8.53亿</t>
  </si>
  <si>
    <t>5.65亿</t>
  </si>
  <si>
    <t>-1.74亿</t>
  </si>
  <si>
    <t>5866.39万</t>
  </si>
  <si>
    <t>6.43亿</t>
  </si>
  <si>
    <t>33.37亿</t>
  </si>
  <si>
    <t>9.31亿</t>
  </si>
  <si>
    <t>10派20元(含税)</t>
  </si>
  <si>
    <t>2959.05万</t>
  </si>
  <si>
    <t>461.26万</t>
  </si>
  <si>
    <t>43.16亿</t>
  </si>
  <si>
    <t>151.42亿</t>
  </si>
  <si>
    <t>17.54亿</t>
  </si>
  <si>
    <t>104.68亿</t>
  </si>
  <si>
    <t>15.83亿</t>
  </si>
  <si>
    <t>14.59亿</t>
  </si>
  <si>
    <t>1171.68万</t>
  </si>
  <si>
    <t>-365405亿</t>
  </si>
  <si>
    <t>130.55万</t>
  </si>
  <si>
    <t>259178350亿</t>
  </si>
  <si>
    <t>77.21亿</t>
  </si>
  <si>
    <t>809175180亿</t>
  </si>
  <si>
    <t>12619142500亿</t>
  </si>
  <si>
    <t>12.47亿</t>
  </si>
  <si>
    <t>19.26亿</t>
  </si>
  <si>
    <t>7.23亿</t>
  </si>
  <si>
    <t>9.74亿</t>
  </si>
  <si>
    <t>40.16亿</t>
  </si>
  <si>
    <t>12.05亿</t>
  </si>
  <si>
    <t>5.98亿</t>
  </si>
  <si>
    <t>-3.24亿</t>
  </si>
  <si>
    <t>5.45亿</t>
  </si>
  <si>
    <t>35.38亿</t>
  </si>
  <si>
    <t>8.81亿</t>
  </si>
  <si>
    <t>3098.33万</t>
  </si>
  <si>
    <t>2.41亿</t>
  </si>
  <si>
    <t>324.17万</t>
  </si>
  <si>
    <t>24.84亿</t>
  </si>
  <si>
    <t>53.17亿</t>
  </si>
  <si>
    <t>13.11亿</t>
  </si>
  <si>
    <t>47.89亿</t>
  </si>
  <si>
    <t>12.22亿</t>
  </si>
  <si>
    <t>10.93亿</t>
  </si>
  <si>
    <t>563.54万</t>
  </si>
  <si>
    <t>4957.60万</t>
  </si>
  <si>
    <t>940547亿</t>
  </si>
  <si>
    <t>9.59万</t>
  </si>
  <si>
    <t>61051280亿</t>
  </si>
  <si>
    <t>285758770亿</t>
  </si>
  <si>
    <t>4555589100亿</t>
  </si>
  <si>
    <t>11.05亿</t>
  </si>
  <si>
    <t>5.23亿</t>
  </si>
  <si>
    <t>3.27亿</t>
  </si>
  <si>
    <t>-3175.67万</t>
  </si>
  <si>
    <t>-3.02亿</t>
  </si>
  <si>
    <t>11.31亿</t>
  </si>
  <si>
    <t>1774.17万</t>
  </si>
  <si>
    <t>钴</t>
  </si>
  <si>
    <t>1850.91万</t>
  </si>
  <si>
    <t>156.92万</t>
  </si>
  <si>
    <t>13.12亿</t>
  </si>
  <si>
    <t>86.65亿</t>
  </si>
  <si>
    <t>15.15亿</t>
  </si>
  <si>
    <t>6.30亿</t>
  </si>
  <si>
    <t>8015.80万</t>
  </si>
  <si>
    <t>13.14亿</t>
  </si>
  <si>
    <t>12.25亿</t>
  </si>
  <si>
    <t>260.04万</t>
  </si>
  <si>
    <t>4704.49万</t>
  </si>
  <si>
    <t>-2270737亿</t>
  </si>
  <si>
    <t>31.06万</t>
  </si>
  <si>
    <t>140989420亿</t>
  </si>
  <si>
    <t>37.64亿</t>
  </si>
  <si>
    <t>305888830亿</t>
  </si>
  <si>
    <t>135.92万</t>
  </si>
  <si>
    <t>6662422500亿</t>
  </si>
  <si>
    <t>7.10亿</t>
  </si>
  <si>
    <t>-2378.80万</t>
  </si>
  <si>
    <t>-1.49亿</t>
  </si>
  <si>
    <t>1.77亿</t>
  </si>
  <si>
    <t>55.43亿</t>
  </si>
  <si>
    <t>3.78亿</t>
  </si>
  <si>
    <t>2058.56万</t>
  </si>
  <si>
    <t>10派15元(含税)</t>
  </si>
  <si>
    <t>962.99万</t>
  </si>
  <si>
    <t>8203.77万</t>
  </si>
  <si>
    <t>9535.80万</t>
  </si>
  <si>
    <t>214.95亿</t>
  </si>
  <si>
    <t>163.06亿</t>
  </si>
  <si>
    <t>59.61亿</t>
  </si>
  <si>
    <t>6.81亿</t>
  </si>
  <si>
    <t>725.24万</t>
  </si>
  <si>
    <t>55.77亿</t>
  </si>
  <si>
    <t>50.84亿</t>
  </si>
  <si>
    <t>1066.79万</t>
  </si>
  <si>
    <t>-5820906亿</t>
  </si>
  <si>
    <t>26.50万</t>
  </si>
  <si>
    <t>341335060亿</t>
  </si>
  <si>
    <t>55.91亿</t>
  </si>
  <si>
    <t>1524336300亿</t>
  </si>
  <si>
    <t>18701139000亿</t>
  </si>
  <si>
    <t>28.40亿</t>
  </si>
  <si>
    <t>71.78亿</t>
  </si>
  <si>
    <t>24.25亿</t>
  </si>
  <si>
    <t>24.44亿</t>
  </si>
  <si>
    <t>160.57亿</t>
  </si>
  <si>
    <t>44.12亿</t>
  </si>
  <si>
    <t>-5.78亿</t>
  </si>
  <si>
    <t>-2.52亿</t>
  </si>
  <si>
    <t>258.34亿</t>
  </si>
  <si>
    <t>-208.92万</t>
  </si>
  <si>
    <t>244.56亿</t>
  </si>
  <si>
    <t>2.65亿</t>
  </si>
  <si>
    <t>-440.67万</t>
  </si>
  <si>
    <t>10派0.257元(含税)</t>
  </si>
  <si>
    <t>镍</t>
  </si>
  <si>
    <t>34.20亿</t>
  </si>
  <si>
    <t>07252400</t>
  </si>
  <si>
    <t>021757200</t>
  </si>
  <si>
    <t>043514400</t>
  </si>
  <si>
    <t>072524000</t>
  </si>
  <si>
    <t>0145048000</t>
  </si>
  <si>
    <t>647.16万</t>
  </si>
  <si>
    <t>19.54亿</t>
  </si>
  <si>
    <t>43.34亿</t>
  </si>
  <si>
    <t>4.25亿</t>
  </si>
  <si>
    <t>13.79亿</t>
  </si>
  <si>
    <t>112.20万</t>
  </si>
  <si>
    <t>1497.31万</t>
  </si>
  <si>
    <t>81507亿</t>
  </si>
  <si>
    <t>13.93万</t>
  </si>
  <si>
    <t>17440015亿</t>
  </si>
  <si>
    <t>11.94亿</t>
  </si>
  <si>
    <t>444487930亿</t>
  </si>
  <si>
    <t>200.00万</t>
  </si>
  <si>
    <t>2460738300亿</t>
  </si>
  <si>
    <t>4.04亿</t>
  </si>
  <si>
    <t>7219.95万</t>
  </si>
  <si>
    <t>4.87亿</t>
  </si>
  <si>
    <t>13.63亿</t>
  </si>
  <si>
    <t>4.83亿</t>
  </si>
  <si>
    <t>2945.34万</t>
  </si>
  <si>
    <t>424.64万</t>
  </si>
  <si>
    <t>201.61万</t>
  </si>
  <si>
    <t>75.05亿</t>
  </si>
  <si>
    <t>8.08亿</t>
  </si>
  <si>
    <t>-3.37亿</t>
  </si>
  <si>
    <t>4542.69万</t>
  </si>
  <si>
    <t>4096.69万</t>
  </si>
  <si>
    <t>2.07亿</t>
  </si>
  <si>
    <t>2108.69万</t>
  </si>
  <si>
    <t>807.87亿</t>
  </si>
  <si>
    <t>457.54亿</t>
  </si>
  <si>
    <t>149.63亿</t>
  </si>
  <si>
    <t>2.05亿</t>
  </si>
  <si>
    <t>146.05亿</t>
  </si>
  <si>
    <t>131.53亿</t>
  </si>
  <si>
    <t>3170.78万</t>
  </si>
  <si>
    <t>5.10亿</t>
  </si>
  <si>
    <t>186000880亿</t>
  </si>
  <si>
    <t>213.85万</t>
  </si>
  <si>
    <t>567830430亿</t>
  </si>
  <si>
    <t>173.59亿</t>
  </si>
  <si>
    <t>7099722800亿</t>
  </si>
  <si>
    <t>47585759000亿</t>
  </si>
  <si>
    <t>117.04亿</t>
  </si>
  <si>
    <t>195.18亿</t>
  </si>
  <si>
    <t>75.35亿</t>
  </si>
  <si>
    <t>105.34亿</t>
  </si>
  <si>
    <t>515.48亿</t>
  </si>
  <si>
    <t>196.18亿</t>
  </si>
  <si>
    <t>9.29亿</t>
  </si>
  <si>
    <t>-31.32亿</t>
  </si>
  <si>
    <t>35.78亿</t>
  </si>
  <si>
    <t>39.08亿</t>
  </si>
  <si>
    <t>663.04亿</t>
  </si>
  <si>
    <t>33.51亿</t>
  </si>
  <si>
    <t>1773.23万</t>
  </si>
  <si>
    <t>XD博迁新</t>
  </si>
  <si>
    <t>172.04万</t>
  </si>
  <si>
    <t>15.94亿</t>
  </si>
  <si>
    <t>2.00亿</t>
  </si>
  <si>
    <t>39.76亿</t>
  </si>
  <si>
    <t>5.66亿</t>
  </si>
  <si>
    <t>1074.99万</t>
  </si>
  <si>
    <t>10498704亿</t>
  </si>
  <si>
    <t>166134800亿</t>
  </si>
  <si>
    <t>5115.69万</t>
  </si>
  <si>
    <t>805826770亿</t>
  </si>
  <si>
    <t>6504.13万</t>
  </si>
  <si>
    <t>9606.56万</t>
  </si>
  <si>
    <t>9108.85万</t>
  </si>
  <si>
    <t>239.55万</t>
  </si>
  <si>
    <t>-4544.62万</t>
  </si>
  <si>
    <t>4882.82万</t>
  </si>
  <si>
    <t>6.89亿</t>
  </si>
  <si>
    <t>9.14亿</t>
  </si>
  <si>
    <t>-3231.11万</t>
  </si>
  <si>
    <t>10派1.8元(含税)</t>
  </si>
  <si>
    <t>936.28万</t>
  </si>
  <si>
    <t>8296.47万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</si>
</sst>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9"/>
      <color theme="1"/>
      <name val="宋体"/>
      <family val="3"/>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7" fillId="0" borderId="0" xfId="0" applyFont="1" applyAlignment="1">
      <alignment vertical="center" wrapText="1"/>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171450</xdr:colOff>
          <xdr:row>0</xdr:row>
          <xdr:rowOff>133350</xdr:rowOff>
        </xdr:from>
        <xdr:to>
          <xdr:col>147</xdr:col>
          <xdr:colOff>1612900</xdr:colOff>
          <xdr:row>0</xdr:row>
          <xdr:rowOff>444500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8"/>
  <sheetViews>
    <sheetView tabSelected="1" zoomScaleNormal="100" workbookViewId="0">
      <pane xSplit="5" ySplit="1" topLeftCell="F14" activePane="bottomRight" state="frozen"/>
      <selection pane="topRight" activeCell="F1" sqref="F1"/>
      <selection pane="bottomLeft" activeCell="A2" sqref="A2"/>
      <selection pane="bottomRight" activeCell="D18" sqref="D18:EP18"/>
    </sheetView>
  </sheetViews>
  <sheetFormatPr defaultRowHeight="14"/>
  <cols>
    <col min="1" max="1" width="36.1796875" customWidth="1"/>
    <col min="2" max="2" width="35.54296875" customWidth="1"/>
    <col min="3" max="3" width="43.36328125" customWidth="1"/>
    <col min="9" max="9" width="15.6328125" customWidth="1"/>
    <col min="148" max="148" width="24.6328125" customWidth="1"/>
  </cols>
  <sheetData>
    <row r="1" spans="1:146" ht="43" customHeight="1">
      <c r="A1" s="3" t="s">
        <v>10</v>
      </c>
      <c r="B1" s="4" t="s">
        <v>11</v>
      </c>
      <c r="C1" s="3" t="s">
        <v>12</v>
      </c>
      <c r="D1" t="s">
        <v>6</v>
      </c>
      <c r="E1" t="s">
        <v>187</v>
      </c>
      <c r="F1" t="s">
        <v>3</v>
      </c>
      <c r="G1" t="s">
        <v>247</v>
      </c>
      <c r="H1" t="s">
        <v>248</v>
      </c>
      <c r="I1" t="s">
        <v>7</v>
      </c>
      <c r="J1" t="s">
        <v>8</v>
      </c>
      <c r="K1" t="s">
        <v>4</v>
      </c>
      <c r="L1" t="s">
        <v>9</v>
      </c>
      <c r="M1" t="s">
        <v>13</v>
      </c>
      <c r="N1" t="s">
        <v>14</v>
      </c>
      <c r="O1" t="s">
        <v>15</v>
      </c>
      <c r="P1" t="s">
        <v>249</v>
      </c>
      <c r="Q1" t="s">
        <v>208</v>
      </c>
      <c r="R1" t="s">
        <v>188</v>
      </c>
      <c r="S1" t="s">
        <v>16</v>
      </c>
      <c r="T1" t="s">
        <v>250</v>
      </c>
      <c r="U1" t="s">
        <v>150</v>
      </c>
      <c r="V1" t="s">
        <v>17</v>
      </c>
      <c r="W1" t="s">
        <v>209</v>
      </c>
      <c r="X1" t="s">
        <v>210</v>
      </c>
      <c r="Y1" t="s">
        <v>211</v>
      </c>
      <c r="Z1" t="s">
        <v>212</v>
      </c>
      <c r="AA1" t="s">
        <v>213</v>
      </c>
      <c r="AB1" t="s">
        <v>251</v>
      </c>
      <c r="AC1" t="s">
        <v>214</v>
      </c>
      <c r="AD1" t="s">
        <v>215</v>
      </c>
      <c r="AE1" t="s">
        <v>18</v>
      </c>
      <c r="AF1" t="s">
        <v>19</v>
      </c>
      <c r="AG1" t="s">
        <v>252</v>
      </c>
      <c r="AH1" t="s">
        <v>189</v>
      </c>
      <c r="AI1" t="s">
        <v>253</v>
      </c>
      <c r="AJ1" t="s">
        <v>20</v>
      </c>
      <c r="AK1" t="s">
        <v>254</v>
      </c>
      <c r="AL1" t="s">
        <v>24</v>
      </c>
      <c r="AM1" t="s">
        <v>255</v>
      </c>
      <c r="AN1" t="s">
        <v>256</v>
      </c>
      <c r="AO1" t="s">
        <v>257</v>
      </c>
      <c r="AP1" t="s">
        <v>258</v>
      </c>
      <c r="AQ1" t="s">
        <v>259</v>
      </c>
      <c r="AR1" t="s">
        <v>260</v>
      </c>
      <c r="AS1" t="s">
        <v>261</v>
      </c>
      <c r="AT1" t="s">
        <v>262</v>
      </c>
      <c r="AU1" t="s">
        <v>263</v>
      </c>
      <c r="AV1" t="s">
        <v>264</v>
      </c>
      <c r="AW1" t="s">
        <v>265</v>
      </c>
      <c r="AX1" t="s">
        <v>190</v>
      </c>
      <c r="AY1" t="s">
        <v>25</v>
      </c>
      <c r="AZ1" t="s">
        <v>26</v>
      </c>
      <c r="BA1" t="s">
        <v>27</v>
      </c>
      <c r="BB1" t="s">
        <v>28</v>
      </c>
      <c r="BC1" t="s">
        <v>165</v>
      </c>
      <c r="BD1" t="s">
        <v>29</v>
      </c>
      <c r="BE1" t="s">
        <v>30</v>
      </c>
      <c r="BF1" t="s">
        <v>31</v>
      </c>
      <c r="BG1" t="s">
        <v>32</v>
      </c>
      <c r="BH1" t="s">
        <v>266</v>
      </c>
      <c r="BI1" t="s">
        <v>267</v>
      </c>
      <c r="BJ1" t="s">
        <v>268</v>
      </c>
      <c r="BK1" t="s">
        <v>269</v>
      </c>
      <c r="BL1" t="s">
        <v>270</v>
      </c>
      <c r="BM1" t="s">
        <v>271</v>
      </c>
      <c r="BN1" t="s">
        <v>191</v>
      </c>
      <c r="BO1" t="s">
        <v>151</v>
      </c>
      <c r="BP1" t="s">
        <v>33</v>
      </c>
      <c r="BQ1" t="s">
        <v>192</v>
      </c>
      <c r="BR1" t="s">
        <v>152</v>
      </c>
      <c r="BS1" t="s">
        <v>34</v>
      </c>
      <c r="BT1" t="s">
        <v>272</v>
      </c>
      <c r="BU1" t="s">
        <v>216</v>
      </c>
      <c r="BV1" t="s">
        <v>273</v>
      </c>
      <c r="BW1" t="s">
        <v>54</v>
      </c>
      <c r="BX1" t="s">
        <v>35</v>
      </c>
      <c r="BY1" t="s">
        <v>274</v>
      </c>
      <c r="BZ1" t="s">
        <v>55</v>
      </c>
      <c r="CA1" t="s">
        <v>36</v>
      </c>
      <c r="CB1" t="s">
        <v>275</v>
      </c>
      <c r="CC1" t="s">
        <v>276</v>
      </c>
      <c r="CD1" t="s">
        <v>277</v>
      </c>
      <c r="CE1" t="s">
        <v>278</v>
      </c>
      <c r="CF1" s="1" t="s">
        <v>39</v>
      </c>
      <c r="CG1" s="1" t="s">
        <v>40</v>
      </c>
      <c r="CH1" s="1" t="s">
        <v>41</v>
      </c>
      <c r="CI1" s="1" t="s">
        <v>42</v>
      </c>
      <c r="CJ1" s="1" t="s">
        <v>43</v>
      </c>
      <c r="CK1" s="1" t="s">
        <v>44</v>
      </c>
      <c r="CL1" s="1" t="s">
        <v>45</v>
      </c>
      <c r="CM1" s="1" t="s">
        <v>46</v>
      </c>
      <c r="CN1" s="1" t="s">
        <v>47</v>
      </c>
      <c r="CO1" s="1" t="s">
        <v>48</v>
      </c>
      <c r="CP1" s="1" t="s">
        <v>49</v>
      </c>
      <c r="CQ1" s="1" t="s">
        <v>50</v>
      </c>
      <c r="CR1" s="1" t="s">
        <v>279</v>
      </c>
      <c r="CS1" s="1" t="s">
        <v>280</v>
      </c>
      <c r="CT1" s="1" t="s">
        <v>281</v>
      </c>
      <c r="CU1" s="1" t="s">
        <v>299</v>
      </c>
      <c r="CV1" s="1" t="s">
        <v>300</v>
      </c>
      <c r="CW1" s="1" t="s">
        <v>282</v>
      </c>
      <c r="CX1">
        <v>1</v>
      </c>
      <c r="CY1" t="s">
        <v>283</v>
      </c>
      <c r="CZ1" t="s">
        <v>301</v>
      </c>
      <c r="DA1">
        <v>3</v>
      </c>
      <c r="DB1" t="s">
        <v>284</v>
      </c>
      <c r="DC1" t="s">
        <v>302</v>
      </c>
      <c r="DD1">
        <v>6</v>
      </c>
      <c r="DE1" t="s">
        <v>285</v>
      </c>
      <c r="DF1" t="s">
        <v>286</v>
      </c>
      <c r="DG1">
        <v>10</v>
      </c>
      <c r="DH1" t="s">
        <v>287</v>
      </c>
      <c r="DI1" t="s">
        <v>303</v>
      </c>
      <c r="DJ1">
        <v>20</v>
      </c>
      <c r="DK1" t="s">
        <v>304</v>
      </c>
      <c r="DL1" t="s">
        <v>51</v>
      </c>
      <c r="DM1" t="s">
        <v>52</v>
      </c>
      <c r="DN1" s="2" t="s">
        <v>53</v>
      </c>
      <c r="DO1" t="s">
        <v>305</v>
      </c>
      <c r="DP1" t="s">
        <v>306</v>
      </c>
      <c r="DQ1" s="13" t="s">
        <v>288</v>
      </c>
      <c r="DR1" s="1" t="s">
        <v>307</v>
      </c>
      <c r="DS1" s="1" t="s">
        <v>289</v>
      </c>
      <c r="DT1" t="s">
        <v>308</v>
      </c>
      <c r="DU1" t="s">
        <v>309</v>
      </c>
      <c r="DV1" t="s">
        <v>290</v>
      </c>
      <c r="DW1" t="s">
        <v>310</v>
      </c>
      <c r="DX1" t="s">
        <v>311</v>
      </c>
      <c r="DY1" t="s">
        <v>312</v>
      </c>
      <c r="DZ1" t="s">
        <v>313</v>
      </c>
      <c r="EA1" t="s">
        <v>314</v>
      </c>
      <c r="EB1" t="s">
        <v>315</v>
      </c>
      <c r="EC1" t="s">
        <v>291</v>
      </c>
      <c r="ED1" t="s">
        <v>292</v>
      </c>
      <c r="EE1" t="s">
        <v>293</v>
      </c>
      <c r="EF1" t="s">
        <v>316</v>
      </c>
      <c r="EG1" t="s">
        <v>294</v>
      </c>
      <c r="EH1" t="s">
        <v>317</v>
      </c>
      <c r="EI1" t="s">
        <v>318</v>
      </c>
      <c r="EK1" s="14" t="s">
        <v>295</v>
      </c>
      <c r="EL1" t="s">
        <v>319</v>
      </c>
      <c r="EM1" t="s">
        <v>320</v>
      </c>
      <c r="EN1" t="s">
        <v>296</v>
      </c>
      <c r="EO1" t="s">
        <v>297</v>
      </c>
      <c r="EP1" t="s">
        <v>298</v>
      </c>
    </row>
    <row r="2" spans="1:146" ht="168">
      <c r="A2" s="6" t="s">
        <v>337</v>
      </c>
      <c r="B2" s="6"/>
      <c r="C2" s="6" t="str">
        <f>"公司是西藏最大的综合型矿产品开发公司,主要从事铬铁矿、锂矿的开采、加工及销售和贸易业务。主要产品为铬铁矿、锂矿、锂及其化合物。公司拥有独家开采权的西藏扎布耶盐湖是世界第三大、亚洲第一大锂矿盐湖，已探明的锂储量为184.10万吨，是富含锂、硼、钾固、液并存的特种综合性大型盐湖矿床。"&amp;CHAR(10)&amp;Basic_Fundamental_Information_Constructure(F2)&amp;CHAR(10)&amp;Basic_Fundamental_Information_Concatenate("锂类产品 10.60亿 86.81% 89.62% 94.47%
铬类产品 1.55亿 12.71% 10.00% 71.99%")</f>
        <v>公司是西藏最大的综合型矿产品开发公司,主要从事铬铁矿、锂矿的开采、加工及销售和贸易业务。主要产品为铬铁矿、锂矿、锂及其化合物。公司拥有独家开采权的西藏扎布耶盐湖是世界第三大、亚洲第一大锂矿盐湖，已探明的锂储量为184.10万吨，是富含锂、硼、钾固、液并存的特种综合性大型盐湖矿床。
市值93.70711亿, 利润1.64亿; PE55.09; 平均PE58.94; 平均PEG1.24, PB3.22; ROIC13.4033%; ROE15.7533%; 股利率.5562%; 毛利71.62%; 净利42.4767%; 上一年度营收增-63.51%, 利润增-79.37%; 当季营收增64.38%, 利润增36.07%; 过往5年营收增47.47%, 利润增153.25%
Income profile:
锂类产品 10.60亿 86.81% 89.62% 94.47%
铬类产品 1.55亿 12.71% 10.00% 71.99%</v>
      </c>
      <c r="D2" t="s">
        <v>58</v>
      </c>
      <c r="E2" t="s">
        <v>59</v>
      </c>
      <c r="F2">
        <v>17.98</v>
      </c>
      <c r="G2">
        <v>0.45</v>
      </c>
      <c r="H2" t="s">
        <v>419</v>
      </c>
      <c r="I2">
        <v>9370711000</v>
      </c>
      <c r="J2">
        <v>55.09</v>
      </c>
      <c r="K2">
        <v>3.22</v>
      </c>
      <c r="L2" t="s">
        <v>217</v>
      </c>
      <c r="M2" t="s">
        <v>420</v>
      </c>
      <c r="N2" t="s">
        <v>348</v>
      </c>
      <c r="O2" t="s">
        <v>421</v>
      </c>
      <c r="P2">
        <v>64.13</v>
      </c>
      <c r="Q2" t="s">
        <v>422</v>
      </c>
      <c r="R2">
        <v>23672748</v>
      </c>
      <c r="S2" s="7">
        <v>0.36070000000000002</v>
      </c>
      <c r="T2" t="s">
        <v>403</v>
      </c>
      <c r="U2">
        <v>520800620</v>
      </c>
      <c r="V2">
        <v>521174140</v>
      </c>
      <c r="W2">
        <v>1.99</v>
      </c>
      <c r="X2">
        <v>0.02</v>
      </c>
      <c r="Y2">
        <v>26.66</v>
      </c>
      <c r="Z2" t="s">
        <v>423</v>
      </c>
      <c r="AA2" t="s">
        <v>424</v>
      </c>
      <c r="AB2" t="s">
        <v>425</v>
      </c>
      <c r="AC2" t="s">
        <v>426</v>
      </c>
      <c r="AD2" t="s">
        <v>5</v>
      </c>
      <c r="AE2">
        <v>7096317</v>
      </c>
      <c r="AF2" t="s">
        <v>427</v>
      </c>
      <c r="AG2" t="s">
        <v>5</v>
      </c>
      <c r="AH2" t="s">
        <v>428</v>
      </c>
      <c r="AI2" t="s">
        <v>429</v>
      </c>
      <c r="AJ2" t="s">
        <v>430</v>
      </c>
      <c r="AK2" t="s">
        <v>5</v>
      </c>
      <c r="AL2" t="s">
        <v>431</v>
      </c>
      <c r="AM2" t="s">
        <v>5</v>
      </c>
      <c r="AN2" t="s">
        <v>432</v>
      </c>
      <c r="AO2" t="s">
        <v>433</v>
      </c>
      <c r="AP2" t="s">
        <v>5</v>
      </c>
      <c r="AQ2" t="s">
        <v>434</v>
      </c>
      <c r="AR2" t="s">
        <v>5</v>
      </c>
      <c r="AS2" t="s">
        <v>435</v>
      </c>
      <c r="AT2" t="s">
        <v>436</v>
      </c>
      <c r="AU2" t="s">
        <v>437</v>
      </c>
      <c r="AV2" t="s">
        <v>438</v>
      </c>
      <c r="AW2" t="s">
        <v>439</v>
      </c>
      <c r="AX2" t="s">
        <v>345</v>
      </c>
      <c r="AY2" t="s">
        <v>166</v>
      </c>
      <c r="AZ2" t="s">
        <v>60</v>
      </c>
      <c r="BA2" t="s">
        <v>62</v>
      </c>
      <c r="BB2" t="s">
        <v>63</v>
      </c>
      <c r="BC2" t="s">
        <v>168</v>
      </c>
      <c r="BD2" t="s">
        <v>114</v>
      </c>
      <c r="BE2" t="s">
        <v>61</v>
      </c>
      <c r="BF2" t="s">
        <v>64</v>
      </c>
      <c r="BG2" t="s">
        <v>65</v>
      </c>
      <c r="BH2" t="s">
        <v>422</v>
      </c>
      <c r="BI2" t="s">
        <v>440</v>
      </c>
      <c r="BJ2" t="s">
        <v>345</v>
      </c>
      <c r="BK2" t="s">
        <v>403</v>
      </c>
      <c r="BL2" t="s">
        <v>441</v>
      </c>
      <c r="BM2" t="s">
        <v>168</v>
      </c>
      <c r="BN2">
        <v>3.4</v>
      </c>
      <c r="BO2">
        <v>30.12</v>
      </c>
      <c r="BP2">
        <v>6.69</v>
      </c>
      <c r="BQ2">
        <v>3.75</v>
      </c>
      <c r="BR2">
        <v>36.799999999999997</v>
      </c>
      <c r="BS2">
        <v>6.71</v>
      </c>
      <c r="BT2" t="s">
        <v>325</v>
      </c>
      <c r="BU2" t="s">
        <v>442</v>
      </c>
      <c r="BV2">
        <v>68.040000000000006</v>
      </c>
      <c r="BW2">
        <v>90.98</v>
      </c>
      <c r="BX2">
        <v>55.84</v>
      </c>
      <c r="BY2">
        <v>32.880000000000003</v>
      </c>
      <c r="BZ2">
        <v>66.02</v>
      </c>
      <c r="CA2">
        <v>28.53</v>
      </c>
      <c r="CB2">
        <v>-0.55000000000000004</v>
      </c>
      <c r="CC2">
        <v>-13.6</v>
      </c>
      <c r="CD2" t="s">
        <v>443</v>
      </c>
      <c r="CE2" t="s">
        <v>341</v>
      </c>
      <c r="CF2" s="8">
        <v>0.64376867287892758</v>
      </c>
      <c r="CG2" s="9">
        <v>0.36068261896687492</v>
      </c>
      <c r="CH2" s="8">
        <v>-0.63512903451919556</v>
      </c>
      <c r="CI2" s="8">
        <v>2.430124044418335</v>
      </c>
      <c r="CJ2" s="8">
        <v>0.68146216869354248</v>
      </c>
      <c r="CK2" s="8">
        <v>-0.4170471727848053</v>
      </c>
      <c r="CL2" s="8">
        <v>0.31400001049041748</v>
      </c>
      <c r="CM2" s="9">
        <v>-0.79371070861816406</v>
      </c>
      <c r="CN2" s="9">
        <v>4.6785712242126465</v>
      </c>
      <c r="CO2" s="9">
        <v>3.8856043815612793</v>
      </c>
      <c r="CP2" s="9">
        <v>-1.5746095180511475</v>
      </c>
      <c r="CQ2" s="9">
        <v>1.4664872884750366</v>
      </c>
      <c r="CR2">
        <v>58.940386354165845</v>
      </c>
      <c r="CS2">
        <v>1.2416815036049407</v>
      </c>
      <c r="CT2">
        <v>0.55617352614015569</v>
      </c>
      <c r="CU2" s="8">
        <v>0.47468200325965881</v>
      </c>
      <c r="CV2" s="9">
        <v>1.5324685335159303</v>
      </c>
      <c r="CW2">
        <v>0.06</v>
      </c>
      <c r="CX2">
        <v>43.288843475086345</v>
      </c>
      <c r="CY2">
        <v>228158347.67413589</v>
      </c>
      <c r="CZ2">
        <v>0.47468200325965881</v>
      </c>
      <c r="DA2">
        <v>10.370563857842271</v>
      </c>
      <c r="DB2">
        <v>952379362.91488945</v>
      </c>
      <c r="DC2">
        <v>0.45094790309667587</v>
      </c>
      <c r="DD2">
        <v>3.2166327652989368</v>
      </c>
      <c r="DE2">
        <v>3070512464.6338391</v>
      </c>
      <c r="DF2">
        <v>0.41772016286849978</v>
      </c>
      <c r="DG2">
        <v>1.0767611690664891</v>
      </c>
      <c r="DH2">
        <v>9172610680.7535896</v>
      </c>
      <c r="DI2">
        <v>0.37974560260772705</v>
      </c>
      <c r="DJ2">
        <v>0.12850510922720107</v>
      </c>
      <c r="DK2">
        <v>76858508267.851547</v>
      </c>
      <c r="DL2">
        <v>0.33227740228176117</v>
      </c>
      <c r="DM2">
        <v>164000000</v>
      </c>
      <c r="DN2">
        <v>0.47468200325965881</v>
      </c>
      <c r="DO2">
        <v>9876711000</v>
      </c>
      <c r="DP2">
        <v>1422249100</v>
      </c>
      <c r="DQ2">
        <v>270</v>
      </c>
      <c r="DR2">
        <v>0.16908666961926877</v>
      </c>
      <c r="DS2">
        <v>-1.1717859145490555</v>
      </c>
      <c r="DT2" s="10">
        <v>-0.20666666666666678</v>
      </c>
      <c r="DU2">
        <v>0.11666666666666659</v>
      </c>
      <c r="DV2">
        <v>-9.0000000000000191E-2</v>
      </c>
      <c r="DW2">
        <v>-2.1360000000000001</v>
      </c>
      <c r="DX2">
        <v>0.33823749999999964</v>
      </c>
      <c r="DY2">
        <v>-2.0256002999999998</v>
      </c>
      <c r="DZ2">
        <v>1925</v>
      </c>
      <c r="EA2">
        <v>-2.0159563513698631</v>
      </c>
      <c r="EB2">
        <v>2</v>
      </c>
      <c r="EC2">
        <v>7.8014807104588885E-2</v>
      </c>
      <c r="ED2">
        <v>0.41444880592118405</v>
      </c>
      <c r="EE2" s="11">
        <v>-1.0065999999999999</v>
      </c>
      <c r="EF2">
        <v>-1.02041</v>
      </c>
      <c r="EG2">
        <v>15.1882375</v>
      </c>
      <c r="EH2" t="s">
        <v>412</v>
      </c>
      <c r="EI2">
        <v>0</v>
      </c>
      <c r="EJ2">
        <v>0</v>
      </c>
      <c r="EK2" s="14">
        <v>45470</v>
      </c>
      <c r="EL2" s="15">
        <v>-0.57999999999999996</v>
      </c>
      <c r="EM2" s="15">
        <v>-3.95</v>
      </c>
      <c r="EN2" s="15">
        <v>-0.56000000000000005</v>
      </c>
      <c r="EO2" s="15">
        <v>5.42</v>
      </c>
      <c r="EP2" s="15">
        <v>-2.7</v>
      </c>
    </row>
    <row r="3" spans="1:146" ht="132">
      <c r="A3" s="6"/>
      <c r="B3" s="6"/>
      <c r="C3" s="6" t="str">
        <f>"公司的主营业务为锂云母采选及碳酸锂加工、特种电机研发生产和销售。"&amp;CHAR(10)&amp;Basic_Fundamental_Information_Constructure(F3)&amp;CHAR(10)&amp;Basic_Fundamental_Information_Concatenate("碳酸锂 20.57亿 75.91% 100.00% 78.24%
电机 5.22亿 19.28%
采选产品 9167.67万 3.38%")</f>
        <v>公司的主营业务为锂云母采选及碳酸锂加工、特种电机研发生产和销售。
市值135.14099亿, 利润-3.97亿; PE; 平均PE-60.71; 平均PEG-3.59, PB3.57; ROIC33.49%; ROE31.48%; 股利率0%; 毛利29.1767%; 净利11.43%; 上一年度营收增-57.41%, 利润增-117.07%; 当季营收增-57.29%, 利润增-159.8%; 过往5年营收增16.89%, 利润增614.45%
Income profile:
碳酸锂 20.57亿 75.91% 100.00% 78.24%
电机 5.22亿 19.28%
采选产品 9167.67万 3.38%</v>
      </c>
      <c r="D3" t="s">
        <v>219</v>
      </c>
      <c r="E3" t="s">
        <v>220</v>
      </c>
      <c r="F3">
        <v>7.92</v>
      </c>
      <c r="G3">
        <v>-0.75</v>
      </c>
      <c r="H3" t="s">
        <v>444</v>
      </c>
      <c r="I3">
        <v>13514099000</v>
      </c>
      <c r="K3">
        <v>3.57</v>
      </c>
      <c r="L3" t="s">
        <v>217</v>
      </c>
      <c r="M3" t="s">
        <v>445</v>
      </c>
      <c r="N3" t="s">
        <v>446</v>
      </c>
      <c r="O3" t="s">
        <v>447</v>
      </c>
      <c r="P3">
        <v>-57.36</v>
      </c>
      <c r="Q3" t="s">
        <v>448</v>
      </c>
      <c r="R3">
        <v>-30289148</v>
      </c>
      <c r="S3" s="5">
        <v>-1.5980000000000001</v>
      </c>
      <c r="T3" t="s">
        <v>449</v>
      </c>
      <c r="U3">
        <v>1706019100</v>
      </c>
      <c r="V3">
        <v>1706325600</v>
      </c>
      <c r="W3">
        <v>1.78</v>
      </c>
      <c r="X3">
        <v>0.05</v>
      </c>
      <c r="Y3">
        <v>-10.61</v>
      </c>
      <c r="Z3" t="s">
        <v>450</v>
      </c>
      <c r="AA3" t="s">
        <v>342</v>
      </c>
      <c r="AB3" t="s">
        <v>451</v>
      </c>
      <c r="AC3" t="s">
        <v>452</v>
      </c>
      <c r="AD3" t="s">
        <v>5</v>
      </c>
      <c r="AE3">
        <v>3359891</v>
      </c>
      <c r="AF3" t="s">
        <v>453</v>
      </c>
      <c r="AG3" t="s">
        <v>454</v>
      </c>
      <c r="AH3" t="s">
        <v>455</v>
      </c>
      <c r="AI3" t="s">
        <v>456</v>
      </c>
      <c r="AJ3" t="s">
        <v>457</v>
      </c>
      <c r="AK3" t="s">
        <v>417</v>
      </c>
      <c r="AL3" t="s">
        <v>458</v>
      </c>
      <c r="AM3" t="s">
        <v>5</v>
      </c>
      <c r="AN3" t="s">
        <v>459</v>
      </c>
      <c r="AO3" t="s">
        <v>121</v>
      </c>
      <c r="AP3" t="s">
        <v>460</v>
      </c>
      <c r="AQ3" t="s">
        <v>415</v>
      </c>
      <c r="AR3" t="s">
        <v>5</v>
      </c>
      <c r="AS3" t="s">
        <v>461</v>
      </c>
      <c r="AT3" t="s">
        <v>462</v>
      </c>
      <c r="AU3" t="s">
        <v>463</v>
      </c>
      <c r="AV3" t="s">
        <v>464</v>
      </c>
      <c r="AW3" t="s">
        <v>465</v>
      </c>
      <c r="AX3" t="s">
        <v>351</v>
      </c>
      <c r="AY3" t="s">
        <v>221</v>
      </c>
      <c r="AZ3" t="s">
        <v>223</v>
      </c>
      <c r="BA3" t="s">
        <v>354</v>
      </c>
      <c r="BB3" t="s">
        <v>355</v>
      </c>
      <c r="BC3" t="s">
        <v>352</v>
      </c>
      <c r="BD3" t="s">
        <v>222</v>
      </c>
      <c r="BE3" t="s">
        <v>225</v>
      </c>
      <c r="BF3" t="s">
        <v>356</v>
      </c>
      <c r="BG3" t="s">
        <v>357</v>
      </c>
      <c r="BH3" t="s">
        <v>448</v>
      </c>
      <c r="BI3" t="s">
        <v>466</v>
      </c>
      <c r="BJ3" t="s">
        <v>351</v>
      </c>
      <c r="BK3" t="s">
        <v>449</v>
      </c>
      <c r="BL3" t="s">
        <v>467</v>
      </c>
      <c r="BM3" t="s">
        <v>352</v>
      </c>
      <c r="BN3" t="s">
        <v>5</v>
      </c>
      <c r="BO3">
        <v>54.6</v>
      </c>
      <c r="BP3">
        <v>12.38</v>
      </c>
      <c r="BQ3">
        <v>-2.2799999999999998</v>
      </c>
      <c r="BR3">
        <v>74.819999999999993</v>
      </c>
      <c r="BS3">
        <v>21.9</v>
      </c>
      <c r="BT3" t="s">
        <v>321</v>
      </c>
      <c r="BU3" t="s">
        <v>442</v>
      </c>
      <c r="BV3">
        <v>4.46</v>
      </c>
      <c r="BW3">
        <v>52.86</v>
      </c>
      <c r="BX3">
        <v>30.21</v>
      </c>
      <c r="BY3">
        <v>-14.04</v>
      </c>
      <c r="BZ3">
        <v>35.42</v>
      </c>
      <c r="CA3">
        <v>12.91</v>
      </c>
      <c r="CB3">
        <v>-2.82</v>
      </c>
      <c r="CC3">
        <v>-18.940000000000001</v>
      </c>
      <c r="CD3" t="s">
        <v>22</v>
      </c>
      <c r="CE3" t="s">
        <v>346</v>
      </c>
      <c r="CF3" s="8">
        <v>-0.57285714285714284</v>
      </c>
      <c r="CG3" s="9">
        <v>-1.5980312785672115</v>
      </c>
      <c r="CH3" s="8">
        <v>-0.57410228252410889</v>
      </c>
      <c r="CI3" s="8">
        <v>1.2038899660110474</v>
      </c>
      <c r="CJ3" s="8">
        <v>0.61713671684265137</v>
      </c>
      <c r="CK3" s="8">
        <v>-0.31424319744110107</v>
      </c>
      <c r="CL3" s="8">
        <v>-8.8165484368801117E-2</v>
      </c>
      <c r="CM3" s="9">
        <v>-1.1706792116165161</v>
      </c>
      <c r="CN3" s="9">
        <v>5.025907039642334</v>
      </c>
      <c r="CO3" s="9">
        <v>25.943077087402344</v>
      </c>
      <c r="CP3" s="9">
        <v>1.0075165033340454</v>
      </c>
      <c r="CQ3" s="9">
        <v>-8.3570167422294617E-2</v>
      </c>
      <c r="CR3">
        <v>-60.706897306864299</v>
      </c>
      <c r="CS3">
        <v>-3.5941839787940593</v>
      </c>
      <c r="CT3">
        <v>0</v>
      </c>
      <c r="CU3" s="8">
        <v>0.16890314370393752</v>
      </c>
      <c r="CV3" s="9">
        <v>6.1444502502679823</v>
      </c>
      <c r="CW3">
        <v>0.06</v>
      </c>
      <c r="CX3" t="e">
        <v>#VALUE!</v>
      </c>
      <c r="CY3" t="s">
        <v>330</v>
      </c>
      <c r="CZ3">
        <v>0.16890314370393752</v>
      </c>
      <c r="DA3" t="e">
        <v>#VALUE!</v>
      </c>
      <c r="DB3" t="s">
        <v>195</v>
      </c>
      <c r="DC3">
        <v>0.16045798651874063</v>
      </c>
      <c r="DD3" t="e">
        <v>#VALUE!</v>
      </c>
      <c r="DE3" t="s">
        <v>195</v>
      </c>
      <c r="DF3">
        <v>0.14863476645946502</v>
      </c>
      <c r="DG3" t="e">
        <v>#VALUE!</v>
      </c>
      <c r="DH3" t="s">
        <v>195</v>
      </c>
      <c r="DI3">
        <v>0.13512251496315003</v>
      </c>
      <c r="DJ3" t="e">
        <v>#VALUE!</v>
      </c>
      <c r="DK3" t="s">
        <v>195</v>
      </c>
      <c r="DL3">
        <v>0.11823220059275626</v>
      </c>
      <c r="DM3">
        <v>-397000000</v>
      </c>
      <c r="DN3">
        <v>0.16890314370393752</v>
      </c>
      <c r="DO3">
        <v>12198099000</v>
      </c>
      <c r="DP3">
        <v>767351799.99999976</v>
      </c>
      <c r="DQ3">
        <v>686</v>
      </c>
      <c r="DR3">
        <v>-0.7417602865610804</v>
      </c>
      <c r="DS3">
        <v>-7.742481528835194</v>
      </c>
      <c r="DT3" s="10">
        <v>-0.15666666666666665</v>
      </c>
      <c r="DU3">
        <v>-1.2391666666666667</v>
      </c>
      <c r="DV3">
        <v>-1.3958333333333335</v>
      </c>
      <c r="DW3">
        <v>-8.1488912354804643</v>
      </c>
      <c r="DX3">
        <v>0.4251706036745419</v>
      </c>
      <c r="DY3">
        <v>-8.0201257181817418</v>
      </c>
      <c r="DZ3">
        <v>3944</v>
      </c>
      <c r="EA3">
        <v>-8.00459228716241</v>
      </c>
      <c r="EB3">
        <v>8</v>
      </c>
      <c r="EC3">
        <v>6.0363625793342139E-2</v>
      </c>
      <c r="ED3">
        <v>0.44657361994686123</v>
      </c>
      <c r="EE3" s="11">
        <v>2.09951</v>
      </c>
      <c r="EF3">
        <v>2.12921</v>
      </c>
      <c r="EG3">
        <v>29.135170603674542</v>
      </c>
      <c r="EH3" t="s">
        <v>468</v>
      </c>
      <c r="EI3">
        <v>0</v>
      </c>
      <c r="EJ3">
        <v>0</v>
      </c>
      <c r="EK3" s="14">
        <v>45470</v>
      </c>
      <c r="EL3" s="15">
        <v>-0.24</v>
      </c>
      <c r="EM3" s="15">
        <v>-4.3600000000000003</v>
      </c>
      <c r="EN3" s="15">
        <v>-0.86</v>
      </c>
      <c r="EO3" s="15">
        <v>4.47</v>
      </c>
      <c r="EP3" s="15">
        <v>-2.97</v>
      </c>
    </row>
    <row r="4" spans="1:146" ht="156">
      <c r="A4" s="6"/>
      <c r="B4" s="6"/>
      <c r="C4" s="6" t="str">
        <f>"公司主营业务为锂矿采选行业、锂盐及深加工、锂电设备。公司主要产品为锂精矿、电池级碳酸锂 、电池级氢氧化锂、全自动化成机、全自动注液机、 移动仓储式烘烤线、全自动封装机。"&amp;CHAR(10)&amp;Basic_Fundamental_Information_Constructure(F4)&amp;CHAR(10)&amp;Basic_Fundamental_Information_Concatenate("锂盐 6.21亿 62.95% 36.84% 19.30%
锂电设备 1.88亿 19.08% 17.98% 31.07%
锂精矿 1.74亿 17.66% 44.87% 83.81%")</f>
        <v>公司主营业务为锂矿采选行业、锂盐及深加工、锂电设备。公司主要产品为锂精矿、电池级碳酸锂 、电池级氢氧化锂、全自动化成机、全自动注液机、 移动仓储式烘烤线、全自动封装机。
市值76.130906亿, 利润3.80亿; PE21.98; 平均PE17.73; 平均PEG.28, PB2.34; ROIC46.8567%; ROE51%; 股利率1.0232%; 毛利44.9767%; 净利40.22%; 上一年度营收增-59.53%, 利润增-84.43%; 当季营收增-57.51%, 利润增-54.75%; 过往5年营收增63.29%, 利润增-162.71%
Income profile:
锂盐 6.21亿 62.95% 36.84% 19.30%
锂电设备 1.88亿 19.08% 17.98% 31.07%
锂精矿 1.74亿 17.66% 44.87% 83.81%</v>
      </c>
      <c r="D4" t="s">
        <v>76</v>
      </c>
      <c r="E4" t="s">
        <v>77</v>
      </c>
      <c r="F4">
        <v>29.32</v>
      </c>
      <c r="G4">
        <v>1</v>
      </c>
      <c r="H4" t="s">
        <v>469</v>
      </c>
      <c r="I4">
        <v>7613090600</v>
      </c>
      <c r="J4">
        <v>21.98</v>
      </c>
      <c r="K4">
        <v>2.34</v>
      </c>
      <c r="L4" t="s">
        <v>217</v>
      </c>
      <c r="M4" t="s">
        <v>70</v>
      </c>
      <c r="N4" t="s">
        <v>470</v>
      </c>
      <c r="O4" t="s">
        <v>471</v>
      </c>
      <c r="P4">
        <v>-57.42</v>
      </c>
      <c r="Q4" t="s">
        <v>472</v>
      </c>
      <c r="R4">
        <v>28095407</v>
      </c>
      <c r="S4" s="7">
        <v>-0.54749999999999999</v>
      </c>
      <c r="T4" t="s">
        <v>473</v>
      </c>
      <c r="U4">
        <v>259120230</v>
      </c>
      <c r="V4">
        <v>259655200</v>
      </c>
      <c r="W4">
        <v>1.28</v>
      </c>
      <c r="X4">
        <v>0.02</v>
      </c>
      <c r="Y4">
        <v>26.27</v>
      </c>
      <c r="Z4" t="s">
        <v>474</v>
      </c>
      <c r="AA4" t="s">
        <v>475</v>
      </c>
      <c r="AB4" t="s">
        <v>476</v>
      </c>
      <c r="AC4" t="s">
        <v>477</v>
      </c>
      <c r="AD4" t="s">
        <v>5</v>
      </c>
      <c r="AE4">
        <v>-40628</v>
      </c>
      <c r="AF4" t="s">
        <v>478</v>
      </c>
      <c r="AG4">
        <v>0.8</v>
      </c>
      <c r="AH4" t="s">
        <v>479</v>
      </c>
      <c r="AI4" t="s">
        <v>480</v>
      </c>
      <c r="AJ4" t="s">
        <v>481</v>
      </c>
      <c r="AK4" t="s">
        <v>5</v>
      </c>
      <c r="AL4" t="s">
        <v>482</v>
      </c>
      <c r="AM4" t="s">
        <v>5</v>
      </c>
      <c r="AN4" t="s">
        <v>75</v>
      </c>
      <c r="AO4" t="s">
        <v>153</v>
      </c>
      <c r="AP4" t="s">
        <v>483</v>
      </c>
      <c r="AQ4" t="s">
        <v>484</v>
      </c>
      <c r="AR4" t="s">
        <v>5</v>
      </c>
      <c r="AS4" t="s">
        <v>485</v>
      </c>
      <c r="AT4" t="s">
        <v>5</v>
      </c>
      <c r="AU4" t="s">
        <v>194</v>
      </c>
      <c r="AV4" t="s">
        <v>375</v>
      </c>
      <c r="AW4" t="s">
        <v>486</v>
      </c>
      <c r="AX4" t="s">
        <v>360</v>
      </c>
      <c r="AY4" t="s">
        <v>170</v>
      </c>
      <c r="AZ4" t="s">
        <v>78</v>
      </c>
      <c r="BA4" t="s">
        <v>56</v>
      </c>
      <c r="BB4" t="s">
        <v>60</v>
      </c>
      <c r="BC4" t="s">
        <v>361</v>
      </c>
      <c r="BD4" t="s">
        <v>171</v>
      </c>
      <c r="BE4" t="s">
        <v>79</v>
      </c>
      <c r="BF4" t="s">
        <v>81</v>
      </c>
      <c r="BG4" t="s">
        <v>82</v>
      </c>
      <c r="BH4" t="s">
        <v>472</v>
      </c>
      <c r="BI4" t="s">
        <v>487</v>
      </c>
      <c r="BJ4" t="s">
        <v>360</v>
      </c>
      <c r="BK4" t="s">
        <v>473</v>
      </c>
      <c r="BL4" t="s">
        <v>488</v>
      </c>
      <c r="BM4" t="s">
        <v>361</v>
      </c>
      <c r="BN4">
        <v>9.16</v>
      </c>
      <c r="BO4">
        <v>119.69</v>
      </c>
      <c r="BP4">
        <v>11.72</v>
      </c>
      <c r="BQ4">
        <v>10.95</v>
      </c>
      <c r="BR4">
        <v>130.74</v>
      </c>
      <c r="BS4">
        <v>11.31</v>
      </c>
      <c r="BT4" t="s">
        <v>404</v>
      </c>
      <c r="BU4" t="s">
        <v>442</v>
      </c>
      <c r="BV4">
        <v>54.86</v>
      </c>
      <c r="BW4">
        <v>52.06</v>
      </c>
      <c r="BX4">
        <v>28.01</v>
      </c>
      <c r="BY4">
        <v>27.94</v>
      </c>
      <c r="BZ4">
        <v>83.13</v>
      </c>
      <c r="CA4">
        <v>9.59</v>
      </c>
      <c r="CB4">
        <v>-2.33</v>
      </c>
      <c r="CC4">
        <v>-15.53</v>
      </c>
      <c r="CD4" t="s">
        <v>489</v>
      </c>
      <c r="CE4" t="s">
        <v>131</v>
      </c>
      <c r="CF4" s="8">
        <v>-0.57506391752577324</v>
      </c>
      <c r="CG4" s="9">
        <v>-0.54749054567710342</v>
      </c>
      <c r="CH4" s="8">
        <v>-0.59525400400161743</v>
      </c>
      <c r="CI4" s="8">
        <v>2.2486429214477539</v>
      </c>
      <c r="CJ4" s="8">
        <v>1.3615384101867676</v>
      </c>
      <c r="CK4" s="8">
        <v>0.4444444477558136</v>
      </c>
      <c r="CL4" s="8">
        <v>-0.29503917694091797</v>
      </c>
      <c r="CM4" s="9">
        <v>-0.84426230192184448</v>
      </c>
      <c r="CN4" s="9">
        <v>34.730289459228516</v>
      </c>
      <c r="CO4" s="9">
        <v>2.2449536323547363</v>
      </c>
      <c r="CP4" s="9">
        <v>1.0645545721054077</v>
      </c>
      <c r="CQ4" s="9">
        <v>-45.331169128417969</v>
      </c>
      <c r="CR4">
        <v>17.730303471504598</v>
      </c>
      <c r="CS4">
        <v>0.28015865778777244</v>
      </c>
      <c r="CT4">
        <v>1.0231923601637107</v>
      </c>
      <c r="CU4" s="8">
        <v>0.63286651968955998</v>
      </c>
      <c r="CV4" s="9">
        <v>-1.6271267533302307</v>
      </c>
      <c r="CW4">
        <v>0.06</v>
      </c>
      <c r="CX4">
        <v>9.2029246003616088</v>
      </c>
      <c r="CY4">
        <v>585367242.90757811</v>
      </c>
      <c r="CZ4">
        <v>0.63286651968955998</v>
      </c>
      <c r="DA4">
        <v>1.9582396365411436</v>
      </c>
      <c r="DB4">
        <v>2750986395.8811836</v>
      </c>
      <c r="DC4">
        <v>0.60122319370508193</v>
      </c>
      <c r="DD4">
        <v>0.50048048643834941</v>
      </c>
      <c r="DE4">
        <v>10763837444.16696</v>
      </c>
      <c r="DF4">
        <v>0.55692253732681274</v>
      </c>
      <c r="DG4">
        <v>0.12893649694816217</v>
      </c>
      <c r="DH4">
        <v>41780959833.008606</v>
      </c>
      <c r="DI4">
        <v>0.50629321575164798</v>
      </c>
      <c r="DJ4">
        <v>7.8916835151480614E-3</v>
      </c>
      <c r="DK4">
        <v>682628819270.2478</v>
      </c>
      <c r="DL4">
        <v>0.44300656378269193</v>
      </c>
      <c r="DM4">
        <v>380000000</v>
      </c>
      <c r="DN4">
        <v>0.63286651968955998</v>
      </c>
      <c r="DO4">
        <v>5387090600</v>
      </c>
      <c r="DP4">
        <v>1465860400</v>
      </c>
      <c r="DQ4">
        <v>702</v>
      </c>
      <c r="DR4">
        <v>-1.2079304372153332</v>
      </c>
      <c r="DS4">
        <v>1.0796362076531274</v>
      </c>
      <c r="DT4" s="10">
        <v>9.999999999999936E-3</v>
      </c>
      <c r="DU4">
        <v>-0.47666666666666679</v>
      </c>
      <c r="DV4">
        <v>-0.46666666666666684</v>
      </c>
      <c r="DW4">
        <v>-2.1553</v>
      </c>
      <c r="DX4">
        <v>0.34380793650793479</v>
      </c>
      <c r="DY4">
        <v>-2.0238863725396827</v>
      </c>
      <c r="DZ4">
        <v>2825</v>
      </c>
      <c r="EA4">
        <v>-2.0106810883078619</v>
      </c>
      <c r="EB4">
        <v>2</v>
      </c>
      <c r="EC4">
        <v>0.11195500802602835</v>
      </c>
      <c r="ED4">
        <v>0.72788836888304187</v>
      </c>
      <c r="EE4" s="11">
        <v>-1.0293099999999999</v>
      </c>
      <c r="EF4">
        <v>-1.0354099999999999</v>
      </c>
      <c r="EG4">
        <v>19.153807936507935</v>
      </c>
      <c r="EH4" t="s">
        <v>412</v>
      </c>
      <c r="EI4">
        <v>0</v>
      </c>
      <c r="EJ4">
        <v>0</v>
      </c>
      <c r="EK4" s="14">
        <v>45470</v>
      </c>
      <c r="EL4" s="15">
        <v>-1.41</v>
      </c>
      <c r="EM4" s="15">
        <v>-3.88</v>
      </c>
      <c r="EN4" s="15">
        <v>-2.2400000000000002</v>
      </c>
      <c r="EO4" s="15">
        <v>9.99</v>
      </c>
      <c r="EP4" s="15">
        <v>-0.61</v>
      </c>
    </row>
    <row r="5" spans="1:146" ht="144">
      <c r="A5" s="6"/>
      <c r="B5" s="6" t="s">
        <v>196</v>
      </c>
      <c r="C5" s="6" t="str">
        <f>"公司主要从事新能源材料业务，主要是锂矿采选、基础锂盐的生产与销售以及少量林木业务。公司主要产品有中(高)密度纤维板、林木、稀土、锂盐等。"&amp;CHAR(10)&amp;Basic_Fundamental_Information_Constructure(F5)&amp;CHAR(10)&amp;Basic_Fundamental_Information_Concatenate("锂产品 27.85亿 94.93% 97.71% 47.78%
稀土 1.39亿 4.75% 2.40% 23.49%
林木 949.69万 0.32% -0.11% -15.64%")</f>
        <v>公司主要从事新能源材料业务，主要是锂矿采选、基础锂盐的生产与销售以及少量林木业务。公司主要产品有中(高)密度纤维板、林木、稀土、锂盐等。
市值122.159855亿, 利润7.02亿; PE128.6; 平均PE10.17; 平均PEG.17, PB.964; ROIC24.6733%; ROE32.6167%; 股利率1.81%; 毛利39.66%; 净利28.5233%; 上一年度营收增-33.96%, 利润增-87.36%; 当季营收增-56.43%, 利润增-130.97%; 过往5年营收增60.53%, 利润增707.16%
Income profile:
锂产品 27.85亿 94.93% 97.71% 47.78%
稀土 1.39亿 4.75% 2.40% 23.49%
林木 949.69万 0.32% -0.11% -15.64%</v>
      </c>
      <c r="D5" t="s">
        <v>83</v>
      </c>
      <c r="E5" t="s">
        <v>84</v>
      </c>
      <c r="F5">
        <v>13.26</v>
      </c>
      <c r="G5">
        <v>-0.45</v>
      </c>
      <c r="H5" t="s">
        <v>490</v>
      </c>
      <c r="I5">
        <v>12215985500</v>
      </c>
      <c r="J5">
        <v>128.6</v>
      </c>
      <c r="K5">
        <v>0.96399999999999997</v>
      </c>
      <c r="L5" t="s">
        <v>217</v>
      </c>
      <c r="M5" t="s">
        <v>491</v>
      </c>
      <c r="N5" t="s">
        <v>492</v>
      </c>
      <c r="O5" t="s">
        <v>493</v>
      </c>
      <c r="P5">
        <v>-56.42</v>
      </c>
      <c r="Q5" t="s">
        <v>494</v>
      </c>
      <c r="R5">
        <v>-143690870</v>
      </c>
      <c r="S5" s="5">
        <v>-1.31</v>
      </c>
      <c r="T5" t="s">
        <v>495</v>
      </c>
      <c r="U5">
        <v>863182060</v>
      </c>
      <c r="V5">
        <v>921265870</v>
      </c>
      <c r="W5">
        <v>1.7</v>
      </c>
      <c r="X5">
        <v>0.06</v>
      </c>
      <c r="Y5">
        <v>-10.96</v>
      </c>
      <c r="Z5" t="s">
        <v>496</v>
      </c>
      <c r="AA5" t="s">
        <v>112</v>
      </c>
      <c r="AB5" t="s">
        <v>497</v>
      </c>
      <c r="AC5" t="s">
        <v>498</v>
      </c>
      <c r="AD5" t="s">
        <v>5</v>
      </c>
      <c r="AE5">
        <v>60607906</v>
      </c>
      <c r="AF5" t="s">
        <v>499</v>
      </c>
      <c r="AG5" t="s">
        <v>500</v>
      </c>
      <c r="AH5" t="s">
        <v>501</v>
      </c>
      <c r="AI5" t="s">
        <v>502</v>
      </c>
      <c r="AJ5" t="s">
        <v>503</v>
      </c>
      <c r="AK5" t="s">
        <v>5</v>
      </c>
      <c r="AL5" t="s">
        <v>504</v>
      </c>
      <c r="AM5" t="s">
        <v>5</v>
      </c>
      <c r="AN5" t="s">
        <v>505</v>
      </c>
      <c r="AO5" t="s">
        <v>506</v>
      </c>
      <c r="AP5" t="s">
        <v>359</v>
      </c>
      <c r="AQ5" t="s">
        <v>507</v>
      </c>
      <c r="AR5" t="s">
        <v>5</v>
      </c>
      <c r="AS5" t="s">
        <v>508</v>
      </c>
      <c r="AT5" t="s">
        <v>509</v>
      </c>
      <c r="AU5" t="s">
        <v>510</v>
      </c>
      <c r="AV5" t="s">
        <v>511</v>
      </c>
      <c r="AW5" t="s">
        <v>512</v>
      </c>
      <c r="AX5" t="s">
        <v>363</v>
      </c>
      <c r="AY5" t="s">
        <v>224</v>
      </c>
      <c r="AZ5" t="s">
        <v>85</v>
      </c>
      <c r="BA5" t="s">
        <v>87</v>
      </c>
      <c r="BB5" t="s">
        <v>88</v>
      </c>
      <c r="BC5" t="s">
        <v>364</v>
      </c>
      <c r="BD5" t="s">
        <v>365</v>
      </c>
      <c r="BE5" t="s">
        <v>86</v>
      </c>
      <c r="BF5" t="s">
        <v>89</v>
      </c>
      <c r="BG5" t="s">
        <v>37</v>
      </c>
      <c r="BH5" t="s">
        <v>494</v>
      </c>
      <c r="BI5" t="s">
        <v>513</v>
      </c>
      <c r="BJ5" t="s">
        <v>363</v>
      </c>
      <c r="BK5" t="s">
        <v>495</v>
      </c>
      <c r="BL5" t="s">
        <v>91</v>
      </c>
      <c r="BM5" t="s">
        <v>364</v>
      </c>
      <c r="BN5">
        <v>6.24</v>
      </c>
      <c r="BO5">
        <v>50.14</v>
      </c>
      <c r="BP5">
        <v>17.64</v>
      </c>
      <c r="BQ5">
        <v>8.23</v>
      </c>
      <c r="BR5">
        <v>68.67</v>
      </c>
      <c r="BS5">
        <v>20.95</v>
      </c>
      <c r="BT5" t="s">
        <v>514</v>
      </c>
      <c r="BU5" t="s">
        <v>442</v>
      </c>
      <c r="BV5">
        <v>12.49</v>
      </c>
      <c r="BW5">
        <v>60.07</v>
      </c>
      <c r="BX5">
        <v>46.42</v>
      </c>
      <c r="BY5">
        <v>8.7100000000000009</v>
      </c>
      <c r="BZ5">
        <v>47.29</v>
      </c>
      <c r="CA5">
        <v>29.57</v>
      </c>
      <c r="CB5">
        <v>-1.19</v>
      </c>
      <c r="CC5">
        <v>-19</v>
      </c>
      <c r="CD5" t="s">
        <v>515</v>
      </c>
      <c r="CE5" t="s">
        <v>516</v>
      </c>
      <c r="CF5" s="8">
        <v>-0.56429597701149425</v>
      </c>
      <c r="CG5" s="9">
        <v>-1.3096785991379312</v>
      </c>
      <c r="CH5" s="8">
        <v>-0.33956307172775269</v>
      </c>
      <c r="CI5" s="8">
        <v>2.9903879165649414</v>
      </c>
      <c r="CJ5" s="8">
        <v>0.68453365564346313</v>
      </c>
      <c r="CK5" s="8">
        <v>-0.2141290009021759</v>
      </c>
      <c r="CL5" s="8">
        <v>-9.491661936044693E-2</v>
      </c>
      <c r="CM5" s="9">
        <v>-0.87355905771255493</v>
      </c>
      <c r="CN5" s="9">
        <v>5.4110856056213379</v>
      </c>
      <c r="CO5" s="9">
        <v>30.867876052856445</v>
      </c>
      <c r="CP5" s="9">
        <v>1.4587174654006958</v>
      </c>
      <c r="CQ5" s="9">
        <v>-1.5063300132751465</v>
      </c>
      <c r="CR5">
        <v>10.173016433280077</v>
      </c>
      <c r="CS5">
        <v>0.16807608525505743</v>
      </c>
      <c r="CT5">
        <v>1.8099547511312217</v>
      </c>
      <c r="CU5" s="8">
        <v>0.60526257604360578</v>
      </c>
      <c r="CV5" s="9">
        <v>7.0715580105781557</v>
      </c>
      <c r="CW5">
        <v>0.06</v>
      </c>
      <c r="CX5">
        <v>6.2994412618871243</v>
      </c>
      <c r="CY5">
        <v>1063107856.9647276</v>
      </c>
      <c r="CZ5">
        <v>0.60526257604360578</v>
      </c>
      <c r="DA5">
        <v>1.3679245649039269</v>
      </c>
      <c r="DB5">
        <v>4895727200.0377798</v>
      </c>
      <c r="DC5">
        <v>0.57499944724142549</v>
      </c>
      <c r="DD5">
        <v>0.36155739292625605</v>
      </c>
      <c r="DE5">
        <v>18522607007.972122</v>
      </c>
      <c r="DF5">
        <v>0.53263106691837314</v>
      </c>
      <c r="DG5">
        <v>9.7496880459580701E-2</v>
      </c>
      <c r="DH5">
        <v>68689228500.765938</v>
      </c>
      <c r="DI5">
        <v>0.48421006083488466</v>
      </c>
      <c r="DJ5">
        <v>6.6971641876186058E-3</v>
      </c>
      <c r="DK5">
        <v>999973318913.2594</v>
      </c>
      <c r="DL5">
        <v>0.42368380323052401</v>
      </c>
      <c r="DM5">
        <v>702000000</v>
      </c>
      <c r="DN5">
        <v>0.60526257604360578</v>
      </c>
      <c r="DO5">
        <v>6696985500</v>
      </c>
      <c r="DP5">
        <v>1382334500</v>
      </c>
      <c r="DQ5">
        <v>749</v>
      </c>
      <c r="DR5">
        <v>-1.1695585530551</v>
      </c>
      <c r="DS5">
        <v>-8.3812366097160869</v>
      </c>
      <c r="DT5" s="10">
        <v>-0.12333333333333336</v>
      </c>
      <c r="DU5">
        <v>-0.93500000000000005</v>
      </c>
      <c r="DV5">
        <v>-1.0583333333333333</v>
      </c>
      <c r="DW5">
        <v>-3.0339285714285715</v>
      </c>
      <c r="DX5">
        <v>0.32944391891891783</v>
      </c>
      <c r="DY5">
        <v>-3.0047311329633204</v>
      </c>
      <c r="DZ5">
        <v>3618</v>
      </c>
      <c r="EA5">
        <v>-3.0013813797223627</v>
      </c>
      <c r="EB5">
        <v>3</v>
      </c>
      <c r="EC5">
        <v>4.4802918836014193E-2</v>
      </c>
      <c r="ED5">
        <v>0.32129704316518315</v>
      </c>
      <c r="EE5" s="11">
        <v>-4.0223000000000004</v>
      </c>
      <c r="EF5">
        <v>-4.0073100000000004</v>
      </c>
      <c r="EG5">
        <v>19.139443918918918</v>
      </c>
      <c r="EH5" t="s">
        <v>517</v>
      </c>
      <c r="EI5">
        <v>0</v>
      </c>
      <c r="EJ5">
        <v>0</v>
      </c>
      <c r="EK5" s="14">
        <v>45470</v>
      </c>
      <c r="EL5" s="15">
        <v>-2.65</v>
      </c>
      <c r="EM5" s="15">
        <v>-1.99</v>
      </c>
      <c r="EN5" s="15">
        <v>0.68</v>
      </c>
      <c r="EO5" s="15">
        <v>5.74</v>
      </c>
      <c r="EP5" s="15">
        <v>-2.96</v>
      </c>
    </row>
    <row r="6" spans="1:146" ht="228">
      <c r="A6" s="6" t="s">
        <v>161</v>
      </c>
      <c r="B6" s="6" t="s">
        <v>331</v>
      </c>
      <c r="C6" s="6" t="str">
        <f>"公司的主营业务是各种深加工锂产品的研究、开发、生产与销售。公司的主要产品是锂系列产品、锂电池系列产品。赣锋锂业是全球锂行业领军企业；"&amp;CHAR(10)&amp;Basic_Fundamental_Information_Constructure(F6)&amp;CHAR(10)&amp;Basic_Fundamental_Information_Concatenate("锂系列产品 121.37亿 84.03% 94.91% 68.37%
锂电池系列产品 18.80亿 13.02% 3.28% 15.27%
其他产品及其他业务 4.27亿 2.95% 1.80% 36.92%")</f>
        <v>公司的主营业务是各种深加工锂产品的研究、开发、生产与销售。公司的主要产品是锂系列产品、锂电池系列产品。赣锋锂业是全球锂行业领军企业；
市值583.1632亿, 利润49.47亿; PE27.62; 平均PE10.48; 平均PEG.14, PB1.22; ROIC23.8967%; ROE35.23%; 股利率2.7672%; 毛利34.3967%; 净利37.11%; 上一年度营收增-21.16%, 利润增-75.87%; 当季营收增-46.41%, 利润增-118.31%; 过往5年营收增73.15%, 利润增147.88%
Income profile:
锂系列产品 121.37亿 84.03% 94.91% 68.37%
锂电池系列产品 18.80亿 13.02% 3.28% 15.27%
其他产品及其他业务 4.27亿 2.95% 1.80% 36.92%</v>
      </c>
      <c r="D6" t="s">
        <v>92</v>
      </c>
      <c r="E6" t="s">
        <v>93</v>
      </c>
      <c r="F6">
        <v>28.91</v>
      </c>
      <c r="G6">
        <v>-0.34</v>
      </c>
      <c r="H6" t="s">
        <v>518</v>
      </c>
      <c r="I6">
        <v>58316320000</v>
      </c>
      <c r="J6">
        <v>27.62</v>
      </c>
      <c r="K6">
        <v>1.22</v>
      </c>
      <c r="L6" t="s">
        <v>217</v>
      </c>
      <c r="M6" t="s">
        <v>519</v>
      </c>
      <c r="N6" t="s">
        <v>520</v>
      </c>
      <c r="O6" t="s">
        <v>521</v>
      </c>
      <c r="P6">
        <v>-46.41</v>
      </c>
      <c r="Q6" t="s">
        <v>522</v>
      </c>
      <c r="R6">
        <v>-438901870</v>
      </c>
      <c r="S6" s="5">
        <v>-1.1830000000000001</v>
      </c>
      <c r="T6" t="s">
        <v>523</v>
      </c>
      <c r="U6">
        <v>1208715120</v>
      </c>
      <c r="V6">
        <v>2017167800</v>
      </c>
      <c r="W6">
        <v>1.76</v>
      </c>
      <c r="X6">
        <v>0.05</v>
      </c>
      <c r="Y6">
        <v>-11.78</v>
      </c>
      <c r="Z6" t="s">
        <v>524</v>
      </c>
      <c r="AA6" t="s">
        <v>525</v>
      </c>
      <c r="AB6" t="s">
        <v>526</v>
      </c>
      <c r="AC6" t="s">
        <v>323</v>
      </c>
      <c r="AD6" t="s">
        <v>5</v>
      </c>
      <c r="AE6">
        <v>209405600</v>
      </c>
      <c r="AF6" t="s">
        <v>527</v>
      </c>
      <c r="AG6" t="s">
        <v>528</v>
      </c>
      <c r="AH6" t="s">
        <v>529</v>
      </c>
      <c r="AI6" t="s">
        <v>530</v>
      </c>
      <c r="AJ6" t="s">
        <v>531</v>
      </c>
      <c r="AK6" t="s">
        <v>5</v>
      </c>
      <c r="AL6" t="s">
        <v>532</v>
      </c>
      <c r="AM6" t="s">
        <v>5</v>
      </c>
      <c r="AN6" t="s">
        <v>533</v>
      </c>
      <c r="AO6" t="s">
        <v>534</v>
      </c>
      <c r="AP6" t="s">
        <v>535</v>
      </c>
      <c r="AQ6" t="s">
        <v>418</v>
      </c>
      <c r="AR6" t="s">
        <v>5</v>
      </c>
      <c r="AS6" t="s">
        <v>536</v>
      </c>
      <c r="AT6" t="s">
        <v>537</v>
      </c>
      <c r="AU6" t="s">
        <v>23</v>
      </c>
      <c r="AV6" t="s">
        <v>538</v>
      </c>
      <c r="AW6" t="s">
        <v>539</v>
      </c>
      <c r="AX6" t="s">
        <v>367</v>
      </c>
      <c r="AY6" t="s">
        <v>174</v>
      </c>
      <c r="AZ6" t="s">
        <v>94</v>
      </c>
      <c r="BA6" t="s">
        <v>96</v>
      </c>
      <c r="BB6" t="s">
        <v>97</v>
      </c>
      <c r="BC6" t="s">
        <v>368</v>
      </c>
      <c r="BD6" t="s">
        <v>175</v>
      </c>
      <c r="BE6" t="s">
        <v>95</v>
      </c>
      <c r="BF6" t="s">
        <v>98</v>
      </c>
      <c r="BG6" t="s">
        <v>68</v>
      </c>
      <c r="BH6" t="s">
        <v>522</v>
      </c>
      <c r="BI6" t="s">
        <v>540</v>
      </c>
      <c r="BJ6" t="s">
        <v>367</v>
      </c>
      <c r="BK6" t="s">
        <v>523</v>
      </c>
      <c r="BL6" t="s">
        <v>541</v>
      </c>
      <c r="BM6" t="s">
        <v>368</v>
      </c>
      <c r="BN6">
        <v>8.6</v>
      </c>
      <c r="BO6">
        <v>42.61</v>
      </c>
      <c r="BP6">
        <v>20.48</v>
      </c>
      <c r="BQ6">
        <v>13.24</v>
      </c>
      <c r="BR6">
        <v>61.41</v>
      </c>
      <c r="BS6">
        <v>31.04</v>
      </c>
      <c r="BT6" t="s">
        <v>542</v>
      </c>
      <c r="BU6" t="s">
        <v>442</v>
      </c>
      <c r="BV6">
        <v>13.88</v>
      </c>
      <c r="BW6">
        <v>49.5</v>
      </c>
      <c r="BX6">
        <v>39.81</v>
      </c>
      <c r="BY6">
        <v>13.88</v>
      </c>
      <c r="BZ6">
        <v>48.92</v>
      </c>
      <c r="CA6">
        <v>48.53</v>
      </c>
      <c r="CB6">
        <v>0.91</v>
      </c>
      <c r="CC6">
        <v>-15.59</v>
      </c>
      <c r="CD6" t="s">
        <v>543</v>
      </c>
      <c r="CE6" t="s">
        <v>544</v>
      </c>
      <c r="CF6" s="8">
        <v>-0.46408137317228226</v>
      </c>
      <c r="CG6" s="9">
        <v>-1.1831046599916561</v>
      </c>
      <c r="CH6" s="8">
        <v>-0.2116299569606781</v>
      </c>
      <c r="CI6" s="8">
        <v>2.7469089031219482</v>
      </c>
      <c r="CJ6" s="8">
        <v>1.0206373929977417</v>
      </c>
      <c r="CK6" s="8">
        <v>3.4069564193487167E-2</v>
      </c>
      <c r="CL6" s="8">
        <v>6.754593551158905E-2</v>
      </c>
      <c r="CM6" s="9">
        <v>-0.75873005390167236</v>
      </c>
      <c r="CN6" s="9">
        <v>2.9219586849212646</v>
      </c>
      <c r="CO6" s="9">
        <v>4.1004881858825684</v>
      </c>
      <c r="CP6" s="9">
        <v>1.8631285429000854</v>
      </c>
      <c r="CQ6" s="9">
        <v>-0.73303502798080444</v>
      </c>
      <c r="CR6">
        <v>10.475044756459001</v>
      </c>
      <c r="CS6">
        <v>0.14319827164802226</v>
      </c>
      <c r="CT6">
        <v>2.767208578346593</v>
      </c>
      <c r="CU6" s="8">
        <v>0.73150636777281763</v>
      </c>
      <c r="CV6" s="9">
        <v>1.4787620663642884</v>
      </c>
      <c r="CW6">
        <v>0.06</v>
      </c>
      <c r="CX6">
        <v>5.3757971786542411</v>
      </c>
      <c r="CY6">
        <v>8080907548.4642715</v>
      </c>
      <c r="CZ6">
        <v>0.73150636777281763</v>
      </c>
      <c r="DA6">
        <v>1.0651769796412438</v>
      </c>
      <c r="DB6">
        <v>40783194558.552345</v>
      </c>
      <c r="DC6">
        <v>0.69493104938417671</v>
      </c>
      <c r="DD6">
        <v>0.24166576234068793</v>
      </c>
      <c r="DE6">
        <v>179757858867.73096</v>
      </c>
      <c r="DF6">
        <v>0.64372560364007947</v>
      </c>
      <c r="DG6">
        <v>5.2946968872912364E-2</v>
      </c>
      <c r="DH6">
        <v>820468497531.39587</v>
      </c>
      <c r="DI6">
        <v>0.58520509421825417</v>
      </c>
      <c r="DJ6">
        <v>2.1592857932975678E-3</v>
      </c>
      <c r="DK6">
        <v>20118374387884.195</v>
      </c>
      <c r="DL6">
        <v>0.51205445744097233</v>
      </c>
      <c r="DM6">
        <v>4947000000</v>
      </c>
      <c r="DN6">
        <v>0.73150636777281763</v>
      </c>
      <c r="DO6">
        <v>43441319999.999992</v>
      </c>
      <c r="DP6">
        <v>5198561000</v>
      </c>
      <c r="DQ6">
        <v>961</v>
      </c>
      <c r="DR6">
        <v>-1.1955877409450999</v>
      </c>
      <c r="DS6">
        <v>-2.6618667263559446</v>
      </c>
      <c r="DT6" s="10">
        <v>-6.6666666666666714E-3</v>
      </c>
      <c r="DU6">
        <v>-0.34200000000000014</v>
      </c>
      <c r="DV6">
        <v>-0.34866666666666679</v>
      </c>
      <c r="DW6">
        <v>-2.1558999999999999</v>
      </c>
      <c r="DX6">
        <v>0.3442606976744203</v>
      </c>
      <c r="DY6">
        <v>-2.0240492427674419</v>
      </c>
      <c r="DZ6">
        <v>2572</v>
      </c>
      <c r="EA6">
        <v>-2.0119446141181543</v>
      </c>
      <c r="EB6">
        <v>2</v>
      </c>
      <c r="EC6">
        <v>3.2883778930042407E-2</v>
      </c>
      <c r="ED6">
        <v>0.21317016858984167</v>
      </c>
      <c r="EE6" s="11">
        <v>-1.0286</v>
      </c>
      <c r="EF6">
        <v>-1.0032099999999999</v>
      </c>
      <c r="EG6">
        <v>19.15426069767442</v>
      </c>
      <c r="EH6" t="s">
        <v>412</v>
      </c>
      <c r="EI6">
        <v>0</v>
      </c>
      <c r="EJ6">
        <v>0</v>
      </c>
      <c r="EK6" s="14">
        <v>45470</v>
      </c>
      <c r="EL6" s="15">
        <v>-2.11</v>
      </c>
      <c r="EM6" s="15">
        <v>-2.36</v>
      </c>
      <c r="EN6" s="15">
        <v>-1.72</v>
      </c>
      <c r="EO6" s="15">
        <v>7.59</v>
      </c>
      <c r="EP6" s="15">
        <v>-3.18</v>
      </c>
    </row>
    <row r="7" spans="1:146" ht="120">
      <c r="A7" s="6" t="s">
        <v>332</v>
      </c>
      <c r="B7" s="6"/>
      <c r="C7" s="6" t="str">
        <f>"公司主营业务是锂精矿及锂化工产品的生产、加工和销售。公司的主要产品为锂矿、锂化合物及衍生品。"&amp;CHAR(10)&amp;Basic_Fundamental_Information_Constructure(F7)&amp;CHAR(10)&amp;Basic_Fundamental_Information_Concatenate("锂化合物及衍生品 98.28亿 68.75% 71.43% 87.54%
锂矿 44.66亿 31.24% 28.57% 77.05%")</f>
        <v>公司主营业务是锂精矿及锂化工产品的生产、加工和销售。公司的主要产品为锂矿、锂化合物及衍生品。
市值471.52296亿, 利润72.97亿; PE; 平均PE10.15; 平均PEG.1, PB.986; ROIC36.3367%; ROE39.8633%; 股利率4.6989%; 毛利77.36%; 净利58.0233%; 上一年度营收增.13%, 利润增-69.75%; 当季营收增-77.42%, 利润增-179.93%; 过往5年营收增101.8%, 利润增180.28%
Income profile:
锂化合物及衍生品 98.28亿 68.75% 71.43% 87.54%
锂矿 44.66亿 31.24% 28.57% 77.05%</v>
      </c>
      <c r="D7" t="s">
        <v>99</v>
      </c>
      <c r="E7" t="s">
        <v>100</v>
      </c>
      <c r="F7">
        <v>28.73</v>
      </c>
      <c r="G7">
        <v>-0.52</v>
      </c>
      <c r="H7" t="s">
        <v>545</v>
      </c>
      <c r="I7">
        <v>47152296000</v>
      </c>
      <c r="K7">
        <v>0.98599999999999999</v>
      </c>
      <c r="L7" t="s">
        <v>217</v>
      </c>
      <c r="M7" t="s">
        <v>546</v>
      </c>
      <c r="N7" t="s">
        <v>547</v>
      </c>
      <c r="O7" t="s">
        <v>548</v>
      </c>
      <c r="P7">
        <v>-77.42</v>
      </c>
      <c r="Q7" t="s">
        <v>549</v>
      </c>
      <c r="R7">
        <v>-3896784800</v>
      </c>
      <c r="S7" s="7">
        <v>-1.7989999999999999</v>
      </c>
      <c r="T7" t="s">
        <v>550</v>
      </c>
      <c r="U7">
        <v>1476287000</v>
      </c>
      <c r="V7">
        <v>1641221600</v>
      </c>
      <c r="W7">
        <v>1.32</v>
      </c>
      <c r="X7">
        <v>0.04</v>
      </c>
      <c r="Y7">
        <v>-32.130000000000003</v>
      </c>
      <c r="Z7" t="s">
        <v>551</v>
      </c>
      <c r="AA7" t="s">
        <v>552</v>
      </c>
      <c r="AB7" t="s">
        <v>553</v>
      </c>
      <c r="AC7" t="s">
        <v>80</v>
      </c>
      <c r="AD7" t="s">
        <v>5</v>
      </c>
      <c r="AE7">
        <v>253647460</v>
      </c>
      <c r="AF7" t="s">
        <v>554</v>
      </c>
      <c r="AG7" t="s">
        <v>555</v>
      </c>
      <c r="AH7" t="s">
        <v>556</v>
      </c>
      <c r="AI7" t="s">
        <v>557</v>
      </c>
      <c r="AJ7" t="s">
        <v>558</v>
      </c>
      <c r="AK7" t="s">
        <v>559</v>
      </c>
      <c r="AL7" t="s">
        <v>560</v>
      </c>
      <c r="AM7" t="s">
        <v>5</v>
      </c>
      <c r="AN7" t="s">
        <v>561</v>
      </c>
      <c r="AO7" t="s">
        <v>117</v>
      </c>
      <c r="AP7" t="s">
        <v>167</v>
      </c>
      <c r="AQ7" t="s">
        <v>562</v>
      </c>
      <c r="AR7" t="s">
        <v>5</v>
      </c>
      <c r="AS7" t="s">
        <v>563</v>
      </c>
      <c r="AT7" t="s">
        <v>564</v>
      </c>
      <c r="AU7" t="s">
        <v>565</v>
      </c>
      <c r="AV7" t="s">
        <v>566</v>
      </c>
      <c r="AW7" t="s">
        <v>567</v>
      </c>
      <c r="AX7" t="s">
        <v>370</v>
      </c>
      <c r="AY7" t="s">
        <v>176</v>
      </c>
      <c r="AZ7" t="s">
        <v>101</v>
      </c>
      <c r="BA7" t="s">
        <v>103</v>
      </c>
      <c r="BB7" t="s">
        <v>104</v>
      </c>
      <c r="BC7" t="s">
        <v>371</v>
      </c>
      <c r="BD7" t="s">
        <v>177</v>
      </c>
      <c r="BE7" t="s">
        <v>102</v>
      </c>
      <c r="BF7" t="s">
        <v>105</v>
      </c>
      <c r="BG7" t="s">
        <v>106</v>
      </c>
      <c r="BH7" t="s">
        <v>549</v>
      </c>
      <c r="BI7" t="s">
        <v>568</v>
      </c>
      <c r="BJ7" t="s">
        <v>370</v>
      </c>
      <c r="BK7" t="s">
        <v>550</v>
      </c>
      <c r="BL7" t="s">
        <v>569</v>
      </c>
      <c r="BM7" t="s">
        <v>371</v>
      </c>
      <c r="BN7">
        <v>36.29</v>
      </c>
      <c r="BO7">
        <v>63.51</v>
      </c>
      <c r="BP7">
        <v>9.2100000000000009</v>
      </c>
      <c r="BQ7">
        <v>15.79</v>
      </c>
      <c r="BR7">
        <v>80.650000000000006</v>
      </c>
      <c r="BS7">
        <v>23.15</v>
      </c>
      <c r="BT7" t="s">
        <v>570</v>
      </c>
      <c r="BU7" t="s">
        <v>442</v>
      </c>
      <c r="BV7">
        <v>84.99</v>
      </c>
      <c r="BW7">
        <v>85.12</v>
      </c>
      <c r="BX7">
        <v>61.97</v>
      </c>
      <c r="BY7">
        <v>63.36</v>
      </c>
      <c r="BZ7">
        <v>76.91</v>
      </c>
      <c r="CA7">
        <v>33.799999999999997</v>
      </c>
      <c r="CB7">
        <v>-3.95</v>
      </c>
      <c r="CC7">
        <v>-20.37</v>
      </c>
      <c r="CD7" t="s">
        <v>571</v>
      </c>
      <c r="CE7" t="s">
        <v>69</v>
      </c>
      <c r="CF7" s="8">
        <v>-0.77421608874137482</v>
      </c>
      <c r="CG7" s="9">
        <v>-1.7993404717948718</v>
      </c>
      <c r="CH7" s="8">
        <v>1.3350555673241615E-3</v>
      </c>
      <c r="CI7" s="8">
        <v>4.2784810066223145</v>
      </c>
      <c r="CJ7" s="8">
        <v>1.3658536672592163</v>
      </c>
      <c r="CK7" s="8">
        <v>-0.33092334866523743</v>
      </c>
      <c r="CL7" s="8">
        <v>-0.22469568252563477</v>
      </c>
      <c r="CM7" s="9">
        <v>-0.69753372669219971</v>
      </c>
      <c r="CN7" s="9">
        <v>10.604135513305664</v>
      </c>
      <c r="CO7" s="9">
        <v>2.1335878372192383</v>
      </c>
      <c r="CP7" s="9">
        <v>0.69346481561660767</v>
      </c>
      <c r="CQ7" s="9">
        <v>-3.7195456027984619</v>
      </c>
      <c r="CR7">
        <v>10.146097260077465</v>
      </c>
      <c r="CS7">
        <v>9.966597448184418E-2</v>
      </c>
      <c r="CT7">
        <v>4.6989209885137484</v>
      </c>
      <c r="CU7" s="8">
        <v>1.0180101396515966</v>
      </c>
      <c r="CV7" s="9">
        <v>1.8028217673301696</v>
      </c>
      <c r="CW7">
        <v>0.06</v>
      </c>
      <c r="CX7">
        <v>0.95878105823198589</v>
      </c>
      <c r="CY7">
        <v>13891905650.035563</v>
      </c>
      <c r="CZ7">
        <v>1.0180101396515966</v>
      </c>
      <c r="DA7">
        <v>0.15613478065648123</v>
      </c>
      <c r="DB7">
        <v>85306399663.149689</v>
      </c>
      <c r="DC7">
        <v>0.96710963266901673</v>
      </c>
      <c r="DD7">
        <v>2.535995367856175E-2</v>
      </c>
      <c r="DE7">
        <v>525209792132.21429</v>
      </c>
      <c r="DF7">
        <v>0.89584892289340501</v>
      </c>
      <c r="DG7">
        <v>3.5312885561739286E-3</v>
      </c>
      <c r="DH7">
        <v>3771794852820.2852</v>
      </c>
      <c r="DI7">
        <v>0.81440811172127736</v>
      </c>
      <c r="DJ7">
        <v>4.7350334897429855E-5</v>
      </c>
      <c r="DK7">
        <v>281292540567077.66</v>
      </c>
      <c r="DL7">
        <v>0.71260709775611752</v>
      </c>
      <c r="DM7">
        <v>7297000000</v>
      </c>
      <c r="DN7">
        <v>1.0180101396515966</v>
      </c>
      <c r="DO7">
        <v>13319296000</v>
      </c>
      <c r="DP7">
        <v>11512189000</v>
      </c>
      <c r="DQ7">
        <v>966</v>
      </c>
      <c r="DR7">
        <v>-1.7922262283929715</v>
      </c>
      <c r="DS7">
        <v>-3.6021622391250414</v>
      </c>
      <c r="DT7" s="10">
        <v>-3.9999999999999959E-2</v>
      </c>
      <c r="DU7">
        <v>-1.3516666666666668</v>
      </c>
      <c r="DV7">
        <v>-1.3916666666666668</v>
      </c>
      <c r="DW7">
        <v>-8.1939126165930283</v>
      </c>
      <c r="DX7">
        <v>0.31755241264559003</v>
      </c>
      <c r="DY7">
        <v>-8.0266731482547904</v>
      </c>
      <c r="DZ7">
        <v>3941</v>
      </c>
      <c r="EA7">
        <v>-8.0061019393952737</v>
      </c>
      <c r="EB7">
        <v>8</v>
      </c>
      <c r="EC7">
        <v>5.0370407018771872E-2</v>
      </c>
      <c r="ED7">
        <v>0.36619064725933415</v>
      </c>
      <c r="EE7" s="11">
        <v>-2.0122</v>
      </c>
      <c r="EF7">
        <v>-2.01891</v>
      </c>
      <c r="EG7">
        <v>18.13755241264559</v>
      </c>
      <c r="EH7" t="s">
        <v>572</v>
      </c>
      <c r="EI7">
        <v>0</v>
      </c>
      <c r="EJ7">
        <v>0</v>
      </c>
      <c r="EK7" s="14">
        <v>45470</v>
      </c>
      <c r="EL7" s="15">
        <v>-2.4300000000000002</v>
      </c>
      <c r="EM7" s="15">
        <v>-1.28</v>
      </c>
      <c r="EN7" s="15">
        <v>-1.89</v>
      </c>
      <c r="EO7" s="15">
        <v>6.84</v>
      </c>
      <c r="EP7" s="15">
        <v>-3.11</v>
      </c>
    </row>
    <row r="8" spans="1:146" ht="156">
      <c r="A8" s="12" t="s">
        <v>197</v>
      </c>
      <c r="B8" s="12"/>
      <c r="C8" s="12" t="str">
        <f>"公司主营业务包括民爆业务和锂业务两大板块，同时还涉足运输、军工等方面业务。"&amp;CHAR(10)&amp;Basic_Fundamental_Information_Constructure(C8)&amp;CHAR(10)&amp;Basic_Fundamental_Information_Concatenate("锂行业 45.97亿 76.56% 89.64% 58.69%
民爆业务 7.77亿 12.94% 10.36% 40.10%
工程爆破 5.70亿 9.50%")</f>
        <v>公司主营业务包括民爆业务和锂业务两大板块，同时还涉足运输、军工等方面业务。
市值131.968409亿, 利润45.38亿; PE7.33; 平均PE12.59; 平均PEG.23, PB1.19; ROIC9.1933%; ROE10.78%; 股利率4.1048%; 毛利29.62%; 净利15.1467%; 上一年度营收增175.84%, 利润增384.31%; 当季营收增-20.86%, 利润增-111.21%; 过往5年营收增54.61%, 利润增168.32%
Income profile:
锂行业 45.97亿 76.56% 89.64% 58.69%
民爆业务 7.77亿 12.94% 10.36% 40.10%
工程爆破 5.70亿 9.50%</v>
      </c>
      <c r="D8" t="s">
        <v>198</v>
      </c>
      <c r="E8" t="s">
        <v>199</v>
      </c>
      <c r="F8">
        <v>8.77</v>
      </c>
      <c r="G8">
        <v>1.27</v>
      </c>
      <c r="H8" t="s">
        <v>573</v>
      </c>
      <c r="I8">
        <v>10107973300</v>
      </c>
      <c r="K8">
        <v>0.97499999999999998</v>
      </c>
      <c r="L8" t="s">
        <v>217</v>
      </c>
      <c r="M8" t="s">
        <v>446</v>
      </c>
      <c r="N8" t="s">
        <v>574</v>
      </c>
      <c r="O8" t="s">
        <v>575</v>
      </c>
      <c r="P8">
        <v>-39.020000000000003</v>
      </c>
      <c r="Q8" t="s">
        <v>576</v>
      </c>
      <c r="R8">
        <v>14930492</v>
      </c>
      <c r="S8" s="5">
        <v>-0.9748</v>
      </c>
      <c r="T8" t="s">
        <v>577</v>
      </c>
      <c r="U8">
        <v>1058729990</v>
      </c>
      <c r="V8">
        <v>1152562520</v>
      </c>
      <c r="W8">
        <v>1.36</v>
      </c>
      <c r="X8">
        <v>0.13</v>
      </c>
      <c r="Y8">
        <v>0.37</v>
      </c>
      <c r="Z8" t="s">
        <v>578</v>
      </c>
      <c r="AA8" t="s">
        <v>579</v>
      </c>
      <c r="AB8" t="s">
        <v>580</v>
      </c>
      <c r="AC8" t="s">
        <v>73</v>
      </c>
      <c r="AD8" t="s">
        <v>5</v>
      </c>
      <c r="AE8">
        <v>-4453322</v>
      </c>
      <c r="AF8" t="s">
        <v>581</v>
      </c>
      <c r="AG8" t="s">
        <v>582</v>
      </c>
      <c r="AH8" t="s">
        <v>583</v>
      </c>
      <c r="AI8" t="s">
        <v>584</v>
      </c>
      <c r="AJ8" t="s">
        <v>585</v>
      </c>
      <c r="AK8" t="s">
        <v>586</v>
      </c>
      <c r="AL8" t="s">
        <v>587</v>
      </c>
      <c r="AM8" t="s">
        <v>5</v>
      </c>
      <c r="AN8" t="s">
        <v>588</v>
      </c>
      <c r="AO8" t="s">
        <v>400</v>
      </c>
      <c r="AP8" t="s">
        <v>589</v>
      </c>
      <c r="AQ8" t="s">
        <v>201</v>
      </c>
      <c r="AR8" t="s">
        <v>590</v>
      </c>
      <c r="AS8" t="s">
        <v>591</v>
      </c>
      <c r="AT8" t="s">
        <v>592</v>
      </c>
      <c r="AU8" t="s">
        <v>593</v>
      </c>
      <c r="AV8" t="s">
        <v>594</v>
      </c>
      <c r="AW8" t="s">
        <v>595</v>
      </c>
      <c r="AX8" t="s">
        <v>372</v>
      </c>
      <c r="AY8" t="s">
        <v>200</v>
      </c>
      <c r="AZ8" t="s">
        <v>202</v>
      </c>
      <c r="BA8" t="s">
        <v>203</v>
      </c>
      <c r="BB8" t="s">
        <v>204</v>
      </c>
      <c r="BC8" t="s">
        <v>373</v>
      </c>
      <c r="BD8" t="s">
        <v>201</v>
      </c>
      <c r="BE8" t="s">
        <v>205</v>
      </c>
      <c r="BF8" t="s">
        <v>206</v>
      </c>
      <c r="BG8" t="s">
        <v>207</v>
      </c>
      <c r="BH8" t="s">
        <v>576</v>
      </c>
      <c r="BI8" t="s">
        <v>596</v>
      </c>
      <c r="BJ8" t="s">
        <v>372</v>
      </c>
      <c r="BK8" t="s">
        <v>577</v>
      </c>
      <c r="BL8" t="s">
        <v>597</v>
      </c>
      <c r="BM8" t="s">
        <v>373</v>
      </c>
      <c r="BN8">
        <v>6.49</v>
      </c>
      <c r="BO8">
        <v>48.42</v>
      </c>
      <c r="BP8">
        <v>15.37</v>
      </c>
      <c r="BQ8">
        <v>7.26</v>
      </c>
      <c r="BR8">
        <v>52.64</v>
      </c>
      <c r="BS8">
        <v>16.329999999999998</v>
      </c>
      <c r="BT8" t="s">
        <v>598</v>
      </c>
      <c r="BU8" t="s">
        <v>442</v>
      </c>
      <c r="BV8">
        <v>13.46</v>
      </c>
      <c r="BW8">
        <v>44.55</v>
      </c>
      <c r="BX8">
        <v>35.17</v>
      </c>
      <c r="BY8">
        <v>0.38</v>
      </c>
      <c r="BZ8">
        <v>32.03</v>
      </c>
      <c r="CA8">
        <v>18.77</v>
      </c>
      <c r="CB8">
        <v>-1.68</v>
      </c>
      <c r="CC8">
        <v>-18.46</v>
      </c>
      <c r="CD8" t="s">
        <v>599</v>
      </c>
      <c r="CE8" t="s">
        <v>347</v>
      </c>
      <c r="CF8" s="8">
        <v>-0.39038841342988806</v>
      </c>
      <c r="CG8" s="9">
        <v>-0.97482210455311968</v>
      </c>
      <c r="CH8" s="8">
        <v>-0.17721518874168396</v>
      </c>
      <c r="CI8" s="8">
        <v>1.7584431171417236</v>
      </c>
      <c r="CJ8" s="8">
        <v>0.61261540651321411</v>
      </c>
      <c r="CK8" s="8">
        <v>1.6578022390604019E-2</v>
      </c>
      <c r="CL8" s="8">
        <v>4.2386654764413834E-2</v>
      </c>
      <c r="CM8" s="9">
        <v>-0.9911382794380188</v>
      </c>
      <c r="CN8" s="9">
        <v>3.843116283416748</v>
      </c>
      <c r="CO8" s="9">
        <v>1.8919752836227417</v>
      </c>
      <c r="CP8" s="9">
        <v>3.5200893878936768</v>
      </c>
      <c r="CQ8" s="9">
        <v>-0.60830599069595337</v>
      </c>
      <c r="CR8">
        <v>9.9522296963877643</v>
      </c>
      <c r="CS8">
        <v>0.22088499426213334</v>
      </c>
      <c r="CT8">
        <v>0.39908779931584948</v>
      </c>
      <c r="CU8" s="8">
        <v>0.45056160241365434</v>
      </c>
      <c r="CV8" s="9">
        <v>1.531147336959839</v>
      </c>
      <c r="CW8">
        <v>0.06</v>
      </c>
      <c r="CX8">
        <v>56.49393777026733</v>
      </c>
      <c r="CY8">
        <v>55031980.823192813</v>
      </c>
      <c r="CZ8">
        <v>0.45056160241365434</v>
      </c>
      <c r="DA8">
        <v>13.787374301007906</v>
      </c>
      <c r="DB8">
        <v>225494226.24819309</v>
      </c>
      <c r="DC8">
        <v>0.42803352229297159</v>
      </c>
      <c r="DD8">
        <v>4.4051065677873158</v>
      </c>
      <c r="DE8">
        <v>705765740.77335811</v>
      </c>
      <c r="DF8">
        <v>0.39649421012401581</v>
      </c>
      <c r="DG8">
        <v>1.5343707907497739</v>
      </c>
      <c r="DH8">
        <v>2026220336.5333831</v>
      </c>
      <c r="DI8">
        <v>0.36044928193092352</v>
      </c>
      <c r="DJ8">
        <v>0.20287204893694069</v>
      </c>
      <c r="DK8">
        <v>15324798641.760508</v>
      </c>
      <c r="DL8">
        <v>0.31539312168955802</v>
      </c>
      <c r="DM8">
        <v>40214700</v>
      </c>
      <c r="DN8">
        <v>0.45056160241365434</v>
      </c>
      <c r="DO8">
        <v>3108973300</v>
      </c>
      <c r="DP8">
        <v>5526970800</v>
      </c>
      <c r="DQ8">
        <v>995</v>
      </c>
      <c r="DR8">
        <v>-0.84095001584354234</v>
      </c>
      <c r="DS8">
        <v>-2.5059694415129585</v>
      </c>
      <c r="DT8" s="10">
        <v>-3.9999999999999959E-2</v>
      </c>
      <c r="DU8">
        <v>0.11633333333333318</v>
      </c>
      <c r="DV8">
        <v>7.6333333333333225E-2</v>
      </c>
      <c r="DW8">
        <v>-3.0278214285714284</v>
      </c>
      <c r="DX8">
        <v>0.34985705329153771</v>
      </c>
      <c r="DY8">
        <v>-3.0036128087326466</v>
      </c>
      <c r="DZ8">
        <v>1540</v>
      </c>
      <c r="EA8">
        <v>-3.0025240170597942</v>
      </c>
      <c r="EB8">
        <v>3</v>
      </c>
      <c r="EC8">
        <v>3.5941130551425525E-2</v>
      </c>
      <c r="ED8">
        <v>0.27677457358235108</v>
      </c>
      <c r="EE8" s="11">
        <v>-1.01251</v>
      </c>
      <c r="EF8">
        <v>-1.0362100000000001</v>
      </c>
      <c r="EG8">
        <v>22.129857053291538</v>
      </c>
      <c r="EH8" t="s">
        <v>412</v>
      </c>
      <c r="EI8">
        <v>0</v>
      </c>
      <c r="EJ8">
        <v>0</v>
      </c>
      <c r="EK8" s="14">
        <v>45470</v>
      </c>
      <c r="EL8" s="15">
        <v>-4.8600000000000003</v>
      </c>
      <c r="EM8" s="15">
        <v>-2.39</v>
      </c>
      <c r="EN8" s="15">
        <v>-0.89</v>
      </c>
      <c r="EO8" s="15">
        <v>4.16</v>
      </c>
      <c r="EP8" s="15">
        <v>-2.37</v>
      </c>
    </row>
    <row r="9" spans="1:146" ht="96">
      <c r="C9" s="12" t="str">
        <f>""&amp;CHAR(10)&amp;Basic_Fundamental_Information_Constructure(C9)&amp;CHAR(10)&amp;Basic_Fundamental_Information_Concatenate("")</f>
        <v xml:space="preserve">
市值21.06204亿, 利润8239.41万; PE; 平均PE330.49; 平均PEG3.67, PB2.77; ROIC.77%; ROE-4.12%; 股利率0%; 毛利20.5767%; 净利-14.6433%; 上一年度营收增417.9%, 利润增185.9%; 当季营收增-5.66%, 利润增-205.68%; 过往5年营收增90.06%, 利润增-385.11%
Income profile:
</v>
      </c>
      <c r="D9" t="s">
        <v>376</v>
      </c>
      <c r="E9" t="s">
        <v>377</v>
      </c>
      <c r="F9">
        <v>4.7699999999999996</v>
      </c>
      <c r="G9">
        <v>1.71</v>
      </c>
      <c r="H9" t="s">
        <v>600</v>
      </c>
      <c r="I9">
        <v>1156109670</v>
      </c>
      <c r="K9">
        <v>1.75</v>
      </c>
      <c r="L9" t="s">
        <v>217</v>
      </c>
      <c r="M9" t="s">
        <v>601</v>
      </c>
      <c r="N9" t="s">
        <v>602</v>
      </c>
      <c r="O9" t="s">
        <v>21</v>
      </c>
      <c r="P9" s="5">
        <v>-65.760000000000005</v>
      </c>
      <c r="Q9" t="s">
        <v>603</v>
      </c>
      <c r="R9">
        <v>-15743813</v>
      </c>
      <c r="S9">
        <v>-18.75</v>
      </c>
      <c r="T9" t="s">
        <v>604</v>
      </c>
      <c r="U9">
        <v>235945600</v>
      </c>
      <c r="V9">
        <v>242371000</v>
      </c>
      <c r="W9">
        <v>1.8</v>
      </c>
      <c r="X9">
        <v>0.05</v>
      </c>
      <c r="Y9">
        <v>-22.7</v>
      </c>
      <c r="Z9" t="s">
        <v>72</v>
      </c>
      <c r="AA9" t="s">
        <v>362</v>
      </c>
      <c r="AB9" t="s">
        <v>605</v>
      </c>
      <c r="AC9" t="s">
        <v>606</v>
      </c>
      <c r="AD9" t="s">
        <v>5</v>
      </c>
      <c r="AE9">
        <v>5933149</v>
      </c>
      <c r="AF9" t="s">
        <v>607</v>
      </c>
      <c r="AG9" t="s">
        <v>608</v>
      </c>
      <c r="AH9" t="s">
        <v>609</v>
      </c>
      <c r="AI9" t="s">
        <v>610</v>
      </c>
      <c r="AJ9" t="s">
        <v>611</v>
      </c>
      <c r="AK9" t="s">
        <v>612</v>
      </c>
      <c r="AL9" t="s">
        <v>613</v>
      </c>
      <c r="AM9" t="s">
        <v>5</v>
      </c>
      <c r="AN9" t="s">
        <v>614</v>
      </c>
      <c r="AO9" t="s">
        <v>615</v>
      </c>
      <c r="AP9" t="s">
        <v>616</v>
      </c>
      <c r="AQ9" t="s">
        <v>322</v>
      </c>
      <c r="AR9" t="s">
        <v>5</v>
      </c>
      <c r="AS9" t="s">
        <v>124</v>
      </c>
      <c r="AT9" t="s">
        <v>324</v>
      </c>
      <c r="AU9" t="s">
        <v>617</v>
      </c>
      <c r="AV9" t="s">
        <v>618</v>
      </c>
      <c r="AW9" t="s">
        <v>619</v>
      </c>
      <c r="AX9" t="s">
        <v>378</v>
      </c>
      <c r="AY9" t="s">
        <v>324</v>
      </c>
      <c r="AZ9" t="s">
        <v>226</v>
      </c>
      <c r="BA9" t="s">
        <v>329</v>
      </c>
      <c r="BB9" t="s">
        <v>160</v>
      </c>
      <c r="BC9" t="s">
        <v>620</v>
      </c>
      <c r="BD9" t="s">
        <v>379</v>
      </c>
      <c r="BE9" t="s">
        <v>380</v>
      </c>
      <c r="BF9" t="s">
        <v>381</v>
      </c>
      <c r="BG9" t="s">
        <v>382</v>
      </c>
      <c r="BH9" t="s">
        <v>603</v>
      </c>
      <c r="BI9" t="s">
        <v>621</v>
      </c>
      <c r="BJ9" t="s">
        <v>378</v>
      </c>
      <c r="BK9" t="s">
        <v>604</v>
      </c>
      <c r="BL9" t="s">
        <v>622</v>
      </c>
      <c r="BM9" t="s">
        <v>620</v>
      </c>
      <c r="BN9" t="s">
        <v>5</v>
      </c>
      <c r="BO9">
        <v>16.010000000000002</v>
      </c>
      <c r="BP9" t="s">
        <v>5</v>
      </c>
      <c r="BQ9">
        <v>-9.93</v>
      </c>
      <c r="BR9">
        <v>11.4</v>
      </c>
      <c r="BS9">
        <v>-13.12</v>
      </c>
      <c r="BT9" t="s">
        <v>321</v>
      </c>
      <c r="BU9" t="s">
        <v>442</v>
      </c>
      <c r="BV9">
        <v>15.42</v>
      </c>
      <c r="BW9">
        <v>42.12</v>
      </c>
      <c r="BX9">
        <v>24.01</v>
      </c>
      <c r="BY9">
        <v>-25.42</v>
      </c>
      <c r="BZ9">
        <v>16.309999999999999</v>
      </c>
      <c r="CA9">
        <v>-41.92</v>
      </c>
      <c r="CB9">
        <v>1.27</v>
      </c>
      <c r="CC9" s="8">
        <v>-29.12</v>
      </c>
      <c r="CD9" s="9" t="s">
        <v>623</v>
      </c>
      <c r="CE9" s="8" t="s">
        <v>169</v>
      </c>
      <c r="CF9" s="8">
        <v>-0.65923566878980888</v>
      </c>
      <c r="CG9" s="8">
        <v>-18.755512574715237</v>
      </c>
      <c r="CH9" s="8">
        <v>-3.7942718714475632E-2</v>
      </c>
      <c r="CI9" s="8">
        <v>4.179039478302002</v>
      </c>
      <c r="CJ9" s="9">
        <v>-0.2103448212146759</v>
      </c>
      <c r="CK9" s="9">
        <v>0.30630630254745483</v>
      </c>
      <c r="CL9" s="9">
        <v>0.20000000298023224</v>
      </c>
      <c r="CM9" s="9">
        <v>-3.7184975147247314</v>
      </c>
      <c r="CN9" s="9">
        <v>1.8551757335662842</v>
      </c>
      <c r="CO9">
        <v>-19.988914489746094</v>
      </c>
      <c r="CP9">
        <v>-0.538768470287323</v>
      </c>
      <c r="CQ9">
        <v>-0.13085365295410156</v>
      </c>
      <c r="CR9" s="8">
        <v>-33.303349175248975</v>
      </c>
      <c r="CS9" s="9">
        <v>-0.37528636480070865</v>
      </c>
      <c r="CT9">
        <v>0</v>
      </c>
      <c r="CU9">
        <v>0.88741164878010748</v>
      </c>
      <c r="CV9">
        <v>-4.5043716788291928</v>
      </c>
      <c r="CW9">
        <v>0.06</v>
      </c>
      <c r="CX9" t="e">
        <v>#VALUE!</v>
      </c>
      <c r="CY9" t="s">
        <v>330</v>
      </c>
      <c r="CZ9">
        <v>0.88741164878010748</v>
      </c>
      <c r="DA9" t="e">
        <v>#VALUE!</v>
      </c>
      <c r="DB9" t="s">
        <v>195</v>
      </c>
      <c r="DC9">
        <v>0.8430410663411021</v>
      </c>
      <c r="DD9" t="e">
        <v>#VALUE!</v>
      </c>
      <c r="DE9" t="s">
        <v>195</v>
      </c>
      <c r="DF9">
        <v>0.78092225092649459</v>
      </c>
      <c r="DG9" t="e">
        <v>#VALUE!</v>
      </c>
      <c r="DH9" t="s">
        <v>195</v>
      </c>
      <c r="DI9">
        <v>0.70992931902408607</v>
      </c>
      <c r="DJ9" t="e">
        <v>#VALUE!</v>
      </c>
      <c r="DK9" t="s">
        <v>195</v>
      </c>
      <c r="DL9">
        <v>0.6211881541460752</v>
      </c>
      <c r="DM9">
        <v>-223000000</v>
      </c>
      <c r="DN9">
        <v>0.88741164878010748</v>
      </c>
      <c r="DO9">
        <v>994109670</v>
      </c>
      <c r="DP9">
        <v>-55315580</v>
      </c>
      <c r="DQ9" s="10">
        <v>1157</v>
      </c>
      <c r="DR9">
        <v>-1.5466473175699162</v>
      </c>
      <c r="DS9">
        <v>-14.251140895886044</v>
      </c>
      <c r="DT9">
        <v>-6.6666666666667452E-3</v>
      </c>
      <c r="DU9">
        <v>-2.1733333333333338</v>
      </c>
      <c r="DV9">
        <v>-2.1800000000000006</v>
      </c>
      <c r="DW9">
        <v>-3.1483809523809523</v>
      </c>
      <c r="DX9">
        <v>0.40586490066225123</v>
      </c>
      <c r="DY9">
        <v>-3.0260950014506465</v>
      </c>
      <c r="DZ9">
        <v>4520</v>
      </c>
      <c r="EA9">
        <v>-3.0030129258034992</v>
      </c>
      <c r="EB9" s="11">
        <v>3</v>
      </c>
      <c r="EC9" s="11">
        <v>0.10956591341373349</v>
      </c>
      <c r="ED9">
        <v>0.62301182897293816</v>
      </c>
      <c r="EE9">
        <v>-6.0720999999999998</v>
      </c>
      <c r="EF9">
        <v>-6.0464000000000002</v>
      </c>
      <c r="EG9">
        <v>23.175864900662251</v>
      </c>
      <c r="EH9" s="14" t="s">
        <v>413</v>
      </c>
      <c r="EI9">
        <v>0</v>
      </c>
      <c r="EJ9">
        <v>0</v>
      </c>
      <c r="EK9">
        <v>45470</v>
      </c>
      <c r="EL9">
        <v>-3.15</v>
      </c>
      <c r="EM9">
        <v>-4.67</v>
      </c>
      <c r="EN9" s="15">
        <v>1.07</v>
      </c>
      <c r="EO9" s="15">
        <v>6.75</v>
      </c>
      <c r="EP9" s="15">
        <v>-2.57</v>
      </c>
    </row>
    <row r="10" spans="1:146" ht="165.5" customHeight="1">
      <c r="A10" s="6" t="s">
        <v>164</v>
      </c>
      <c r="B10" s="6"/>
      <c r="C10" s="6" t="str">
        <f>"公司是一家主营地质工程技术服务的公司。公司的主营业务为稀有轻金属原料锂盐、铯盐及铷盐产品的研发、生产和销售。"&amp;CHAR(10)&amp;Basic_Fundamental_Information_Constructure(F10)&amp;CHAR(10)&amp;Basic_Fundamental_Information_Concatenate("锂电新能源原料开发与利用业务 27.17亿 79.64% 80.01% 50.79%
稀有轻金属(铯、铷)资源开发与利用业务 3.62亿 10.62% 13.36% 63.60%
贸易业务 2.62亿 7.69% 5.50% 36.15%")</f>
        <v>公司是一家主营地质工程技术服务的公司。公司的主营业务为稀有轻金属原料锂盐、铯盐及铷盐产品的研发、生产和销售。
市值192.37836亿, 利润22.08亿; PE14.06; 平均PE17.79; 平均PEG.26, PB1.55; ROIC25.0333%; ROE30.5667%; 股利率3.7936%; 毛利52.0967%; 净利33.6067%; 上一年度营收增-25.22%, 利润增-32.99%; 当季营收增-45.61%, 利润增-76.63%; 过往5年营收增68.14%, 利润增145.34%
Income profile:
锂电新能源原料开发与利用业务 27.17亿 79.64% 80.01% 50.79%
稀有轻金属(铯、铷)资源开发与利用业务 3.62亿 10.62% 13.36% 63.60%
贸易业务 2.62亿 7.69% 5.50% 36.15%</v>
      </c>
      <c r="D10" t="s">
        <v>108</v>
      </c>
      <c r="E10" t="s">
        <v>109</v>
      </c>
      <c r="F10">
        <v>26.36</v>
      </c>
      <c r="G10">
        <v>0.53</v>
      </c>
      <c r="H10" t="s">
        <v>624</v>
      </c>
      <c r="I10">
        <v>19237836000</v>
      </c>
      <c r="J10">
        <v>14.06</v>
      </c>
      <c r="K10">
        <v>1.55</v>
      </c>
      <c r="L10" t="s">
        <v>217</v>
      </c>
      <c r="M10" t="s">
        <v>625</v>
      </c>
      <c r="N10" t="s">
        <v>626</v>
      </c>
      <c r="O10" t="s">
        <v>627</v>
      </c>
      <c r="P10">
        <v>-45.63</v>
      </c>
      <c r="Q10" t="s">
        <v>628</v>
      </c>
      <c r="R10">
        <v>256150430</v>
      </c>
      <c r="S10" s="5">
        <v>-0.76629999999999998</v>
      </c>
      <c r="T10" t="s">
        <v>397</v>
      </c>
      <c r="U10">
        <v>720233340</v>
      </c>
      <c r="V10">
        <v>729811690</v>
      </c>
      <c r="W10">
        <v>1.25</v>
      </c>
      <c r="X10">
        <v>7.0000000000000007E-2</v>
      </c>
      <c r="Y10">
        <v>22.32</v>
      </c>
      <c r="Z10" t="s">
        <v>629</v>
      </c>
      <c r="AA10" t="s">
        <v>630</v>
      </c>
      <c r="AB10" t="s">
        <v>631</v>
      </c>
      <c r="AC10" t="s">
        <v>632</v>
      </c>
      <c r="AD10" t="s">
        <v>5</v>
      </c>
      <c r="AE10">
        <v>136054150</v>
      </c>
      <c r="AF10" t="s">
        <v>633</v>
      </c>
      <c r="AG10" t="s">
        <v>634</v>
      </c>
      <c r="AH10" t="s">
        <v>635</v>
      </c>
      <c r="AI10" t="s">
        <v>636</v>
      </c>
      <c r="AJ10" t="s">
        <v>637</v>
      </c>
      <c r="AK10" t="s">
        <v>638</v>
      </c>
      <c r="AL10" t="s">
        <v>639</v>
      </c>
      <c r="AM10" t="s">
        <v>5</v>
      </c>
      <c r="AN10" t="s">
        <v>353</v>
      </c>
      <c r="AO10" t="s">
        <v>640</v>
      </c>
      <c r="AP10" t="s">
        <v>641</v>
      </c>
      <c r="AQ10" t="s">
        <v>72</v>
      </c>
      <c r="AR10" t="s">
        <v>5</v>
      </c>
      <c r="AS10" t="s">
        <v>642</v>
      </c>
      <c r="AT10" t="s">
        <v>643</v>
      </c>
      <c r="AU10" t="s">
        <v>644</v>
      </c>
      <c r="AV10" t="s">
        <v>645</v>
      </c>
      <c r="AW10" t="s">
        <v>646</v>
      </c>
      <c r="AX10" t="s">
        <v>383</v>
      </c>
      <c r="AY10" t="s">
        <v>385</v>
      </c>
      <c r="AZ10" t="s">
        <v>110</v>
      </c>
      <c r="BA10" t="s">
        <v>112</v>
      </c>
      <c r="BB10" t="s">
        <v>113</v>
      </c>
      <c r="BC10" t="s">
        <v>384</v>
      </c>
      <c r="BD10" t="s">
        <v>386</v>
      </c>
      <c r="BE10" t="s">
        <v>111</v>
      </c>
      <c r="BF10" t="s">
        <v>114</v>
      </c>
      <c r="BG10" t="s">
        <v>73</v>
      </c>
      <c r="BH10" t="s">
        <v>628</v>
      </c>
      <c r="BI10" t="s">
        <v>647</v>
      </c>
      <c r="BJ10" t="s">
        <v>383</v>
      </c>
      <c r="BK10" t="s">
        <v>397</v>
      </c>
      <c r="BL10" t="s">
        <v>648</v>
      </c>
      <c r="BM10" t="s">
        <v>384</v>
      </c>
      <c r="BN10">
        <v>18.690000000000001</v>
      </c>
      <c r="BO10">
        <v>44.62</v>
      </c>
      <c r="BP10">
        <v>11.79</v>
      </c>
      <c r="BQ10">
        <v>19.350000000000001</v>
      </c>
      <c r="BR10">
        <v>56.9</v>
      </c>
      <c r="BS10">
        <v>15.45</v>
      </c>
      <c r="BT10" t="s">
        <v>369</v>
      </c>
      <c r="BU10" t="s">
        <v>442</v>
      </c>
      <c r="BV10">
        <v>54.81</v>
      </c>
      <c r="BW10">
        <v>52.96</v>
      </c>
      <c r="BX10">
        <v>48.52</v>
      </c>
      <c r="BY10">
        <v>36.619999999999997</v>
      </c>
      <c r="BZ10">
        <v>40.97</v>
      </c>
      <c r="CA10">
        <v>23.23</v>
      </c>
      <c r="CB10">
        <v>-1.64</v>
      </c>
      <c r="CC10">
        <v>-16.16</v>
      </c>
      <c r="CD10" t="s">
        <v>649</v>
      </c>
      <c r="CE10" t="s">
        <v>650</v>
      </c>
      <c r="CF10" s="8">
        <v>-0.45608108108108109</v>
      </c>
      <c r="CG10" s="9">
        <v>-0.76628610401459851</v>
      </c>
      <c r="CH10" s="8">
        <v>-0.25220739841461182</v>
      </c>
      <c r="CI10" s="8">
        <v>2.3254756927490234</v>
      </c>
      <c r="CJ10" s="8">
        <v>0.89498424530029297</v>
      </c>
      <c r="CK10" s="8">
        <v>9.5279030501842499E-2</v>
      </c>
      <c r="CL10" s="8">
        <v>0.34371387958526611</v>
      </c>
      <c r="CM10" s="9">
        <v>-0.3298937976360321</v>
      </c>
      <c r="CN10" s="9">
        <v>4.8629899024963379</v>
      </c>
      <c r="CO10" s="9">
        <v>2.2298851013183594</v>
      </c>
      <c r="CP10" s="9">
        <v>0.24285714328289032</v>
      </c>
      <c r="CQ10" s="9">
        <v>0.26126125454902649</v>
      </c>
      <c r="CR10">
        <v>17.785364560862863</v>
      </c>
      <c r="CS10">
        <v>0.26099329830075729</v>
      </c>
      <c r="CT10">
        <v>3.7936267071320184</v>
      </c>
      <c r="CU10" s="8">
        <v>0.6814490899443626</v>
      </c>
      <c r="CV10" s="9">
        <v>1.4534199208021163</v>
      </c>
      <c r="CW10">
        <v>0.06</v>
      </c>
      <c r="CX10">
        <v>2.9846867409550217</v>
      </c>
      <c r="CY10">
        <v>3502490179.8086343</v>
      </c>
      <c r="CZ10">
        <v>0.6814490899443626</v>
      </c>
      <c r="DA10">
        <v>0.61302987663221042</v>
      </c>
      <c r="DB10">
        <v>17052734945.69306</v>
      </c>
      <c r="DC10">
        <v>0.64737663544714441</v>
      </c>
      <c r="DD10">
        <v>0.14771887898576536</v>
      </c>
      <c r="DE10">
        <v>70768449312.476593</v>
      </c>
      <c r="DF10">
        <v>0.59967519915103906</v>
      </c>
      <c r="DG10">
        <v>3.5128286014701915E-2</v>
      </c>
      <c r="DH10">
        <v>297590266590.99884</v>
      </c>
      <c r="DI10">
        <v>0.54515927195549008</v>
      </c>
      <c r="DJ10">
        <v>1.7580719871084114E-3</v>
      </c>
      <c r="DK10">
        <v>5946193373568.249</v>
      </c>
      <c r="DL10">
        <v>0.47701436296105376</v>
      </c>
      <c r="DM10">
        <v>2208000000</v>
      </c>
      <c r="DN10">
        <v>0.6814490899443626</v>
      </c>
      <c r="DO10">
        <v>10453836000</v>
      </c>
      <c r="DP10">
        <v>5763800500</v>
      </c>
      <c r="DQ10">
        <v>1221</v>
      </c>
      <c r="DR10">
        <v>-1.1375301710254437</v>
      </c>
      <c r="DS10">
        <v>-2.2197060248167149</v>
      </c>
      <c r="DT10" s="10">
        <v>9.3333333333333268E-2</v>
      </c>
      <c r="DU10">
        <v>0.32499999999999996</v>
      </c>
      <c r="DV10">
        <v>0.41833333333333322</v>
      </c>
      <c r="DW10">
        <v>-3.0018095238095239</v>
      </c>
      <c r="DX10">
        <v>0.31133100303951455</v>
      </c>
      <c r="DY10">
        <v>-3.0002557418150237</v>
      </c>
      <c r="DZ10">
        <v>837</v>
      </c>
      <c r="EA10">
        <v>-3.0002138522065747</v>
      </c>
      <c r="EB10">
        <v>3</v>
      </c>
      <c r="EC10">
        <v>6.3712188550994572E-2</v>
      </c>
      <c r="ED10">
        <v>0.45080121969545323</v>
      </c>
      <c r="EE10" s="11">
        <v>1.0646100000000001</v>
      </c>
      <c r="EF10">
        <v>1.1021099999999999</v>
      </c>
      <c r="EG10">
        <v>17.141331003039515</v>
      </c>
      <c r="EH10" t="s">
        <v>336</v>
      </c>
      <c r="EI10">
        <v>0</v>
      </c>
      <c r="EJ10">
        <v>1</v>
      </c>
      <c r="EK10" s="14">
        <v>45470</v>
      </c>
      <c r="EL10" s="15">
        <v>-1.24</v>
      </c>
      <c r="EM10" s="15">
        <v>-3.55</v>
      </c>
      <c r="EN10" s="15">
        <v>-0.11</v>
      </c>
      <c r="EO10" s="15">
        <v>8.32</v>
      </c>
      <c r="EP10" s="15">
        <v>-3.75</v>
      </c>
    </row>
    <row r="11" spans="1:146" ht="144">
      <c r="A11" s="6" t="s">
        <v>333</v>
      </c>
      <c r="B11" s="6" t="s">
        <v>334</v>
      </c>
      <c r="C11" s="6" t="str">
        <f>"公司的主营业务为特钢新材料业务及锂电新能源业务。公司的主要产品为不锈钢棒线材及特殊合金材料、电池级碳酸锂。"&amp;CHAR(10)&amp;Basic_Fundamental_Information_Constructure(F11)&amp;CHAR(10)&amp;Basic_Fundamental_Information_Concatenate("锂盐产品 29.69亿 46.29% 90.41% 87.55%
油气开采及炼化 17.60亿 27.43% 5.32% 8.69%
机械装备制造 9.58亿 14.94% 1.77% 5.31%")</f>
        <v>公司的主营业务为特钢新材料业务及锂电新能源业务。公司的主要产品为不锈钢棒线材及特殊合金材料、电池级碳酸锂。
市值180.86857亿, 利润34.07亿; PE6.14; 平均PE9.35; 平均PEG.33, PB1.37; ROIC38.0067%; ROE39.3833%; 股利率5.9613%; 毛利35.5567%; 净利27.74%; 上一年度营收增-21.76%, 利润增-46.09%; 当季营收增-31.08%, 利润增-49.7%; 过往5年营收增28.62%, 利润增154.82%
Income profile:
锂盐产品 29.69亿 46.29% 90.41% 87.55%
油气开采及炼化 17.60亿 27.43% 5.32% 8.69%
机械装备制造 9.58亿 14.94% 1.77% 5.31%</v>
      </c>
      <c r="D11" t="s">
        <v>228</v>
      </c>
      <c r="E11" t="s">
        <v>229</v>
      </c>
      <c r="F11">
        <v>33.549999999999997</v>
      </c>
      <c r="G11">
        <v>0.12</v>
      </c>
      <c r="H11" t="s">
        <v>651</v>
      </c>
      <c r="I11">
        <v>18086857000</v>
      </c>
      <c r="J11">
        <v>6.14</v>
      </c>
      <c r="K11">
        <v>1.37</v>
      </c>
      <c r="L11" t="s">
        <v>217</v>
      </c>
      <c r="M11" t="s">
        <v>652</v>
      </c>
      <c r="N11" t="s">
        <v>653</v>
      </c>
      <c r="O11" t="s">
        <v>654</v>
      </c>
      <c r="P11">
        <v>-31.07</v>
      </c>
      <c r="Q11" t="s">
        <v>655</v>
      </c>
      <c r="R11">
        <v>468256880</v>
      </c>
      <c r="S11" s="5">
        <v>-0.497</v>
      </c>
      <c r="T11" t="s">
        <v>656</v>
      </c>
      <c r="U11">
        <v>388694080</v>
      </c>
      <c r="V11">
        <v>539101540</v>
      </c>
      <c r="W11">
        <v>1.18</v>
      </c>
      <c r="X11">
        <v>0.15</v>
      </c>
      <c r="Y11">
        <v>20.81</v>
      </c>
      <c r="Z11" t="s">
        <v>657</v>
      </c>
      <c r="AA11" t="s">
        <v>658</v>
      </c>
      <c r="AB11" t="s">
        <v>659</v>
      </c>
      <c r="AC11" t="s">
        <v>660</v>
      </c>
      <c r="AD11" t="s">
        <v>5</v>
      </c>
      <c r="AE11">
        <v>-59166485</v>
      </c>
      <c r="AF11" t="s">
        <v>661</v>
      </c>
      <c r="AG11" t="s">
        <v>662</v>
      </c>
      <c r="AH11" t="s">
        <v>663</v>
      </c>
      <c r="AI11" t="s">
        <v>664</v>
      </c>
      <c r="AJ11" t="s">
        <v>665</v>
      </c>
      <c r="AK11" t="s">
        <v>5</v>
      </c>
      <c r="AL11" t="s">
        <v>666</v>
      </c>
      <c r="AM11" t="s">
        <v>5</v>
      </c>
      <c r="AN11" t="s">
        <v>173</v>
      </c>
      <c r="AO11" t="s">
        <v>667</v>
      </c>
      <c r="AP11" t="s">
        <v>340</v>
      </c>
      <c r="AQ11" t="s">
        <v>668</v>
      </c>
      <c r="AR11" t="s">
        <v>5</v>
      </c>
      <c r="AS11" t="s">
        <v>328</v>
      </c>
      <c r="AT11" t="s">
        <v>5</v>
      </c>
      <c r="AU11" t="s">
        <v>669</v>
      </c>
      <c r="AV11" t="s">
        <v>670</v>
      </c>
      <c r="AW11" t="s">
        <v>671</v>
      </c>
      <c r="AX11" t="s">
        <v>387</v>
      </c>
      <c r="AY11" t="s">
        <v>230</v>
      </c>
      <c r="AZ11" t="s">
        <v>232</v>
      </c>
      <c r="BA11" t="s">
        <v>233</v>
      </c>
      <c r="BB11" t="s">
        <v>234</v>
      </c>
      <c r="BC11" t="s">
        <v>388</v>
      </c>
      <c r="BD11" t="s">
        <v>231</v>
      </c>
      <c r="BE11" t="s">
        <v>235</v>
      </c>
      <c r="BF11" t="s">
        <v>236</v>
      </c>
      <c r="BG11" t="s">
        <v>183</v>
      </c>
      <c r="BH11" t="s">
        <v>655</v>
      </c>
      <c r="BI11" t="s">
        <v>672</v>
      </c>
      <c r="BJ11" t="s">
        <v>387</v>
      </c>
      <c r="BK11" t="s">
        <v>656</v>
      </c>
      <c r="BL11" t="s">
        <v>673</v>
      </c>
      <c r="BM11" t="s">
        <v>388</v>
      </c>
      <c r="BN11">
        <v>23.27</v>
      </c>
      <c r="BO11">
        <v>72.209999999999994</v>
      </c>
      <c r="BP11">
        <v>18.54</v>
      </c>
      <c r="BQ11">
        <v>24.09</v>
      </c>
      <c r="BR11">
        <v>74.72</v>
      </c>
      <c r="BS11">
        <v>19.34</v>
      </c>
      <c r="BT11" t="s">
        <v>674</v>
      </c>
      <c r="BU11" t="s">
        <v>442</v>
      </c>
      <c r="BV11">
        <v>37</v>
      </c>
      <c r="BW11">
        <v>52.34</v>
      </c>
      <c r="BX11">
        <v>17.329999999999998</v>
      </c>
      <c r="BY11">
        <v>29</v>
      </c>
      <c r="BZ11">
        <v>41.72</v>
      </c>
      <c r="CA11">
        <v>12.5</v>
      </c>
      <c r="CB11">
        <v>-6.23</v>
      </c>
      <c r="CC11">
        <v>-22.3</v>
      </c>
      <c r="CD11" t="s">
        <v>675</v>
      </c>
      <c r="CE11" t="s">
        <v>218</v>
      </c>
      <c r="CF11" s="8">
        <v>-0.31075816601738077</v>
      </c>
      <c r="CG11" s="9">
        <v>-0.49703879699248121</v>
      </c>
      <c r="CH11" s="8">
        <v>-0.21760062873363495</v>
      </c>
      <c r="CI11" s="8">
        <v>1.1640504598617554</v>
      </c>
      <c r="CJ11" s="8">
        <v>0.44761708378791809</v>
      </c>
      <c r="CK11" s="8">
        <v>1.3037278316915035E-2</v>
      </c>
      <c r="CL11" s="8">
        <v>2.3988386616110802E-2</v>
      </c>
      <c r="CM11" s="9">
        <v>-0.46091771125793457</v>
      </c>
      <c r="CN11" s="9">
        <v>6.1251406669616699</v>
      </c>
      <c r="CO11" s="9">
        <v>2.4379844665527344</v>
      </c>
      <c r="CP11" s="9">
        <v>-0.25</v>
      </c>
      <c r="CQ11" s="9">
        <v>-0.1111111119389534</v>
      </c>
      <c r="CR11">
        <v>9.3528520210290438</v>
      </c>
      <c r="CS11">
        <v>0.32677312959080113</v>
      </c>
      <c r="CT11">
        <v>5.9612518628912072</v>
      </c>
      <c r="CU11" s="8">
        <v>0.28621851596981285</v>
      </c>
      <c r="CV11" s="9">
        <v>1.5482192620635034</v>
      </c>
      <c r="CW11">
        <v>0.06</v>
      </c>
      <c r="CX11">
        <v>1.6356295816031405</v>
      </c>
      <c r="CY11">
        <v>4134100456.5180683</v>
      </c>
      <c r="CZ11">
        <v>0.28621851596981285</v>
      </c>
      <c r="DA11">
        <v>0.45444165904841965</v>
      </c>
      <c r="DB11">
        <v>14879483131.363934</v>
      </c>
      <c r="DC11">
        <v>0.27190759017132221</v>
      </c>
      <c r="DD11">
        <v>0.17752914461154495</v>
      </c>
      <c r="DE11">
        <v>38088715037.723824</v>
      </c>
      <c r="DF11">
        <v>0.25187229405343531</v>
      </c>
      <c r="DG11">
        <v>8.0518195265342041E-2</v>
      </c>
      <c r="DH11">
        <v>83979241930.557144</v>
      </c>
      <c r="DI11">
        <v>0.2289748127758503</v>
      </c>
      <c r="DJ11">
        <v>2.1050042524622094E-2</v>
      </c>
      <c r="DK11">
        <v>321227712109.87823</v>
      </c>
      <c r="DL11">
        <v>0.20035296117886897</v>
      </c>
      <c r="DM11">
        <v>3407000000</v>
      </c>
      <c r="DN11">
        <v>0.28621851596981285</v>
      </c>
      <c r="DO11">
        <v>6761857000</v>
      </c>
      <c r="DP11">
        <v>9999450600</v>
      </c>
      <c r="DQ11">
        <v>1235</v>
      </c>
      <c r="DR11">
        <v>-0.59697668198719356</v>
      </c>
      <c r="DS11">
        <v>-2.0452580590559846</v>
      </c>
      <c r="DT11" s="10">
        <v>-0.17333333333333334</v>
      </c>
      <c r="DU11">
        <v>0.21166666666666664</v>
      </c>
      <c r="DV11">
        <v>3.8333333333333303E-2</v>
      </c>
      <c r="DW11">
        <v>-9.2793721973094172</v>
      </c>
      <c r="DX11">
        <v>0.36613392857142785</v>
      </c>
      <c r="DY11">
        <v>-9.0492069226457392</v>
      </c>
      <c r="DZ11">
        <v>1624</v>
      </c>
      <c r="EA11">
        <v>-9.0335685581884633</v>
      </c>
      <c r="EB11">
        <v>9</v>
      </c>
      <c r="EC11">
        <v>5.4888546599217651E-2</v>
      </c>
      <c r="ED11">
        <v>0.31162960506475273</v>
      </c>
      <c r="EE11" s="11">
        <v>-2.0347</v>
      </c>
      <c r="EF11">
        <v>-2.0063</v>
      </c>
      <c r="EG11">
        <v>19.176133928571428</v>
      </c>
      <c r="EH11" t="s">
        <v>344</v>
      </c>
      <c r="EI11">
        <v>0</v>
      </c>
      <c r="EJ11">
        <v>0</v>
      </c>
      <c r="EK11" s="14">
        <v>45470</v>
      </c>
      <c r="EL11" s="15">
        <v>-1.94</v>
      </c>
      <c r="EM11" s="15">
        <v>-5.39</v>
      </c>
      <c r="EN11" s="15">
        <v>-1.6</v>
      </c>
      <c r="EO11" s="15">
        <v>5.0199999999999996</v>
      </c>
      <c r="EP11" s="15">
        <v>-2.84</v>
      </c>
    </row>
    <row r="12" spans="1:146" ht="120">
      <c r="A12" s="6" t="s">
        <v>335</v>
      </c>
      <c r="B12" s="6"/>
      <c r="C12" s="6" t="str">
        <f>"公司的主营业务为防静电超净技术产品、医疗器械和锂电材料业务等。"&amp;CHAR(10)&amp;Basic_Fundamental_Information_Constructure(F12)&amp;CHAR(10)&amp;Basic_Fundamental_Information_Concatenate("锂电材料产品 72.12亿 92.76% 96.99% 78.80%
其他业务 5.63亿 7.24% 3.01% 31.34%")</f>
        <v>公司的主营业务为防静电超净技术产品、医疗器械和锂电材料业务等。
市值141.79746亿, 利润16.59亿; PE11.08; 平均PE8.9; 平均PEG.08, PB1.14; ROIC41.96%; ROE57.5267%; 股利率5.9418%; 毛利47.8167%; 净利36.2533%; 上一年度营收增-38.53%, 利润增-74.81%; 当季营收增-50.42%, 利润增-43.02%; 过往5年营收增118.42%, 利润增230.43%
Income profile:
锂电材料产品 72.12亿 92.76% 96.99% 78.80%
其他业务 5.63亿 7.24% 3.01% 31.34%</v>
      </c>
      <c r="D12" t="s">
        <v>237</v>
      </c>
      <c r="E12" t="s">
        <v>390</v>
      </c>
      <c r="F12">
        <v>16.829999999999998</v>
      </c>
      <c r="G12">
        <v>0.42</v>
      </c>
      <c r="H12" t="s">
        <v>676</v>
      </c>
      <c r="I12">
        <v>14179746000</v>
      </c>
      <c r="J12">
        <v>11.08</v>
      </c>
      <c r="K12">
        <v>1.1399999999999999</v>
      </c>
      <c r="L12" t="s">
        <v>217</v>
      </c>
      <c r="M12" t="s">
        <v>677</v>
      </c>
      <c r="N12" t="s">
        <v>678</v>
      </c>
      <c r="O12" t="s">
        <v>679</v>
      </c>
      <c r="P12">
        <v>-50.41</v>
      </c>
      <c r="Q12" t="s">
        <v>680</v>
      </c>
      <c r="R12">
        <v>502005130</v>
      </c>
      <c r="S12" s="7">
        <v>-0.4304</v>
      </c>
      <c r="T12" t="s">
        <v>396</v>
      </c>
      <c r="U12">
        <v>684404770</v>
      </c>
      <c r="V12">
        <v>842528010</v>
      </c>
      <c r="W12">
        <v>1.36</v>
      </c>
      <c r="X12">
        <v>0.09</v>
      </c>
      <c r="Y12">
        <v>36.130000000000003</v>
      </c>
      <c r="Z12" t="s">
        <v>681</v>
      </c>
      <c r="AA12" t="s">
        <v>682</v>
      </c>
      <c r="AB12" t="s">
        <v>683</v>
      </c>
      <c r="AC12" t="s">
        <v>21</v>
      </c>
      <c r="AD12" t="s">
        <v>5</v>
      </c>
      <c r="AE12">
        <v>-23469979</v>
      </c>
      <c r="AF12" t="s">
        <v>684</v>
      </c>
      <c r="AG12" t="s">
        <v>685</v>
      </c>
      <c r="AH12" t="s">
        <v>686</v>
      </c>
      <c r="AI12" t="s">
        <v>687</v>
      </c>
      <c r="AJ12" t="s">
        <v>688</v>
      </c>
      <c r="AK12" t="s">
        <v>183</v>
      </c>
      <c r="AL12" t="s">
        <v>689</v>
      </c>
      <c r="AM12" t="s">
        <v>5</v>
      </c>
      <c r="AN12" t="s">
        <v>690</v>
      </c>
      <c r="AO12" t="s">
        <v>691</v>
      </c>
      <c r="AP12" t="s">
        <v>692</v>
      </c>
      <c r="AQ12" t="s">
        <v>693</v>
      </c>
      <c r="AR12" t="s">
        <v>5</v>
      </c>
      <c r="AS12" t="s">
        <v>694</v>
      </c>
      <c r="AT12" t="s">
        <v>695</v>
      </c>
      <c r="AU12" t="s">
        <v>696</v>
      </c>
      <c r="AV12" t="s">
        <v>697</v>
      </c>
      <c r="AW12" t="s">
        <v>698</v>
      </c>
      <c r="AX12" t="s">
        <v>391</v>
      </c>
      <c r="AY12" t="s">
        <v>238</v>
      </c>
      <c r="AZ12" t="s">
        <v>193</v>
      </c>
      <c r="BA12" t="s">
        <v>240</v>
      </c>
      <c r="BB12" t="s">
        <v>241</v>
      </c>
      <c r="BC12" t="s">
        <v>392</v>
      </c>
      <c r="BD12" t="s">
        <v>239</v>
      </c>
      <c r="BE12" t="s">
        <v>74</v>
      </c>
      <c r="BF12" t="s">
        <v>242</v>
      </c>
      <c r="BG12" t="s">
        <v>243</v>
      </c>
      <c r="BH12" t="s">
        <v>680</v>
      </c>
      <c r="BI12" t="s">
        <v>699</v>
      </c>
      <c r="BJ12" t="s">
        <v>391</v>
      </c>
      <c r="BK12" t="s">
        <v>396</v>
      </c>
      <c r="BL12" t="s">
        <v>700</v>
      </c>
      <c r="BM12" t="s">
        <v>392</v>
      </c>
      <c r="BN12">
        <v>12.68</v>
      </c>
      <c r="BO12">
        <v>77.61</v>
      </c>
      <c r="BP12">
        <v>35.590000000000003</v>
      </c>
      <c r="BQ12">
        <v>15.09</v>
      </c>
      <c r="BR12">
        <v>115.12</v>
      </c>
      <c r="BS12">
        <v>42.37</v>
      </c>
      <c r="BT12" t="s">
        <v>369</v>
      </c>
      <c r="BU12" t="s">
        <v>442</v>
      </c>
      <c r="BV12">
        <v>27.91</v>
      </c>
      <c r="BW12">
        <v>64.44</v>
      </c>
      <c r="BX12">
        <v>51.1</v>
      </c>
      <c r="BY12">
        <v>20.22</v>
      </c>
      <c r="BZ12">
        <v>51.72</v>
      </c>
      <c r="CA12">
        <v>36.82</v>
      </c>
      <c r="CB12">
        <v>-2.04</v>
      </c>
      <c r="CC12">
        <v>-14.39</v>
      </c>
      <c r="CD12" t="s">
        <v>701</v>
      </c>
      <c r="CE12" t="s">
        <v>702</v>
      </c>
      <c r="CF12" s="8">
        <v>-0.50423968343697012</v>
      </c>
      <c r="CG12" s="9">
        <v>-0.4301871396140749</v>
      </c>
      <c r="CH12" s="8">
        <v>-0.3853200376033783</v>
      </c>
      <c r="CI12" s="8">
        <v>4.0117716789245605</v>
      </c>
      <c r="CJ12" s="8">
        <v>1.5879665613174438</v>
      </c>
      <c r="CK12" s="8">
        <v>0.73218989372253418</v>
      </c>
      <c r="CL12" s="8">
        <v>-2.570694126188755E-2</v>
      </c>
      <c r="CM12" s="9">
        <v>-0.74810200929641724</v>
      </c>
      <c r="CN12" s="9">
        <v>6.2294178009033203</v>
      </c>
      <c r="CO12" s="9">
        <v>2.1853146553039551</v>
      </c>
      <c r="CP12" s="9">
        <v>3.6248235702514648</v>
      </c>
      <c r="CQ12" s="9">
        <v>0.22999230027198792</v>
      </c>
      <c r="CR12">
        <v>8.9049019505946809</v>
      </c>
      <c r="CS12">
        <v>7.5198873594820012E-2</v>
      </c>
      <c r="CT12">
        <v>5.9417706476530014</v>
      </c>
      <c r="CU12" s="8">
        <v>1.1841802310198546</v>
      </c>
      <c r="CV12" s="9">
        <v>2.3042892634868624</v>
      </c>
      <c r="CW12">
        <v>0.06</v>
      </c>
      <c r="CX12">
        <v>0.98107266394460779</v>
      </c>
      <c r="CY12">
        <v>3418448116.2848477</v>
      </c>
      <c r="CZ12">
        <v>1.1841802310198546</v>
      </c>
      <c r="DA12">
        <v>0.14357697274378139</v>
      </c>
      <c r="DB12">
        <v>23358522859.963692</v>
      </c>
      <c r="DC12">
        <v>1.1249712194688619</v>
      </c>
      <c r="DD12">
        <v>1.9397137652658897E-2</v>
      </c>
      <c r="DE12">
        <v>172899015311.17303</v>
      </c>
      <c r="DF12">
        <v>1.042078603297472</v>
      </c>
      <c r="DG12">
        <v>2.1084220958987364E-3</v>
      </c>
      <c r="DH12">
        <v>1590642597857.2537</v>
      </c>
      <c r="DI12">
        <v>0.94734418481588367</v>
      </c>
      <c r="DJ12">
        <v>1.5544403081147689E-5</v>
      </c>
      <c r="DK12">
        <v>215752639872510.62</v>
      </c>
      <c r="DL12">
        <v>0.82892616171389821</v>
      </c>
      <c r="DM12">
        <v>1659000000</v>
      </c>
      <c r="DN12">
        <v>1.1841802310198546</v>
      </c>
      <c r="DO12">
        <v>3353746000.0000019</v>
      </c>
      <c r="DP12">
        <v>8603142500</v>
      </c>
      <c r="DQ12">
        <v>1863</v>
      </c>
      <c r="DR12">
        <v>-1.6884199144568246</v>
      </c>
      <c r="DS12">
        <v>-2.7344764031009374</v>
      </c>
      <c r="DT12" s="10">
        <v>0.22666666666666657</v>
      </c>
      <c r="DU12">
        <v>0.6363333333333332</v>
      </c>
      <c r="DV12">
        <v>0.86299999999999977</v>
      </c>
      <c r="DW12">
        <v>-2.1438999999999999</v>
      </c>
      <c r="DX12">
        <v>0.29856141078838239</v>
      </c>
      <c r="DY12">
        <v>-2.018499987012448</v>
      </c>
      <c r="DZ12">
        <v>300</v>
      </c>
      <c r="EA12">
        <v>-2.0174138820997798</v>
      </c>
      <c r="EB12">
        <v>2</v>
      </c>
      <c r="EC12">
        <v>3.6774207661060432E-2</v>
      </c>
      <c r="ED12">
        <v>0.28604390256414147</v>
      </c>
      <c r="EE12" s="11">
        <v>-4.0347099999999996</v>
      </c>
      <c r="EF12">
        <v>-4.06121</v>
      </c>
      <c r="EG12">
        <v>17.128561410788382</v>
      </c>
      <c r="EH12" t="s">
        <v>517</v>
      </c>
      <c r="EI12">
        <v>0</v>
      </c>
      <c r="EJ12">
        <v>1</v>
      </c>
      <c r="EK12" s="14">
        <v>45470</v>
      </c>
      <c r="EL12" s="15">
        <v>-1.49</v>
      </c>
      <c r="EM12" s="15">
        <v>-2.86</v>
      </c>
      <c r="EN12" s="15">
        <v>-1.21</v>
      </c>
      <c r="EO12" s="15">
        <v>5.79</v>
      </c>
      <c r="EP12" s="15">
        <v>-2.65</v>
      </c>
    </row>
    <row r="13" spans="1:146" ht="132">
      <c r="A13" s="6"/>
      <c r="B13" s="6"/>
      <c r="C13" s="6" t="str">
        <f>"公司主要从事金属钴粉及其他钴产品、铜产品的研发、生产和销售，是具有自主研发和创新能力的高新技术企业。公司主要产品为钴粉、氢氧化钴、电解铜。"&amp;CHAR(10)&amp;Basic_Fundamental_Information_Constructure(F13)&amp;CHAR(10)&amp;Basic_Fundamental_Information_Concatenate("钴产品 15.02亿 53.78% 65.73% 33.63%
铜产品 12.82亿 45.89% 33.95% 20.35%")</f>
        <v>公司主要从事金属钴粉及其他钴产品、铜产品的研发、生产和销售，是具有自主研发和创新能力的高新技术企业。公司主要产品为钴粉、氢氧化钴、电解铜。
市值81.180798亿, 利润1.38亿; PE53.7; 平均PE23.53; 平均PEG1.24, PB1.55; ROIC6.4067%; ROE7.3133%; 股利率.3846%; 毛利21.4467%; 净利7.55%; 上一年度营收增-5.86%, 利润增-34.91%; 当季营收增15.92%, 利润增72.83%; 过往5年营收增18.94%, 利润增442.59%
Income profile:
钴产品 15.02亿 53.78% 65.73% 33.63%
铜产品 12.82亿 45.89% 33.95% 20.35%</v>
      </c>
      <c r="D13" t="s">
        <v>115</v>
      </c>
      <c r="E13" t="s">
        <v>116</v>
      </c>
      <c r="F13">
        <v>26</v>
      </c>
      <c r="G13">
        <v>1.25</v>
      </c>
      <c r="H13" t="s">
        <v>703</v>
      </c>
      <c r="I13">
        <v>8118079800</v>
      </c>
      <c r="J13">
        <v>53.7</v>
      </c>
      <c r="K13">
        <v>1.55</v>
      </c>
      <c r="L13" t="s">
        <v>217</v>
      </c>
      <c r="M13" t="s">
        <v>704</v>
      </c>
      <c r="N13" t="s">
        <v>705</v>
      </c>
      <c r="O13" t="s">
        <v>706</v>
      </c>
      <c r="P13">
        <v>15.93</v>
      </c>
      <c r="Q13" t="s">
        <v>707</v>
      </c>
      <c r="R13">
        <v>30663376</v>
      </c>
      <c r="S13" s="5">
        <v>0.72829999999999995</v>
      </c>
      <c r="T13" t="s">
        <v>245</v>
      </c>
      <c r="U13">
        <v>272612910</v>
      </c>
      <c r="V13">
        <v>312233840</v>
      </c>
      <c r="W13">
        <v>1.54</v>
      </c>
      <c r="X13">
        <v>0.16</v>
      </c>
      <c r="Y13">
        <v>3.06</v>
      </c>
      <c r="Z13" t="s">
        <v>708</v>
      </c>
      <c r="AA13" t="s">
        <v>709</v>
      </c>
      <c r="AB13" t="s">
        <v>710</v>
      </c>
      <c r="AC13" t="s">
        <v>711</v>
      </c>
      <c r="AD13" t="s">
        <v>5</v>
      </c>
      <c r="AE13">
        <v>17051452</v>
      </c>
      <c r="AF13" t="s">
        <v>712</v>
      </c>
      <c r="AG13" t="s">
        <v>713</v>
      </c>
      <c r="AH13" t="s">
        <v>714</v>
      </c>
      <c r="AI13" t="s">
        <v>358</v>
      </c>
      <c r="AJ13" t="s">
        <v>715</v>
      </c>
      <c r="AK13" t="s">
        <v>5</v>
      </c>
      <c r="AL13" t="s">
        <v>716</v>
      </c>
      <c r="AM13" t="s">
        <v>5</v>
      </c>
      <c r="AN13" t="s">
        <v>374</v>
      </c>
      <c r="AO13" t="s">
        <v>717</v>
      </c>
      <c r="AP13" t="s">
        <v>169</v>
      </c>
      <c r="AQ13" t="s">
        <v>718</v>
      </c>
      <c r="AR13" t="s">
        <v>5</v>
      </c>
      <c r="AS13" t="s">
        <v>145</v>
      </c>
      <c r="AT13" t="s">
        <v>719</v>
      </c>
      <c r="AU13" t="s">
        <v>720</v>
      </c>
      <c r="AV13" t="s">
        <v>721</v>
      </c>
      <c r="AW13" t="s">
        <v>343</v>
      </c>
      <c r="AX13" t="s">
        <v>394</v>
      </c>
      <c r="AY13" t="s">
        <v>179</v>
      </c>
      <c r="AZ13" t="s">
        <v>107</v>
      </c>
      <c r="BA13" t="s">
        <v>118</v>
      </c>
      <c r="BB13" t="s">
        <v>119</v>
      </c>
      <c r="BC13" t="s">
        <v>395</v>
      </c>
      <c r="BD13" t="s">
        <v>172</v>
      </c>
      <c r="BE13" t="s">
        <v>117</v>
      </c>
      <c r="BF13" t="s">
        <v>120</v>
      </c>
      <c r="BG13" t="s">
        <v>66</v>
      </c>
      <c r="BH13" t="s">
        <v>707</v>
      </c>
      <c r="BI13" t="s">
        <v>722</v>
      </c>
      <c r="BJ13" t="s">
        <v>394</v>
      </c>
      <c r="BK13" t="s">
        <v>245</v>
      </c>
      <c r="BL13" t="s">
        <v>723</v>
      </c>
      <c r="BM13" t="s">
        <v>395</v>
      </c>
      <c r="BN13">
        <v>2.44</v>
      </c>
      <c r="BO13">
        <v>4.17</v>
      </c>
      <c r="BP13">
        <v>12.61</v>
      </c>
      <c r="BQ13">
        <v>2.5299999999999998</v>
      </c>
      <c r="BR13">
        <v>4.33</v>
      </c>
      <c r="BS13">
        <v>15.08</v>
      </c>
      <c r="BT13" t="s">
        <v>325</v>
      </c>
      <c r="BU13" t="s">
        <v>724</v>
      </c>
      <c r="BV13">
        <v>15.98</v>
      </c>
      <c r="BW13">
        <v>17.63</v>
      </c>
      <c r="BX13">
        <v>30.73</v>
      </c>
      <c r="BY13">
        <v>3.24</v>
      </c>
      <c r="BZ13">
        <v>4.17</v>
      </c>
      <c r="CA13">
        <v>15.24</v>
      </c>
      <c r="CB13">
        <v>-1.7</v>
      </c>
      <c r="CC13">
        <v>-11.59</v>
      </c>
      <c r="CD13" t="s">
        <v>725</v>
      </c>
      <c r="CE13" t="s">
        <v>403</v>
      </c>
      <c r="CF13" s="8">
        <v>0.15915119363395225</v>
      </c>
      <c r="CG13" s="9">
        <v>0.72832231409616888</v>
      </c>
      <c r="CH13" s="8">
        <v>-5.85806705057621E-2</v>
      </c>
      <c r="CI13" s="8">
        <v>0.16942526400089264</v>
      </c>
      <c r="CJ13" s="8">
        <v>0.92990231513977051</v>
      </c>
      <c r="CK13" s="8">
        <v>0.26700395345687866</v>
      </c>
      <c r="CL13" s="8">
        <v>-0.36053198575973511</v>
      </c>
      <c r="CM13" s="9">
        <v>-0.34905660152435303</v>
      </c>
      <c r="CN13" s="9">
        <v>-0.68024134635925293</v>
      </c>
      <c r="CO13" s="9">
        <v>0.97910445928573608</v>
      </c>
      <c r="CP13" s="9">
        <v>23.160337448120117</v>
      </c>
      <c r="CQ13" s="9">
        <v>-0.98041564226150513</v>
      </c>
      <c r="CR13">
        <v>23.532192837438679</v>
      </c>
      <c r="CS13">
        <v>1.2421729246234712</v>
      </c>
      <c r="CT13">
        <v>0.38461538461538464</v>
      </c>
      <c r="CU13" s="8">
        <v>0.18944377526640893</v>
      </c>
      <c r="CV13" s="9">
        <v>4.4259456634521488</v>
      </c>
      <c r="CW13">
        <v>0.06</v>
      </c>
      <c r="CX13">
        <v>34.129852404045863</v>
      </c>
      <c r="CY13">
        <v>154852114.13845697</v>
      </c>
      <c r="CZ13">
        <v>0.18944377526640893</v>
      </c>
      <c r="DA13">
        <v>10.26259406663085</v>
      </c>
      <c r="DB13">
        <v>514984785.10268712</v>
      </c>
      <c r="DC13">
        <v>0.17997158650308848</v>
      </c>
      <c r="DD13">
        <v>4.5020484808823005</v>
      </c>
      <c r="DE13">
        <v>1173927784.750164</v>
      </c>
      <c r="DF13">
        <v>0.16671052223443986</v>
      </c>
      <c r="DG13">
        <v>2.3608262436609597</v>
      </c>
      <c r="DH13">
        <v>2238656832.1963277</v>
      </c>
      <c r="DI13">
        <v>0.15155502021312717</v>
      </c>
      <c r="DJ13">
        <v>0.88871806660818131</v>
      </c>
      <c r="DK13">
        <v>5946857612.7530107</v>
      </c>
      <c r="DL13">
        <v>0.13261064268648623</v>
      </c>
      <c r="DM13">
        <v>138000000</v>
      </c>
      <c r="DN13">
        <v>0.18944377526640893</v>
      </c>
      <c r="DO13">
        <v>5285079800</v>
      </c>
      <c r="DP13">
        <v>2226589100</v>
      </c>
      <c r="DQ13">
        <v>2085</v>
      </c>
      <c r="DR13">
        <v>-3.0292581632456683E-2</v>
      </c>
      <c r="DS13">
        <v>-3.6976233493559798</v>
      </c>
      <c r="DT13" s="10">
        <v>-6.6666666666666714E-3</v>
      </c>
      <c r="DU13">
        <v>0.47</v>
      </c>
      <c r="DV13">
        <v>0.46333333333333332</v>
      </c>
      <c r="DW13">
        <v>-2.1158999999999999</v>
      </c>
      <c r="DX13">
        <v>0.32286036585365974</v>
      </c>
      <c r="DY13">
        <v>-2.013080516402439</v>
      </c>
      <c r="DZ13">
        <v>756</v>
      </c>
      <c r="EA13">
        <v>-2.0111453167155027</v>
      </c>
      <c r="EB13">
        <v>2</v>
      </c>
      <c r="EC13">
        <v>5.9279609154472175E-2</v>
      </c>
      <c r="ED13">
        <v>0.52524735947903656</v>
      </c>
      <c r="EE13" s="11">
        <v>1.0706</v>
      </c>
      <c r="EF13">
        <v>1.0468999999999999</v>
      </c>
      <c r="EG13">
        <v>21.11286036585366</v>
      </c>
      <c r="EH13" t="s">
        <v>338</v>
      </c>
      <c r="EI13">
        <v>0</v>
      </c>
      <c r="EJ13">
        <v>1</v>
      </c>
      <c r="EK13" s="14">
        <v>45470</v>
      </c>
      <c r="EL13" s="15">
        <v>-0.3</v>
      </c>
      <c r="EM13" s="15">
        <v>-3.38</v>
      </c>
      <c r="EN13" s="15">
        <v>0.35</v>
      </c>
      <c r="EO13" s="15">
        <v>4.53</v>
      </c>
      <c r="EP13" s="15">
        <v>-2.37</v>
      </c>
    </row>
    <row r="14" spans="1:146" ht="156">
      <c r="A14" s="6"/>
      <c r="B14" s="6"/>
      <c r="C14" s="6" t="str">
        <f>"公司主要从事钴、铜产品的研发、生产与销售，为国内领先的钴盐生产企业之一，核心产品为氯化钴、硫酸钴等钴盐以及四氧化三钴等钴氧化物。此外，由于铜钴伴生的特点，还生产电积铜。"&amp;CHAR(10)&amp;Basic_Fundamental_Information_Constructure(F14)&amp;CHAR(10)&amp;Basic_Fundamental_Information_Concatenate("钴产品 16.23亿 60.39% 68.65% 40.31%
铜产品 9.48亿 35.29% 27.69% 27.82%
其他业务 1.16亿 4.32% 3.66% 29.99%")</f>
        <v>公司主要从事钴、铜产品的研发、生产与销售，为国内领先的钴盐生产企业之一，核心产品为氯化钴、硫酸钴等钴盐以及四氧化三钴等钴氧化物。此外，由于铜钴伴生的特点，还生产电积铜。
市值112.110416亿, 利润8015.80万; PE21.81; 平均PE29.09; 平均PEG2.13, PB1.29; ROIC14.32%; ROE16.0967%; 股利率3.9432%; 毛利27.96%; 净利13.3967%; 上一年度营收增-86.88%, 利润增-70.75%; 当季营收增1112%, 利润增599.59%; 过往5年营收增13.63%, 利润增60.62%
Income profile:
钴产品 16.23亿 60.39% 68.65% 40.31%
铜产品 9.48亿 35.29% 27.69% 27.82%
其他业务 1.16亿 4.32% 3.66% 29.99%</v>
      </c>
      <c r="D14" t="s">
        <v>155</v>
      </c>
      <c r="E14" t="s">
        <v>156</v>
      </c>
      <c r="F14">
        <v>38.04</v>
      </c>
      <c r="G14">
        <v>0.56000000000000005</v>
      </c>
      <c r="H14" t="s">
        <v>726</v>
      </c>
      <c r="I14">
        <v>11211041600</v>
      </c>
      <c r="J14">
        <v>21.81</v>
      </c>
      <c r="K14">
        <v>1.29</v>
      </c>
      <c r="L14" t="s">
        <v>217</v>
      </c>
      <c r="M14" t="s">
        <v>727</v>
      </c>
      <c r="N14" t="s">
        <v>728</v>
      </c>
      <c r="O14" t="s">
        <v>729</v>
      </c>
      <c r="P14">
        <v>38.119999999999997</v>
      </c>
      <c r="Q14" t="s">
        <v>730</v>
      </c>
      <c r="R14">
        <v>144015470</v>
      </c>
      <c r="S14" s="5">
        <v>17.059999999999999</v>
      </c>
      <c r="T14" t="s">
        <v>731</v>
      </c>
      <c r="U14">
        <v>167881130</v>
      </c>
      <c r="V14">
        <v>294717180</v>
      </c>
      <c r="W14">
        <v>1.18</v>
      </c>
      <c r="X14">
        <v>0.15</v>
      </c>
      <c r="Y14">
        <v>9.5</v>
      </c>
      <c r="Z14" t="s">
        <v>732</v>
      </c>
      <c r="AA14" t="s">
        <v>733</v>
      </c>
      <c r="AB14" t="s">
        <v>734</v>
      </c>
      <c r="AC14" t="s">
        <v>735</v>
      </c>
      <c r="AD14" t="s">
        <v>5</v>
      </c>
      <c r="AE14">
        <v>-18406321</v>
      </c>
      <c r="AF14" t="s">
        <v>736</v>
      </c>
      <c r="AG14" t="s">
        <v>737</v>
      </c>
      <c r="AH14" t="s">
        <v>738</v>
      </c>
      <c r="AI14" t="s">
        <v>739</v>
      </c>
      <c r="AJ14" t="s">
        <v>740</v>
      </c>
      <c r="AK14" t="s">
        <v>741</v>
      </c>
      <c r="AL14" t="s">
        <v>742</v>
      </c>
      <c r="AM14" t="s">
        <v>5</v>
      </c>
      <c r="AN14" t="s">
        <v>743</v>
      </c>
      <c r="AO14" t="s">
        <v>244</v>
      </c>
      <c r="AP14" t="s">
        <v>22</v>
      </c>
      <c r="AQ14" t="s">
        <v>671</v>
      </c>
      <c r="AR14" t="s">
        <v>5</v>
      </c>
      <c r="AS14" t="s">
        <v>193</v>
      </c>
      <c r="AT14" t="s">
        <v>5</v>
      </c>
      <c r="AU14" t="s">
        <v>744</v>
      </c>
      <c r="AV14" t="s">
        <v>745</v>
      </c>
      <c r="AW14" t="s">
        <v>746</v>
      </c>
      <c r="AX14" t="s">
        <v>398</v>
      </c>
      <c r="AY14" t="s">
        <v>181</v>
      </c>
      <c r="AZ14" t="s">
        <v>157</v>
      </c>
      <c r="BA14" t="s">
        <v>158</v>
      </c>
      <c r="BB14" t="s">
        <v>159</v>
      </c>
      <c r="BC14" t="s">
        <v>326</v>
      </c>
      <c r="BD14" t="s">
        <v>182</v>
      </c>
      <c r="BE14" t="s">
        <v>121</v>
      </c>
      <c r="BF14" t="s">
        <v>154</v>
      </c>
      <c r="BG14" t="s">
        <v>160</v>
      </c>
      <c r="BH14" t="s">
        <v>747</v>
      </c>
      <c r="BI14" t="s">
        <v>227</v>
      </c>
      <c r="BJ14" t="s">
        <v>398</v>
      </c>
      <c r="BK14" t="s">
        <v>748</v>
      </c>
      <c r="BL14" t="s">
        <v>749</v>
      </c>
      <c r="BM14" t="s">
        <v>326</v>
      </c>
      <c r="BN14">
        <v>2.04</v>
      </c>
      <c r="BO14">
        <v>3.61</v>
      </c>
      <c r="BP14">
        <v>37.31</v>
      </c>
      <c r="BQ14">
        <v>2.82</v>
      </c>
      <c r="BR14">
        <v>3.83</v>
      </c>
      <c r="BS14">
        <v>41.64</v>
      </c>
      <c r="BT14" t="s">
        <v>750</v>
      </c>
      <c r="BU14" t="s">
        <v>724</v>
      </c>
      <c r="BV14">
        <v>18.82</v>
      </c>
      <c r="BW14">
        <v>23.44</v>
      </c>
      <c r="BX14">
        <v>41.62</v>
      </c>
      <c r="BY14">
        <v>6.82</v>
      </c>
      <c r="BZ14">
        <v>5.72</v>
      </c>
      <c r="CA14">
        <v>27.65</v>
      </c>
      <c r="CB14">
        <v>-0.57999999999999996</v>
      </c>
      <c r="CC14">
        <v>-9.2100000000000009</v>
      </c>
      <c r="CD14" t="s">
        <v>751</v>
      </c>
      <c r="CE14" t="s">
        <v>752</v>
      </c>
      <c r="CF14" s="8">
        <v>11.12</v>
      </c>
      <c r="CG14" s="9">
        <v>5.9959325936577024</v>
      </c>
      <c r="CH14" s="8">
        <v>-0.86877733469009399</v>
      </c>
      <c r="CI14" s="8">
        <v>0.15408653020858765</v>
      </c>
      <c r="CJ14" s="8">
        <v>1.3279237747192383</v>
      </c>
      <c r="CK14" s="8">
        <v>2.7602069079875946E-2</v>
      </c>
      <c r="CL14" s="8">
        <v>4.0694192051887512E-2</v>
      </c>
      <c r="CM14" s="9">
        <v>-0.70745253562927246</v>
      </c>
      <c r="CN14" s="9">
        <v>-0.76173913478851318</v>
      </c>
      <c r="CO14" s="9">
        <v>1.2417154312133789</v>
      </c>
      <c r="CP14" s="9">
        <v>3.6636364459991455</v>
      </c>
      <c r="CQ14" s="9">
        <v>-0.40540540218353271</v>
      </c>
      <c r="CR14">
        <v>29.092410466758757</v>
      </c>
      <c r="CS14">
        <v>2.1343479580691764</v>
      </c>
      <c r="CT14">
        <v>3.9432176656151419</v>
      </c>
      <c r="CU14" s="8">
        <v>0.13630584627389908</v>
      </c>
      <c r="CV14" s="9">
        <v>0.60615096092224119</v>
      </c>
      <c r="CW14">
        <v>0.06</v>
      </c>
      <c r="CX14">
        <v>44.898378587414314</v>
      </c>
      <c r="CY14">
        <v>85928305.684550196</v>
      </c>
      <c r="CZ14">
        <v>0.13630584627389908</v>
      </c>
      <c r="DA14">
        <v>14.111130608705064</v>
      </c>
      <c r="DB14">
        <v>273404145.06687361</v>
      </c>
      <c r="DC14">
        <v>0.12949055396020412</v>
      </c>
      <c r="DD14">
        <v>6.5876446658214638</v>
      </c>
      <c r="DE14">
        <v>585648102.73034227</v>
      </c>
      <c r="DF14">
        <v>0.11994914472103119</v>
      </c>
      <c r="DG14">
        <v>3.7215507432609609</v>
      </c>
      <c r="DH14">
        <v>1036675801.609369</v>
      </c>
      <c r="DI14">
        <v>0.10904467701911927</v>
      </c>
      <c r="DJ14">
        <v>1.6740149181222399</v>
      </c>
      <c r="DK14">
        <v>2304663810.48002</v>
      </c>
      <c r="DL14">
        <v>9.5414092391729349E-2</v>
      </c>
      <c r="DM14">
        <v>80158000</v>
      </c>
      <c r="DN14">
        <v>0.13630584627389908</v>
      </c>
      <c r="DO14">
        <v>3858041600</v>
      </c>
      <c r="DP14">
        <v>5349422500</v>
      </c>
      <c r="DQ14">
        <v>2642</v>
      </c>
      <c r="DR14">
        <v>10.9836941537261</v>
      </c>
      <c r="DS14">
        <v>5.3897816327354615</v>
      </c>
      <c r="DT14" s="10">
        <v>-0.35666666666666669</v>
      </c>
      <c r="DU14">
        <v>0.38666666666666666</v>
      </c>
      <c r="DV14">
        <v>2.9999999999999971E-2</v>
      </c>
      <c r="DW14">
        <v>-2.0920999999999998</v>
      </c>
      <c r="DX14">
        <v>0.30738384266666913</v>
      </c>
      <c r="DY14">
        <v>-2.0108110519096001</v>
      </c>
      <c r="DZ14">
        <v>2822</v>
      </c>
      <c r="EA14">
        <v>-2.0048406432033592</v>
      </c>
      <c r="EB14">
        <v>2</v>
      </c>
      <c r="EC14">
        <v>3.2675054776243447E-2</v>
      </c>
      <c r="ED14">
        <v>0.27836076607410537</v>
      </c>
      <c r="EE14" s="11">
        <v>4.0854999999999997</v>
      </c>
      <c r="EF14">
        <v>4.0879000000000003</v>
      </c>
      <c r="EG14">
        <v>19.117383842666669</v>
      </c>
      <c r="EH14" t="s">
        <v>416</v>
      </c>
      <c r="EI14">
        <v>0</v>
      </c>
      <c r="EJ14">
        <v>0</v>
      </c>
      <c r="EK14" s="14">
        <v>45470</v>
      </c>
      <c r="EL14" s="15">
        <v>0.98</v>
      </c>
      <c r="EM14" s="15">
        <v>-7.71</v>
      </c>
      <c r="EN14" s="15">
        <v>1.45</v>
      </c>
      <c r="EO14" s="15">
        <v>4.05</v>
      </c>
      <c r="EP14" s="15">
        <v>0.24</v>
      </c>
    </row>
    <row r="15" spans="1:146" ht="156">
      <c r="A15" s="6"/>
      <c r="B15" s="6"/>
      <c r="C15" s="6" t="str">
        <f>"公司的主营业务是有色金属矿采选和综合贸易，金属金融服务业务。公司主要产品为有色金属铁精粉铜精矿及IT设备。"&amp;CHAR(10)&amp;Basic_Fundamental_Information_Constructure(F15)&amp;CHAR(10)&amp;Basic_Fundamental_Information_Concatenate("其他业务收入 315.23亿 69.68% 11.59% 1.61%
锌产品 48.28亿 10.67% 6.04% 5.49%
镍产品 39.41亿 8.71% 37.50% 41.79%
钴产品 26.95亿 5.96% 27.05% 44.08%
铜产品 22.50亿 4.97% 17.83% 34.80%")</f>
        <v>公司的主营业务是有色金属矿采选和综合贸易，金属金融服务业务。公司主要产品为有色金属铁精粉铜精矿及IT设备。
市值126.155839亿, 利润725.24万; PE24.78; 平均PE40.28; 平均PEG1.9, PB.904; ROIC7.6633%; ROE3.3467%; 股利率.6361%; 毛利10.74%; 净利3.78%; 上一年度营收增-97.36%, 利润增447.14%; 当季营收增3745.81%, 利润增6648.09%; 过往5年营收增-21.15%, 利润增373.24%
Income profile:
其他业务收入 315.23亿 69.68% 11.59% 1.61%
锌产品 48.28亿 10.67% 6.04% 5.49%
镍产品 39.41亿 8.71% 37.50% 41.79%
钴产品 26.95亿 5.96% 27.05% 44.08%
铜产品 22.50亿 4.97% 17.83% 34.80%</v>
      </c>
      <c r="D15" t="s">
        <v>125</v>
      </c>
      <c r="E15" t="s">
        <v>126</v>
      </c>
      <c r="F15">
        <v>4.04</v>
      </c>
      <c r="G15">
        <v>2.02</v>
      </c>
      <c r="H15" t="s">
        <v>753</v>
      </c>
      <c r="I15">
        <v>12615583900</v>
      </c>
      <c r="J15">
        <v>24.78</v>
      </c>
      <c r="K15">
        <v>0.90400000000000003</v>
      </c>
      <c r="L15" t="s">
        <v>217</v>
      </c>
      <c r="M15" t="s">
        <v>754</v>
      </c>
      <c r="N15" t="s">
        <v>755</v>
      </c>
      <c r="O15" t="s">
        <v>756</v>
      </c>
      <c r="P15">
        <v>-3.67</v>
      </c>
      <c r="Q15" t="s">
        <v>757</v>
      </c>
      <c r="R15">
        <v>288554530</v>
      </c>
      <c r="S15" s="5">
        <v>5.5339999999999998</v>
      </c>
      <c r="T15" t="s">
        <v>758</v>
      </c>
      <c r="U15">
        <v>3122669300</v>
      </c>
      <c r="V15">
        <v>3122669300</v>
      </c>
      <c r="W15">
        <v>2.37</v>
      </c>
      <c r="X15">
        <v>0.16</v>
      </c>
      <c r="Y15">
        <v>5.81</v>
      </c>
      <c r="Z15" t="s">
        <v>759</v>
      </c>
      <c r="AA15" t="s">
        <v>760</v>
      </c>
      <c r="AB15" t="s">
        <v>761</v>
      </c>
      <c r="AC15" t="s">
        <v>160</v>
      </c>
      <c r="AD15" t="s">
        <v>5</v>
      </c>
      <c r="AE15">
        <v>120692488</v>
      </c>
      <c r="AF15" t="s">
        <v>762</v>
      </c>
      <c r="AG15" t="s">
        <v>763</v>
      </c>
      <c r="AH15" t="s">
        <v>764</v>
      </c>
      <c r="AI15" t="s">
        <v>765</v>
      </c>
      <c r="AJ15" t="s">
        <v>766</v>
      </c>
      <c r="AK15" t="s">
        <v>615</v>
      </c>
      <c r="AL15" t="s">
        <v>767</v>
      </c>
      <c r="AM15" t="s">
        <v>5</v>
      </c>
      <c r="AN15" t="s">
        <v>768</v>
      </c>
      <c r="AO15" t="s">
        <v>769</v>
      </c>
      <c r="AP15" t="s">
        <v>770</v>
      </c>
      <c r="AQ15" t="s">
        <v>771</v>
      </c>
      <c r="AR15" t="s">
        <v>5</v>
      </c>
      <c r="AS15" t="s">
        <v>772</v>
      </c>
      <c r="AT15" t="s">
        <v>773</v>
      </c>
      <c r="AU15" t="s">
        <v>722</v>
      </c>
      <c r="AV15" t="s">
        <v>774</v>
      </c>
      <c r="AW15" t="s">
        <v>775</v>
      </c>
      <c r="AX15" t="s">
        <v>776</v>
      </c>
      <c r="AY15" t="s">
        <v>401</v>
      </c>
      <c r="AZ15" t="s">
        <v>127</v>
      </c>
      <c r="BA15" t="s">
        <v>129</v>
      </c>
      <c r="BB15" t="s">
        <v>130</v>
      </c>
      <c r="BC15" t="s">
        <v>777</v>
      </c>
      <c r="BD15" t="s">
        <v>402</v>
      </c>
      <c r="BE15" t="s">
        <v>128</v>
      </c>
      <c r="BF15" t="s">
        <v>123</v>
      </c>
      <c r="BG15" t="s">
        <v>71</v>
      </c>
      <c r="BH15" t="s">
        <v>778</v>
      </c>
      <c r="BI15" t="s">
        <v>75</v>
      </c>
      <c r="BJ15" t="s">
        <v>776</v>
      </c>
      <c r="BK15" t="s">
        <v>779</v>
      </c>
      <c r="BL15" t="s">
        <v>780</v>
      </c>
      <c r="BM15" t="s">
        <v>777</v>
      </c>
      <c r="BN15">
        <v>2.61</v>
      </c>
      <c r="BO15">
        <v>4.95</v>
      </c>
      <c r="BP15">
        <v>15.43</v>
      </c>
      <c r="BQ15">
        <v>1.65</v>
      </c>
      <c r="BR15">
        <v>-0.75</v>
      </c>
      <c r="BS15">
        <v>9.14</v>
      </c>
      <c r="BT15" t="s">
        <v>781</v>
      </c>
      <c r="BU15" t="s">
        <v>782</v>
      </c>
      <c r="BV15">
        <v>11.02</v>
      </c>
      <c r="BW15">
        <v>11.49</v>
      </c>
      <c r="BX15">
        <v>9.7100000000000009</v>
      </c>
      <c r="BY15">
        <v>2.4300000000000002</v>
      </c>
      <c r="BZ15">
        <v>3.31</v>
      </c>
      <c r="CA15">
        <v>5.6</v>
      </c>
      <c r="CB15">
        <v>10.08</v>
      </c>
      <c r="CC15">
        <v>-1.08</v>
      </c>
      <c r="CD15" t="s">
        <v>349</v>
      </c>
      <c r="CE15" t="s">
        <v>783</v>
      </c>
      <c r="CF15" s="8">
        <v>37.458064516129035</v>
      </c>
      <c r="CG15" s="9">
        <v>66.480865500260961</v>
      </c>
      <c r="CH15" s="8">
        <v>-0.97363936901092529</v>
      </c>
      <c r="CI15" s="8">
        <v>-0.42895668745040894</v>
      </c>
      <c r="CJ15" s="8">
        <v>0.15302269160747528</v>
      </c>
      <c r="CK15" s="8">
        <v>9.2833496630191803E-2</v>
      </c>
      <c r="CL15" s="8">
        <v>9.9127523601055145E-2</v>
      </c>
      <c r="CM15" s="9">
        <v>4.4713764190673828</v>
      </c>
      <c r="CN15" s="9">
        <v>-1.0020343065261841</v>
      </c>
      <c r="CO15" s="9">
        <v>16.380855560302734</v>
      </c>
      <c r="CP15" s="9">
        <v>-0.8030400276184082</v>
      </c>
      <c r="CQ15" s="9">
        <v>-0.38524588942527771</v>
      </c>
      <c r="CR15">
        <v>40.278544667152538</v>
      </c>
      <c r="CS15">
        <v>1.9042206188282125</v>
      </c>
      <c r="CT15">
        <v>0.63613861386138615</v>
      </c>
      <c r="CU15" s="8">
        <v>-0.21152246892452239</v>
      </c>
      <c r="CV15" s="9">
        <v>3.7323823511600493</v>
      </c>
      <c r="CW15">
        <v>0.06</v>
      </c>
      <c r="CX15">
        <v>2454.9919888588606</v>
      </c>
      <c r="CY15" t="s">
        <v>784</v>
      </c>
      <c r="CZ15">
        <v>-0.21152246892452239</v>
      </c>
      <c r="DA15">
        <v>818.3306629529535</v>
      </c>
      <c r="DB15" t="s">
        <v>785</v>
      </c>
      <c r="DC15">
        <v>-0.20094634547829626</v>
      </c>
      <c r="DD15">
        <v>409.16533147647675</v>
      </c>
      <c r="DE15" t="s">
        <v>786</v>
      </c>
      <c r="DF15">
        <v>-0.1861397726535797</v>
      </c>
      <c r="DG15">
        <v>245.49919888588605</v>
      </c>
      <c r="DH15" t="s">
        <v>787</v>
      </c>
      <c r="DI15">
        <v>-0.16921797513961792</v>
      </c>
      <c r="DJ15">
        <v>122.74959944294302</v>
      </c>
      <c r="DK15" t="s">
        <v>788</v>
      </c>
      <c r="DL15">
        <v>-0.14806572824716566</v>
      </c>
      <c r="DM15">
        <v>7252400</v>
      </c>
      <c r="DN15">
        <v>-0.21152246892452239</v>
      </c>
      <c r="DO15">
        <v>17804583900</v>
      </c>
      <c r="DP15">
        <v>2644139000</v>
      </c>
      <c r="DQ15">
        <v>3396</v>
      </c>
      <c r="DR15">
        <v>37.669586985053556</v>
      </c>
      <c r="DS15">
        <v>62.748483149100913</v>
      </c>
      <c r="DT15" s="10">
        <v>-0.79</v>
      </c>
      <c r="DU15">
        <v>0.17833333333333326</v>
      </c>
      <c r="DV15">
        <v>-0.6116666666666668</v>
      </c>
      <c r="DW15">
        <v>5.1071428571428568</v>
      </c>
      <c r="DX15">
        <v>0.35713450292397486</v>
      </c>
      <c r="DY15">
        <v>5.0200501253132837</v>
      </c>
      <c r="DZ15">
        <v>1283</v>
      </c>
      <c r="EA15">
        <v>5.0150160136152522</v>
      </c>
      <c r="EB15">
        <v>5</v>
      </c>
      <c r="EC15">
        <v>0.20495285876093253</v>
      </c>
      <c r="ED15">
        <v>1.0952168390037333</v>
      </c>
      <c r="EE15" s="11">
        <v>5.111000000000001E-2</v>
      </c>
      <c r="EF15">
        <v>7.1010000000000004E-2</v>
      </c>
      <c r="EG15">
        <v>17.187134502923975</v>
      </c>
      <c r="EH15">
        <v>-1</v>
      </c>
      <c r="EI15">
        <v>1</v>
      </c>
      <c r="EJ15">
        <v>1</v>
      </c>
      <c r="EK15" s="14">
        <v>45470</v>
      </c>
      <c r="EL15" s="15">
        <v>-0.24</v>
      </c>
      <c r="EM15" s="15">
        <v>-2.3199999999999998</v>
      </c>
      <c r="EN15" s="15">
        <v>1.75</v>
      </c>
      <c r="EO15" s="15">
        <v>-0.86</v>
      </c>
      <c r="EP15" s="15">
        <v>-1.99</v>
      </c>
    </row>
    <row r="16" spans="1:146" ht="132">
      <c r="A16" s="6"/>
      <c r="B16" s="6" t="s">
        <v>414</v>
      </c>
      <c r="C16" s="6" t="str">
        <f>"公司主营业务为钼炉料的生产、加工、销售业务。目前国内钼行业的下游市场主要是钢铁企业，主要需求是钼铁,公司作为国内大型钼业企业，主要产品也为钼铁、精矿。"&amp;CHAR(10)&amp;Basic_Fundamental_Information_Constructure(F16)&amp;CHAR(10)&amp;Basic_Fundamental_Information_Concatenate("钼产品 20.68亿 97.26% 65.50% 3.51%
锂产品 5430.57万 2.55% 41.03% 83.77%")</f>
        <v>公司主营业务为钼炉料的生产、加工、销售业务。目前国内钼行业的下游市场主要是钢铁企业，主要需求是钼铁,公司作为国内大型钼业企业，主要产品也为钼铁、精矿。
市值32.108214亿, 利润4.25亿; PE; 平均PE30.23; 平均PEG2.17, PB1.75; ROIC11.095%; ROE5.3233%; 股利率0%; 毛利8.4133%; 净利1.4933%; 上一年度营收增-38.62%, 利润增-13.62%; 当季营收增79.58%, 利润增57.32%; 过往5年营收增13.9%, 利润增492.54%
Income profile:
钼产品 20.68亿 97.26% 65.50% 3.51%
锂产品 5430.57万 2.55% 41.03% 83.77%</v>
      </c>
      <c r="D16" t="s">
        <v>132</v>
      </c>
      <c r="E16" t="s">
        <v>133</v>
      </c>
      <c r="F16">
        <v>6.23</v>
      </c>
      <c r="G16">
        <v>1.63</v>
      </c>
      <c r="H16" t="s">
        <v>789</v>
      </c>
      <c r="I16">
        <v>3210821400</v>
      </c>
      <c r="K16">
        <v>1.75</v>
      </c>
      <c r="L16" t="s">
        <v>217</v>
      </c>
      <c r="M16" t="s">
        <v>790</v>
      </c>
      <c r="N16" t="s">
        <v>389</v>
      </c>
      <c r="O16" t="s">
        <v>350</v>
      </c>
      <c r="P16">
        <v>-30.77</v>
      </c>
      <c r="Q16" t="s">
        <v>791</v>
      </c>
      <c r="R16">
        <v>71467220</v>
      </c>
      <c r="S16" s="5">
        <v>1.0860000000000001</v>
      </c>
      <c r="T16" t="s">
        <v>792</v>
      </c>
      <c r="U16">
        <v>512290650</v>
      </c>
      <c r="V16">
        <v>515380650</v>
      </c>
      <c r="W16">
        <v>1.99</v>
      </c>
      <c r="X16">
        <v>0.37</v>
      </c>
      <c r="Y16">
        <v>5.45</v>
      </c>
      <c r="Z16" t="s">
        <v>393</v>
      </c>
      <c r="AA16" t="s">
        <v>793</v>
      </c>
      <c r="AB16" t="s">
        <v>794</v>
      </c>
      <c r="AC16" t="s">
        <v>795</v>
      </c>
      <c r="AD16" t="s">
        <v>5</v>
      </c>
      <c r="AE16">
        <v>8088847</v>
      </c>
      <c r="AF16" t="s">
        <v>796</v>
      </c>
      <c r="AG16" t="s">
        <v>797</v>
      </c>
      <c r="AH16" t="s">
        <v>798</v>
      </c>
      <c r="AI16" t="s">
        <v>799</v>
      </c>
      <c r="AJ16" t="s">
        <v>800</v>
      </c>
      <c r="AK16" t="s">
        <v>801</v>
      </c>
      <c r="AL16" t="s">
        <v>802</v>
      </c>
      <c r="AM16" t="s">
        <v>5</v>
      </c>
      <c r="AN16" t="s">
        <v>803</v>
      </c>
      <c r="AO16" t="s">
        <v>327</v>
      </c>
      <c r="AP16" t="s">
        <v>804</v>
      </c>
      <c r="AQ16" t="s">
        <v>805</v>
      </c>
      <c r="AR16" t="s">
        <v>5</v>
      </c>
      <c r="AS16" t="s">
        <v>806</v>
      </c>
      <c r="AT16" t="s">
        <v>807</v>
      </c>
      <c r="AU16" t="s">
        <v>808</v>
      </c>
      <c r="AV16" t="s">
        <v>809</v>
      </c>
      <c r="AW16" t="s">
        <v>810</v>
      </c>
      <c r="AX16" t="s">
        <v>405</v>
      </c>
      <c r="AY16" t="s">
        <v>407</v>
      </c>
      <c r="AZ16" t="s">
        <v>134</v>
      </c>
      <c r="BA16" t="s">
        <v>136</v>
      </c>
      <c r="BB16" t="s">
        <v>137</v>
      </c>
      <c r="BC16" t="s">
        <v>406</v>
      </c>
      <c r="BD16" t="s">
        <v>408</v>
      </c>
      <c r="BE16" t="s">
        <v>135</v>
      </c>
      <c r="BF16" t="s">
        <v>138</v>
      </c>
      <c r="BG16" t="s">
        <v>57</v>
      </c>
      <c r="BH16" t="s">
        <v>811</v>
      </c>
      <c r="BI16" t="s">
        <v>812</v>
      </c>
      <c r="BJ16" t="s">
        <v>405</v>
      </c>
      <c r="BK16" t="s">
        <v>813</v>
      </c>
      <c r="BL16" t="s">
        <v>814</v>
      </c>
      <c r="BM16" t="s">
        <v>406</v>
      </c>
      <c r="BN16" t="s">
        <v>5</v>
      </c>
      <c r="BO16">
        <v>21.39</v>
      </c>
      <c r="BP16">
        <v>0.8</v>
      </c>
      <c r="BQ16">
        <v>-9.1999999999999993</v>
      </c>
      <c r="BR16">
        <v>24.31</v>
      </c>
      <c r="BS16">
        <v>0.86</v>
      </c>
      <c r="BT16" t="s">
        <v>321</v>
      </c>
      <c r="BU16" t="s">
        <v>442</v>
      </c>
      <c r="BV16">
        <v>3.17</v>
      </c>
      <c r="BW16">
        <v>15.36</v>
      </c>
      <c r="BX16">
        <v>6.71</v>
      </c>
      <c r="BY16">
        <v>-4.96</v>
      </c>
      <c r="BZ16">
        <v>9.1300000000000008</v>
      </c>
      <c r="CA16">
        <v>0.31</v>
      </c>
      <c r="CB16">
        <v>0.65</v>
      </c>
      <c r="CC16">
        <v>-16.82</v>
      </c>
      <c r="CD16" t="s">
        <v>815</v>
      </c>
      <c r="CE16" t="s">
        <v>816</v>
      </c>
      <c r="CF16" s="8">
        <v>0.79579207920792083</v>
      </c>
      <c r="CG16" s="9">
        <v>0.57323568194175722</v>
      </c>
      <c r="CH16" s="8">
        <v>-0.38620591163635254</v>
      </c>
      <c r="CI16" s="8">
        <v>0.81610089540481567</v>
      </c>
      <c r="CJ16" s="8">
        <v>0.69781666994094849</v>
      </c>
      <c r="CK16" s="8">
        <v>-0.1978984922170639</v>
      </c>
      <c r="CL16" s="8">
        <v>-0.23458440601825714</v>
      </c>
      <c r="CM16" s="9">
        <v>-0.13617886602878571</v>
      </c>
      <c r="CN16" s="9">
        <v>26.041139602661133</v>
      </c>
      <c r="CO16" s="9">
        <v>1.0691806077957153</v>
      </c>
      <c r="CP16" s="9">
        <v>-0.16371680796146393</v>
      </c>
      <c r="CQ16" s="9">
        <v>-2.1832461357116699</v>
      </c>
      <c r="CR16">
        <v>30.233984128864893</v>
      </c>
      <c r="CS16">
        <v>2.1743910828492505</v>
      </c>
      <c r="CT16">
        <v>0</v>
      </c>
      <c r="CU16" s="8">
        <v>0.13904575109481812</v>
      </c>
      <c r="CV16" s="9">
        <v>4.9254356801509855</v>
      </c>
      <c r="CW16">
        <v>0.06</v>
      </c>
      <c r="CX16">
        <v>6.9386267992493824</v>
      </c>
      <c r="CY16">
        <v>456692871.90122426</v>
      </c>
      <c r="CZ16">
        <v>0.13904575109481812</v>
      </c>
      <c r="DA16">
        <v>2.17574600980566</v>
      </c>
      <c r="DB16">
        <v>1456429834.0517433</v>
      </c>
      <c r="DC16">
        <v>0.1320934635400772</v>
      </c>
      <c r="DD16">
        <v>1.0125058464657719</v>
      </c>
      <c r="DE16">
        <v>3129682076.4650497</v>
      </c>
      <c r="DF16">
        <v>0.12236026096343995</v>
      </c>
      <c r="DG16">
        <v>0.5698633555849586</v>
      </c>
      <c r="DH16">
        <v>5560668832.175108</v>
      </c>
      <c r="DI16">
        <v>0.1112366008758545</v>
      </c>
      <c r="DJ16">
        <v>0.25411196100683436</v>
      </c>
      <c r="DK16">
        <v>12470178056.336254</v>
      </c>
      <c r="DL16">
        <v>9.7332025766372676E-2</v>
      </c>
      <c r="DM16">
        <v>425000000</v>
      </c>
      <c r="DN16">
        <v>0.13904575109481812</v>
      </c>
      <c r="DO16">
        <v>3168821400</v>
      </c>
      <c r="DP16">
        <v>1097738300</v>
      </c>
      <c r="DQ16">
        <v>4142</v>
      </c>
      <c r="DR16">
        <v>0.65674632811310274</v>
      </c>
      <c r="DS16">
        <v>-4.3521999982092279</v>
      </c>
      <c r="DT16" s="10">
        <v>-0.2566666666666666</v>
      </c>
      <c r="DU16">
        <v>-0.31333333333333352</v>
      </c>
      <c r="DV16">
        <v>-0.57000000000000006</v>
      </c>
      <c r="DW16">
        <v>-3.0092738095238096</v>
      </c>
      <c r="DX16">
        <v>0.37790772946860002</v>
      </c>
      <c r="DY16">
        <v>-3.0018353585863813</v>
      </c>
      <c r="DZ16">
        <v>2097</v>
      </c>
      <c r="EA16">
        <v>-3.0010821791430073</v>
      </c>
      <c r="EB16">
        <v>3</v>
      </c>
      <c r="EC16">
        <v>7.9488626513238306E-2</v>
      </c>
      <c r="ED16">
        <v>0.40164488131248227</v>
      </c>
      <c r="EE16" s="11">
        <v>-2.0064099999999998</v>
      </c>
      <c r="EF16">
        <v>-2.0242100000000001</v>
      </c>
      <c r="EG16">
        <v>18.1979077294686</v>
      </c>
      <c r="EH16" t="s">
        <v>572</v>
      </c>
      <c r="EI16">
        <v>0</v>
      </c>
      <c r="EJ16">
        <v>0</v>
      </c>
      <c r="EK16" s="14">
        <v>45470</v>
      </c>
      <c r="EL16" s="15">
        <v>0.6</v>
      </c>
      <c r="EM16" s="15">
        <v>-2.38</v>
      </c>
      <c r="EN16" s="15">
        <v>0.08</v>
      </c>
      <c r="EO16" s="15">
        <v>2.2799999999999998</v>
      </c>
      <c r="EP16" s="15">
        <v>-1.78</v>
      </c>
    </row>
    <row r="17" spans="1:146" ht="180">
      <c r="A17" s="6" t="s">
        <v>162</v>
      </c>
      <c r="B17" s="6" t="s">
        <v>163</v>
      </c>
      <c r="C17" s="6" t="str">
        <f>"公司主要从事新能源锂电材料和钴新材料产品的研发制造业务，主要产品为钴、镍、三元前驱体、铜、贸易及其他。"&amp;CHAR(10)&amp;Basic_Fundamental_Information_Constructure(F17)&amp;CHAR(10)&amp;Basic_Fundamental_Information_Concatenate("贸易及其他 96.94亿 27.45% 2.69% 1.99%
钴产品 84.12亿 23.82% 36.90% 31.52%
三元前驱体 57.61亿 16.31% 12.18% 15.19%
铜产品 53.78亿 15.23% 36.75% 49.10%
正极材料 47.64亿 13.49% 7.66% 11.56%
其他业务 10.56亿 2.99% 3.35% 22.80%
镍产品 2.51亿 0.71% 0.47% 13.46%")</f>
        <v>公司主要从事新能源锂电材料和钴新材料产品的研发制造业务，主要产品为钴、镍、三元前驱体、铜、贸易及其他。
市值370.16214亿, 利润2.05亿; PE12.99; 平均PE20.52; 平均PEG1.12, PB1.11; ROIC10.36%; ROE17.05%; 股利率4.5851%; 毛利17.6833%; 净利9.0767%; 上一年度营收增-96.45%, 利润增-94.75%; 当季营收增3736.67%, 利润增2846.12%; 过往5年营收增18.31%, 利润增183.76%
Income profile:
贸易及其他 96.94亿 27.45% 2.69% 1.99%
钴产品 84.12亿 23.82% 36.90% 31.52%
三元前驱体 57.61亿 16.31% 12.18% 15.19%
铜产品 53.78亿 15.23% 36.75% 49.10%
正极材料 47.64亿 13.49% 7.66% 11.56%
其他业务 10.56亿 2.99% 3.35% 22.80%
镍产品 2.51亿 0.71% 0.47% 13.46%</v>
      </c>
      <c r="D17" t="s">
        <v>139</v>
      </c>
      <c r="E17" t="s">
        <v>140</v>
      </c>
      <c r="F17">
        <v>21.81</v>
      </c>
      <c r="G17">
        <v>-0.59</v>
      </c>
      <c r="H17" t="s">
        <v>817</v>
      </c>
      <c r="I17">
        <v>37016214000</v>
      </c>
      <c r="J17">
        <v>12.99</v>
      </c>
      <c r="K17">
        <v>1.1100000000000001</v>
      </c>
      <c r="L17" t="s">
        <v>217</v>
      </c>
      <c r="M17" t="s">
        <v>818</v>
      </c>
      <c r="N17" t="s">
        <v>819</v>
      </c>
      <c r="O17" t="s">
        <v>820</v>
      </c>
      <c r="P17">
        <v>-21.7</v>
      </c>
      <c r="Q17" t="s">
        <v>180</v>
      </c>
      <c r="R17">
        <v>522415390</v>
      </c>
      <c r="S17" s="5">
        <v>-0.4899</v>
      </c>
      <c r="T17" t="s">
        <v>821</v>
      </c>
      <c r="U17">
        <v>1686335000</v>
      </c>
      <c r="V17">
        <v>1697212900</v>
      </c>
      <c r="W17">
        <v>2.82</v>
      </c>
      <c r="X17">
        <v>0.12</v>
      </c>
      <c r="Y17">
        <v>3.94</v>
      </c>
      <c r="Z17" t="s">
        <v>822</v>
      </c>
      <c r="AA17" t="s">
        <v>823</v>
      </c>
      <c r="AB17" t="s">
        <v>824</v>
      </c>
      <c r="AC17" t="s">
        <v>825</v>
      </c>
      <c r="AD17" t="s">
        <v>5</v>
      </c>
      <c r="AE17">
        <v>532733900</v>
      </c>
      <c r="AF17" t="s">
        <v>826</v>
      </c>
      <c r="AG17" t="s">
        <v>827</v>
      </c>
      <c r="AH17" t="s">
        <v>828</v>
      </c>
      <c r="AI17" t="s">
        <v>829</v>
      </c>
      <c r="AJ17" t="s">
        <v>830</v>
      </c>
      <c r="AK17" t="s">
        <v>5</v>
      </c>
      <c r="AL17" t="s">
        <v>831</v>
      </c>
      <c r="AM17" t="s">
        <v>5</v>
      </c>
      <c r="AN17" t="s">
        <v>832</v>
      </c>
      <c r="AO17" t="s">
        <v>833</v>
      </c>
      <c r="AP17" t="s">
        <v>834</v>
      </c>
      <c r="AQ17" t="s">
        <v>835</v>
      </c>
      <c r="AR17" t="s">
        <v>5</v>
      </c>
      <c r="AS17" t="s">
        <v>836</v>
      </c>
      <c r="AT17" t="s">
        <v>837</v>
      </c>
      <c r="AU17" t="s">
        <v>838</v>
      </c>
      <c r="AV17" t="s">
        <v>839</v>
      </c>
      <c r="AW17" t="s">
        <v>840</v>
      </c>
      <c r="AX17" t="s">
        <v>409</v>
      </c>
      <c r="AY17" t="s">
        <v>184</v>
      </c>
      <c r="AZ17" t="s">
        <v>141</v>
      </c>
      <c r="BA17" t="s">
        <v>142</v>
      </c>
      <c r="BB17" t="s">
        <v>143</v>
      </c>
      <c r="BC17" t="s">
        <v>841</v>
      </c>
      <c r="BD17" t="s">
        <v>185</v>
      </c>
      <c r="BE17" t="s">
        <v>112</v>
      </c>
      <c r="BF17" t="s">
        <v>80</v>
      </c>
      <c r="BG17" t="s">
        <v>144</v>
      </c>
      <c r="BH17" t="s">
        <v>842</v>
      </c>
      <c r="BI17" t="s">
        <v>78</v>
      </c>
      <c r="BJ17" t="s">
        <v>409</v>
      </c>
      <c r="BK17" t="s">
        <v>843</v>
      </c>
      <c r="BL17" t="s">
        <v>844</v>
      </c>
      <c r="BM17" t="s">
        <v>841</v>
      </c>
      <c r="BN17">
        <v>5.66</v>
      </c>
      <c r="BO17">
        <v>11.8</v>
      </c>
      <c r="BP17">
        <v>13.62</v>
      </c>
      <c r="BQ17">
        <v>10.51</v>
      </c>
      <c r="BR17">
        <v>17.149999999999999</v>
      </c>
      <c r="BS17">
        <v>23.49</v>
      </c>
      <c r="BT17" t="s">
        <v>369</v>
      </c>
      <c r="BU17" t="s">
        <v>724</v>
      </c>
      <c r="BV17">
        <v>14.11</v>
      </c>
      <c r="BW17">
        <v>18.59</v>
      </c>
      <c r="BX17">
        <v>20.350000000000001</v>
      </c>
      <c r="BY17">
        <v>6.79</v>
      </c>
      <c r="BZ17">
        <v>9.0500000000000007</v>
      </c>
      <c r="CA17">
        <v>11.39</v>
      </c>
      <c r="CB17">
        <v>-1.45</v>
      </c>
      <c r="CC17">
        <v>-21.66</v>
      </c>
      <c r="CD17" t="s">
        <v>21</v>
      </c>
      <c r="CE17" t="s">
        <v>246</v>
      </c>
      <c r="CF17" s="8">
        <v>37.366666666666667</v>
      </c>
      <c r="CG17" s="9">
        <v>28.461231199562381</v>
      </c>
      <c r="CH17" s="8">
        <v>-0.9645112156867981</v>
      </c>
      <c r="CI17" s="8">
        <v>0.78480625152587891</v>
      </c>
      <c r="CJ17" s="8">
        <v>0.66691827774047852</v>
      </c>
      <c r="CK17" s="8">
        <v>0.12379999458789825</v>
      </c>
      <c r="CL17" s="8">
        <v>0.30461549758911133</v>
      </c>
      <c r="CM17" s="9">
        <v>-0.94754350185394287</v>
      </c>
      <c r="CN17" s="9">
        <v>2.5654511991888285E-3</v>
      </c>
      <c r="CO17" s="9">
        <v>2.3459227085113525</v>
      </c>
      <c r="CP17" s="9">
        <v>8.7083330154418945</v>
      </c>
      <c r="CQ17" s="9">
        <v>-0.92146599292755127</v>
      </c>
      <c r="CR17">
        <v>20.518965631929046</v>
      </c>
      <c r="CS17">
        <v>1.1204849335738496</v>
      </c>
      <c r="CT17">
        <v>4.5850527281063735</v>
      </c>
      <c r="CU17" s="8">
        <v>0.18312576115131379</v>
      </c>
      <c r="CV17" s="9">
        <v>1.8375623360741884</v>
      </c>
      <c r="CW17">
        <v>0.06</v>
      </c>
      <c r="CX17">
        <v>314.88381670816057</v>
      </c>
      <c r="CY17">
        <v>228812057.58115026</v>
      </c>
      <c r="CZ17">
        <v>0.18312576115131379</v>
      </c>
      <c r="DA17">
        <v>95.179590382800484</v>
      </c>
      <c r="DB17">
        <v>756981761.63846695</v>
      </c>
      <c r="DC17">
        <v>0.17396947309374811</v>
      </c>
      <c r="DD17">
        <v>42.066547657969686</v>
      </c>
      <c r="DE17">
        <v>1712743688.5434542</v>
      </c>
      <c r="DF17">
        <v>0.16115066981315615</v>
      </c>
      <c r="DG17">
        <v>22.260324092013704</v>
      </c>
      <c r="DH17">
        <v>3236665095.3590097</v>
      </c>
      <c r="DI17">
        <v>0.14650060892105105</v>
      </c>
      <c r="DJ17">
        <v>8.5673021357917651</v>
      </c>
      <c r="DK17">
        <v>8409790253.4566584</v>
      </c>
      <c r="DL17">
        <v>0.12818803280591964</v>
      </c>
      <c r="DM17">
        <v>204999999.99999997</v>
      </c>
      <c r="DN17">
        <v>0.18312576115131379</v>
      </c>
      <c r="DO17">
        <v>72049214000</v>
      </c>
      <c r="DP17">
        <v>-3962241000</v>
      </c>
      <c r="DQ17">
        <v>4310</v>
      </c>
      <c r="DR17">
        <v>37.183540905515351</v>
      </c>
      <c r="DS17">
        <v>26.623668863488192</v>
      </c>
      <c r="DT17" s="10">
        <v>-0.10666666666666669</v>
      </c>
      <c r="DU17">
        <v>0.84666666666666668</v>
      </c>
      <c r="DV17">
        <v>0.74</v>
      </c>
      <c r="DW17">
        <v>-3.0640119047619048</v>
      </c>
      <c r="DX17">
        <v>0.38861111111111213</v>
      </c>
      <c r="DY17">
        <v>-3.0095128802910054</v>
      </c>
      <c r="DZ17">
        <v>3146</v>
      </c>
      <c r="EA17">
        <v>-3.003656222483666</v>
      </c>
      <c r="EB17">
        <v>3</v>
      </c>
      <c r="EC17">
        <v>6.3044536133327764E-2</v>
      </c>
      <c r="ED17">
        <v>0.42422491603734569</v>
      </c>
      <c r="EE17" s="11">
        <v>2.0620099999999999</v>
      </c>
      <c r="EF17">
        <v>2.0580099999999999</v>
      </c>
      <c r="EG17">
        <v>24.148611111111112</v>
      </c>
      <c r="EH17" t="s">
        <v>468</v>
      </c>
      <c r="EI17">
        <v>0</v>
      </c>
      <c r="EJ17">
        <v>0</v>
      </c>
      <c r="EK17" s="14">
        <v>45470</v>
      </c>
      <c r="EL17" s="15">
        <v>-0.05</v>
      </c>
      <c r="EM17" s="15">
        <v>-4.63</v>
      </c>
      <c r="EN17" s="15">
        <v>3.18</v>
      </c>
      <c r="EO17" s="15">
        <v>1.1599999999999999</v>
      </c>
      <c r="EP17" s="15">
        <v>0.4</v>
      </c>
    </row>
    <row r="18" spans="1:146" ht="144">
      <c r="A18" s="6"/>
      <c r="B18" s="6"/>
      <c r="C18" s="6" t="str">
        <f>"公司的主营业务是电子专用高端金属粉体材料的研发、生产和销售。主要产品为纳米级、亚微米级镍粉和亚微米级、微米级铜粉、银粉、合金粉。"&amp;CHAR(10)&amp;Basic_Fundamental_Information_Constructure(F18)&amp;CHAR(10)&amp;Basic_Fundamental_Information_Concatenate("镍粉 8.02亿 82.70% 93.53% 43.35%
其他业务 8172.69万 8.43% 1.29% 5.87%
铜粉 4634.75万 4.78% 4.43% 35.50%")</f>
        <v>公司的主营业务是电子专用高端金属粉体材料的研发、生产和销售。主要产品为纳米级、亚微米级镍粉和亚微米级、微米级铜粉、银粉、合金粉。
市值54.46512亿, 利润5.66亿; PE; 平均PE24.14; 平均PEG.25, PB3.42; ROIC8.19%; ROE8.67%; 股利率.8646%; 毛利30.0467%; 净利13.4667%; 上一年度营收增432.26%, 利润增269.93%; 当季营收增-78.12%, 利润增-85.58%; 过往5年营收增97.41%, 利润增66.28%
Income profile:
镍粉 8.02亿 82.70% 93.53% 43.35%
其他业务 8172.69万 8.43% 1.29% 5.87%
铜粉 4634.75万 4.78% 4.43% 35.50%</v>
      </c>
      <c r="D18" t="s">
        <v>146</v>
      </c>
      <c r="E18" t="s">
        <v>845</v>
      </c>
      <c r="F18">
        <v>20.82</v>
      </c>
      <c r="G18">
        <v>0.92</v>
      </c>
      <c r="H18" t="s">
        <v>846</v>
      </c>
      <c r="I18">
        <v>5446512000</v>
      </c>
      <c r="K18">
        <v>3.42</v>
      </c>
      <c r="L18" t="s">
        <v>217</v>
      </c>
      <c r="M18" t="s">
        <v>122</v>
      </c>
      <c r="N18" t="s">
        <v>847</v>
      </c>
      <c r="O18" t="s">
        <v>848</v>
      </c>
      <c r="P18">
        <v>60.33</v>
      </c>
      <c r="Q18" t="s">
        <v>849</v>
      </c>
      <c r="R18">
        <v>15578819</v>
      </c>
      <c r="S18" s="5">
        <v>7.649</v>
      </c>
      <c r="T18" t="s">
        <v>850</v>
      </c>
      <c r="U18">
        <v>261600000</v>
      </c>
      <c r="V18">
        <v>261600000</v>
      </c>
      <c r="W18">
        <v>1.22</v>
      </c>
      <c r="X18">
        <v>0.1</v>
      </c>
      <c r="Y18">
        <v>7.79</v>
      </c>
      <c r="Z18" t="s">
        <v>131</v>
      </c>
      <c r="AA18" t="s">
        <v>399</v>
      </c>
      <c r="AB18" t="s">
        <v>366</v>
      </c>
      <c r="AC18" t="s">
        <v>851</v>
      </c>
      <c r="AD18" t="s">
        <v>5</v>
      </c>
      <c r="AE18">
        <v>-607941</v>
      </c>
      <c r="AF18" t="s">
        <v>339</v>
      </c>
      <c r="AG18" t="s">
        <v>5</v>
      </c>
      <c r="AH18" t="s">
        <v>852</v>
      </c>
      <c r="AI18" t="s">
        <v>22</v>
      </c>
      <c r="AJ18" t="s">
        <v>853</v>
      </c>
      <c r="AK18" t="s">
        <v>854</v>
      </c>
      <c r="AL18" t="s">
        <v>855</v>
      </c>
      <c r="AM18" t="s">
        <v>5</v>
      </c>
      <c r="AN18" t="s">
        <v>856</v>
      </c>
      <c r="AO18" t="s">
        <v>857</v>
      </c>
      <c r="AP18" t="s">
        <v>5</v>
      </c>
      <c r="AQ18" t="s">
        <v>858</v>
      </c>
      <c r="AR18">
        <v>3354.76</v>
      </c>
      <c r="AS18" t="s">
        <v>621</v>
      </c>
      <c r="AT18" t="s">
        <v>5</v>
      </c>
      <c r="AU18" t="s">
        <v>859</v>
      </c>
      <c r="AV18" t="s">
        <v>860</v>
      </c>
      <c r="AW18" t="s">
        <v>861</v>
      </c>
      <c r="AX18" t="s">
        <v>410</v>
      </c>
      <c r="AY18" t="s">
        <v>186</v>
      </c>
      <c r="AZ18" t="s">
        <v>147</v>
      </c>
      <c r="BA18" t="s">
        <v>148</v>
      </c>
      <c r="BB18" t="s">
        <v>149</v>
      </c>
      <c r="BC18" t="s">
        <v>411</v>
      </c>
      <c r="BD18" t="s">
        <v>178</v>
      </c>
      <c r="BE18" t="s">
        <v>67</v>
      </c>
      <c r="BF18" t="s">
        <v>38</v>
      </c>
      <c r="BG18" t="s">
        <v>90</v>
      </c>
      <c r="BH18" t="s">
        <v>862</v>
      </c>
      <c r="BI18" t="s">
        <v>863</v>
      </c>
      <c r="BJ18" t="s">
        <v>410</v>
      </c>
      <c r="BK18" t="s">
        <v>864</v>
      </c>
      <c r="BL18" t="s">
        <v>194</v>
      </c>
      <c r="BM18" t="s">
        <v>411</v>
      </c>
      <c r="BN18">
        <v>0.36</v>
      </c>
      <c r="BO18">
        <v>8.84</v>
      </c>
      <c r="BP18">
        <v>15.37</v>
      </c>
      <c r="BQ18">
        <v>0.76</v>
      </c>
      <c r="BR18">
        <v>9.39</v>
      </c>
      <c r="BS18">
        <v>15.86</v>
      </c>
      <c r="BT18" t="s">
        <v>865</v>
      </c>
      <c r="BU18" t="s">
        <v>782</v>
      </c>
      <c r="BV18">
        <v>15.04</v>
      </c>
      <c r="BW18">
        <v>36.770000000000003</v>
      </c>
      <c r="BX18">
        <v>38.33</v>
      </c>
      <c r="BY18">
        <v>-4.6900000000000004</v>
      </c>
      <c r="BZ18">
        <v>20.56</v>
      </c>
      <c r="CA18">
        <v>24.53</v>
      </c>
      <c r="CB18">
        <v>-7.01</v>
      </c>
      <c r="CC18">
        <v>-12.37</v>
      </c>
      <c r="CD18" t="s">
        <v>866</v>
      </c>
      <c r="CE18" t="s">
        <v>867</v>
      </c>
      <c r="CF18" s="8">
        <v>-0.78118161925601748</v>
      </c>
      <c r="CG18" s="9">
        <v>-0.85575167592592594</v>
      </c>
      <c r="CH18" s="8">
        <v>4.3226237297058105</v>
      </c>
      <c r="CI18" s="8">
        <v>-0.2298969030380249</v>
      </c>
      <c r="CJ18" s="8">
        <v>0.62751680612564087</v>
      </c>
      <c r="CK18" s="8">
        <v>0.23908524215221405</v>
      </c>
      <c r="CL18" s="8">
        <v>-8.901514858007431E-2</v>
      </c>
      <c r="CM18" s="9">
        <v>2.6993463039398193</v>
      </c>
      <c r="CN18" s="9">
        <v>-0.3571428656578064</v>
      </c>
      <c r="CO18" s="9">
        <v>0.49685534834861755</v>
      </c>
      <c r="CP18" s="9">
        <v>0.18656715750694275</v>
      </c>
      <c r="CQ18" s="9">
        <v>0.28846153616905212</v>
      </c>
      <c r="CR18">
        <v>24.135208271787299</v>
      </c>
      <c r="CS18">
        <v>0.24777878415851057</v>
      </c>
      <c r="CT18">
        <v>0.86455331412103742</v>
      </c>
      <c r="CU18" s="8">
        <v>0.97406274527311321</v>
      </c>
      <c r="CV18" s="9">
        <v>0.66281749606132512</v>
      </c>
      <c r="CW18">
        <v>0.06</v>
      </c>
      <c r="CX18">
        <v>3.999252375629359</v>
      </c>
      <c r="CY18">
        <v>1054075013.0420585</v>
      </c>
      <c r="CZ18">
        <v>0.97406274527311321</v>
      </c>
      <c r="DA18">
        <v>0.67048438554582079</v>
      </c>
      <c r="DB18">
        <v>6287263493.195715</v>
      </c>
      <c r="DC18">
        <v>0.92535960800945749</v>
      </c>
      <c r="DD18">
        <v>0.11448078445767956</v>
      </c>
      <c r="DE18">
        <v>36822878354.387589</v>
      </c>
      <c r="DF18">
        <v>0.85717521584033962</v>
      </c>
      <c r="DG18">
        <v>1.7053687496095069E-2</v>
      </c>
      <c r="DH18">
        <v>247190644308.76093</v>
      </c>
      <c r="DI18">
        <v>0.77925019621849057</v>
      </c>
      <c r="DJ18">
        <v>2.6938635280989001E-4</v>
      </c>
      <c r="DK18">
        <v>15648572973460.723</v>
      </c>
      <c r="DL18">
        <v>0.68184392169117924</v>
      </c>
      <c r="DM18">
        <v>566000000</v>
      </c>
      <c r="DN18">
        <v>0.97406274527311321</v>
      </c>
      <c r="DO18">
        <v>4215512000</v>
      </c>
      <c r="DP18">
        <v>491826770</v>
      </c>
      <c r="DQ18">
        <v>4520</v>
      </c>
      <c r="DR18">
        <v>-1.7552443645291307</v>
      </c>
      <c r="DS18">
        <v>-1.5185691719872509</v>
      </c>
      <c r="DT18" s="10">
        <v>9.3333333333333268E-2</v>
      </c>
      <c r="DU18">
        <v>5.9999999999999908E-2</v>
      </c>
      <c r="DV18">
        <v>0.15333333333333318</v>
      </c>
      <c r="DW18">
        <v>-9.5666936135812453</v>
      </c>
      <c r="DX18">
        <v>0.33285281027459601</v>
      </c>
      <c r="DY18">
        <v>-9.0639529668573093</v>
      </c>
      <c r="DZ18">
        <v>203</v>
      </c>
      <c r="EA18">
        <v>-9.0614123695437989</v>
      </c>
      <c r="EB18">
        <v>9</v>
      </c>
      <c r="EC18">
        <v>3.5790519877675842E-2</v>
      </c>
      <c r="ED18">
        <v>0.31714334862385324</v>
      </c>
      <c r="EE18" s="11">
        <v>-1.0840099999999999</v>
      </c>
      <c r="EF18">
        <v>-1.10131</v>
      </c>
      <c r="EG18">
        <v>22.112852810274596</v>
      </c>
      <c r="EH18" t="s">
        <v>412</v>
      </c>
      <c r="EI18">
        <v>0</v>
      </c>
      <c r="EJ18">
        <v>1</v>
      </c>
      <c r="EK18" s="14">
        <v>45470</v>
      </c>
      <c r="EL18" s="15">
        <v>1.08</v>
      </c>
      <c r="EM18" s="15">
        <v>-0.69</v>
      </c>
      <c r="EN18" s="15">
        <v>1.92</v>
      </c>
      <c r="EO18" s="15">
        <v>0.23</v>
      </c>
      <c r="EP18" s="15">
        <v>-1.73</v>
      </c>
    </row>
  </sheetData>
  <autoFilter ref="BU1:BU18"/>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能源金属&quot;,&quot;&quot;'" altText="更新基本面按钮_x000a_">
                <anchor moveWithCells="1" sizeWithCells="1">
                  <from>
                    <xdr:col>147</xdr:col>
                    <xdr:colOff>171450</xdr:colOff>
                    <xdr:row>0</xdr:row>
                    <xdr:rowOff>133350</xdr:rowOff>
                  </from>
                  <to>
                    <xdr:col>147</xdr:col>
                    <xdr:colOff>1612900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heetViews>
  <sheetFormatPr defaultRowHeight="14"/>
  <sheetData>
    <row r="1" spans="1:30">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c r="A2">
        <v>0.15</v>
      </c>
      <c r="B2" t="s">
        <v>2</v>
      </c>
    </row>
    <row r="3" spans="1:30" s="2" customFormat="1">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c r="A4">
        <v>0.5</v>
      </c>
      <c r="B4" t="s">
        <v>0</v>
      </c>
    </row>
    <row r="5" spans="1:30">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c r="A6">
        <v>15</v>
      </c>
      <c r="B6" t="s">
        <v>1</v>
      </c>
    </row>
  </sheetData>
  <phoneticPr fontId="1"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小金属</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2024-07-10T15:31:30Z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