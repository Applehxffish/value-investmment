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有色金属\"/>
    </mc:Choice>
  </mc:AlternateContent>
  <bookViews>
    <workbookView xWindow="-110" yWindow="-110" windowWidth="23260" windowHeight="13180"/>
  </bookViews>
  <sheets>
    <sheet name="小金属" sheetId="15" r:id="rId1"/>
    <sheet name="估值-增速与年化收益" sheetId="14" r:id="rId2"/>
  </sheets>
  <functionGroups builtInGroupCount="18"/>
  <definedNames>
    <definedName name="_xlnm._FilterDatabase" localSheetId="0" hidden="1">小金属!$BU$1:$BU$26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14" i="15"/>
  <c r="C25" i="15"/>
  <c r="C23" i="15"/>
  <c r="C19" i="15"/>
  <c r="C13" i="15"/>
  <c r="C7" i="15"/>
  <c r="C3" i="15"/>
  <c r="C18" i="15"/>
  <c r="C11" i="15"/>
  <c r="C26" i="15"/>
  <c r="C24" i="15"/>
  <c r="C21" i="15"/>
  <c r="C17" i="15"/>
  <c r="C10" i="15"/>
  <c r="C8" i="15"/>
  <c r="C5" i="15"/>
  <c r="C2" i="15"/>
  <c r="C22" i="15"/>
  <c r="C12" i="15"/>
  <c r="C6" i="15"/>
  <c r="C20" i="15"/>
  <c r="C16" i="15"/>
  <c r="C9" i="15"/>
  <c r="C4" i="15"/>
  <c r="C15" i="15"/>
</calcChain>
</file>

<file path=xl/sharedStrings.xml><?xml version="1.0" encoding="utf-8"?>
<sst xmlns="http://schemas.openxmlformats.org/spreadsheetml/2006/main" count="1543" uniqueCount="1161">
  <si>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</si>
  <si>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</si>
  <si>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</si>
  <si>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</si>
  <si>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</si>
  <si>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</si>
  <si>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代码</t>
  </si>
  <si>
    <t>总市值</t>
  </si>
  <si>
    <t>TTM市盈率</t>
  </si>
  <si>
    <t>所属行业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</si>
  <si>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</si>
  <si>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</si>
  <si>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</si>
  <si>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</si>
  <si>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</si>
  <si>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</si>
  <si>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</si>
  <si>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</si>
  <si>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</si>
  <si>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</si>
  <si>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</si>
  <si>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1.07亿</t>
  </si>
  <si>
    <t>1.03亿</t>
  </si>
  <si>
    <t>1.19亿</t>
  </si>
  <si>
    <t>1.36亿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</si>
  <si>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</si>
  <si>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</si>
  <si>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</si>
  <si>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</si>
  <si>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</si>
  <si>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</si>
  <si>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</si>
  <si>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</si>
  <si>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</si>
  <si>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</si>
  <si>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</si>
  <si>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</si>
  <si>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</si>
  <si>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1.17亿</t>
  </si>
  <si>
    <t>1.34亿</t>
  </si>
  <si>
    <t>4.65亿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</si>
  <si>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</si>
  <si>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</si>
  <si>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</si>
  <si>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</si>
  <si>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</si>
  <si>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</si>
  <si>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</si>
  <si>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</si>
  <si>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</si>
  <si>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</si>
  <si>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</si>
  <si>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</si>
  <si>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</si>
  <si>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</si>
  <si>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</si>
  <si>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</si>
  <si>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</si>
  <si>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1.82亿</t>
  </si>
  <si>
    <t>2.20亿</t>
  </si>
  <si>
    <t>2.32亿</t>
  </si>
  <si>
    <t>3.37亿</t>
  </si>
  <si>
    <t>7.33亿</t>
  </si>
  <si>
    <t>3717.59万</t>
  </si>
  <si>
    <t>SZ000657</t>
  </si>
  <si>
    <t>中钨高新</t>
  </si>
  <si>
    <t>小金属</t>
  </si>
  <si>
    <t>99.19亿</t>
  </si>
  <si>
    <t>2.21亿</t>
  </si>
  <si>
    <t>59.46亿</t>
  </si>
  <si>
    <t>88.13亿</t>
  </si>
  <si>
    <t>81.77亿</t>
  </si>
  <si>
    <t>1.24亿</t>
  </si>
  <si>
    <t>SZ000831</t>
  </si>
  <si>
    <t>16.56亿</t>
  </si>
  <si>
    <t>2.79亿</t>
  </si>
  <si>
    <t>4.93亿</t>
  </si>
  <si>
    <t>16.47亿</t>
  </si>
  <si>
    <t>9.25亿</t>
  </si>
  <si>
    <t>8589.44万</t>
  </si>
  <si>
    <t>1.02亿</t>
  </si>
  <si>
    <t>SZ000960</t>
  </si>
  <si>
    <t>锡业股份</t>
  </si>
  <si>
    <t>447.95亿</t>
  </si>
  <si>
    <t>6.90亿</t>
  </si>
  <si>
    <t>428.87亿</t>
  </si>
  <si>
    <t>396.03亿</t>
  </si>
  <si>
    <t>8.49亿</t>
  </si>
  <si>
    <t>8.85亿</t>
  </si>
  <si>
    <t>7.06亿</t>
  </si>
  <si>
    <t>SZ000962</t>
  </si>
  <si>
    <t>东方钽业</t>
  </si>
  <si>
    <t>6.76亿</t>
  </si>
  <si>
    <t>4931.33万</t>
  </si>
  <si>
    <t>1.21亿</t>
  </si>
  <si>
    <t>6.01亿</t>
  </si>
  <si>
    <t>10.95亿</t>
  </si>
  <si>
    <t>9.45亿</t>
  </si>
  <si>
    <t>4116.12万</t>
  </si>
  <si>
    <t>2988.53万</t>
  </si>
  <si>
    <t>SZ002149</t>
  </si>
  <si>
    <t>西部材料</t>
  </si>
  <si>
    <t>20.29亿</t>
  </si>
  <si>
    <t>7940.81万</t>
  </si>
  <si>
    <t>4.88亿</t>
  </si>
  <si>
    <t>20.06亿</t>
  </si>
  <si>
    <t>17.20亿</t>
  </si>
  <si>
    <t>6146.55万</t>
  </si>
  <si>
    <t>6031.65万</t>
  </si>
  <si>
    <t>SZ002167</t>
  </si>
  <si>
    <t>7.68亿</t>
  </si>
  <si>
    <t>-1.61亿</t>
  </si>
  <si>
    <t>1.41亿</t>
  </si>
  <si>
    <t>4.72亿</t>
  </si>
  <si>
    <t>5.03亿</t>
  </si>
  <si>
    <t>-2.06亿</t>
  </si>
  <si>
    <t>1062.78万</t>
  </si>
  <si>
    <t>SZ002182</t>
  </si>
  <si>
    <t>2.44亿</t>
  </si>
  <si>
    <t>1.11亿</t>
  </si>
  <si>
    <t>2.86亿</t>
  </si>
  <si>
    <t>55.72亿</t>
  </si>
  <si>
    <t>51.01亿</t>
  </si>
  <si>
    <t>9.10亿</t>
  </si>
  <si>
    <t>3.30亿</t>
  </si>
  <si>
    <t>1.55亿</t>
  </si>
  <si>
    <t>3.90亿</t>
  </si>
  <si>
    <t>SZ002378</t>
  </si>
  <si>
    <t>章源钨业</t>
  </si>
  <si>
    <t>19.31亿</t>
  </si>
  <si>
    <t>18.28亿</t>
  </si>
  <si>
    <t>18.69亿</t>
  </si>
  <si>
    <t>-2.88亿</t>
  </si>
  <si>
    <t>4628.29万</t>
  </si>
  <si>
    <t>SZ002428</t>
  </si>
  <si>
    <t>云南锗业</t>
  </si>
  <si>
    <t>6.70亿</t>
  </si>
  <si>
    <t>2263.20万</t>
  </si>
  <si>
    <t>4.18亿</t>
  </si>
  <si>
    <t>2.98亿</t>
  </si>
  <si>
    <t>-5914.53万</t>
  </si>
  <si>
    <t>862.07万</t>
  </si>
  <si>
    <t>10.25亿</t>
  </si>
  <si>
    <t>3.58亿</t>
  </si>
  <si>
    <t>1.40亿</t>
  </si>
  <si>
    <t>5.19亿</t>
  </si>
  <si>
    <t>SZ002842</t>
  </si>
  <si>
    <t>翔鹭钨业</t>
  </si>
  <si>
    <t>12.90亿</t>
  </si>
  <si>
    <t>4158.32万</t>
  </si>
  <si>
    <t>14.80亿</t>
  </si>
  <si>
    <t>16.75亿</t>
  </si>
  <si>
    <t>6672.60万</t>
  </si>
  <si>
    <t>2.61亿</t>
  </si>
  <si>
    <t>SZ002978</t>
  </si>
  <si>
    <t>安宁股份</t>
  </si>
  <si>
    <t>16.36亿</t>
  </si>
  <si>
    <t>7.01亿</t>
  </si>
  <si>
    <t>13.75亿</t>
  </si>
  <si>
    <t>12.28亿</t>
  </si>
  <si>
    <t>4.90亿</t>
  </si>
  <si>
    <t>1.22亿</t>
  </si>
  <si>
    <t>SZ301026</t>
  </si>
  <si>
    <t>浩通科技</t>
  </si>
  <si>
    <t>10.76亿</t>
  </si>
  <si>
    <t>6.50亿</t>
  </si>
  <si>
    <t>5.44亿</t>
  </si>
  <si>
    <t>6760.09万</t>
  </si>
  <si>
    <t>4884.84万</t>
  </si>
  <si>
    <t>SH600111</t>
  </si>
  <si>
    <t>北方稀土</t>
  </si>
  <si>
    <t>180.92亿</t>
  </si>
  <si>
    <t>139.55亿</t>
  </si>
  <si>
    <t>6.16亿</t>
  </si>
  <si>
    <t>3.26亿</t>
  </si>
  <si>
    <t>SH600259</t>
  </si>
  <si>
    <t>广晟有色</t>
  </si>
  <si>
    <t>45.09亿</t>
  </si>
  <si>
    <t>24.11亿</t>
  </si>
  <si>
    <t>SH600281</t>
  </si>
  <si>
    <t>华阳新材</t>
  </si>
  <si>
    <t>3.89亿</t>
  </si>
  <si>
    <t>5.42亿</t>
  </si>
  <si>
    <t>4826.70万</t>
  </si>
  <si>
    <t>-1.15亿</t>
  </si>
  <si>
    <t>SH600392</t>
  </si>
  <si>
    <t>盛和资源</t>
  </si>
  <si>
    <t>81.57亿</t>
  </si>
  <si>
    <t>3.23亿</t>
  </si>
  <si>
    <t>69.60亿</t>
  </si>
  <si>
    <t>62.27亿</t>
  </si>
  <si>
    <t>SH600456</t>
  </si>
  <si>
    <t>宝钛股份</t>
  </si>
  <si>
    <t>43.38亿</t>
  </si>
  <si>
    <t>3.63亿</t>
  </si>
  <si>
    <t>3.00亿</t>
  </si>
  <si>
    <t>41.88亿</t>
  </si>
  <si>
    <t>34.10亿</t>
  </si>
  <si>
    <t>2.40亿</t>
  </si>
  <si>
    <t>SH600459</t>
  </si>
  <si>
    <t>贵研铂业</t>
  </si>
  <si>
    <t>289.26亿</t>
  </si>
  <si>
    <t>213.55亿</t>
  </si>
  <si>
    <t>170.74亿</t>
  </si>
  <si>
    <t>1.57亿</t>
  </si>
  <si>
    <t>SH600549</t>
  </si>
  <si>
    <t>厦门钨业</t>
  </si>
  <si>
    <t>189.64亿</t>
  </si>
  <si>
    <t>6.14亿</t>
  </si>
  <si>
    <t>173.96亿</t>
  </si>
  <si>
    <t>195.57亿</t>
  </si>
  <si>
    <t>4.99亿</t>
  </si>
  <si>
    <t>6.18亿</t>
  </si>
  <si>
    <t>SH601958</t>
  </si>
  <si>
    <t>金钼股份</t>
  </si>
  <si>
    <t>75.77亿</t>
  </si>
  <si>
    <t>91.51亿</t>
  </si>
  <si>
    <t>87.78亿</t>
  </si>
  <si>
    <t>5.69亿</t>
  </si>
  <si>
    <t>3.81亿</t>
  </si>
  <si>
    <t>SH603663</t>
  </si>
  <si>
    <t>三祥新材</t>
  </si>
  <si>
    <t>6483.95万</t>
  </si>
  <si>
    <t>7.61亿</t>
  </si>
  <si>
    <t>5.99亿</t>
  </si>
  <si>
    <t>4.08亿</t>
  </si>
  <si>
    <t>8271.04万</t>
  </si>
  <si>
    <t>7418.15万</t>
  </si>
  <si>
    <t>SH603993</t>
  </si>
  <si>
    <t>洛阳钼业</t>
  </si>
  <si>
    <t>1129.81亿</t>
  </si>
  <si>
    <t>23.29亿</t>
  </si>
  <si>
    <t>686.77亿</t>
  </si>
  <si>
    <t>259.63亿</t>
  </si>
  <si>
    <t>18.57亿</t>
  </si>
  <si>
    <t>46.36亿</t>
  </si>
  <si>
    <t>5.28亿</t>
  </si>
  <si>
    <r>
      <t>1.从2020年下半年以来，航空航天用高端钛材的订单大幅增长，且公司判断十四五期间高端钛材的需求，特别是</t>
    </r>
    <r>
      <rPr>
        <sz val="9"/>
        <color rgb="FFFF0000"/>
        <rFont val="宋体"/>
        <family val="3"/>
        <charset val="134"/>
        <scheme val="minor"/>
      </rPr>
      <t>航空航天用薄板</t>
    </r>
    <r>
      <rPr>
        <sz val="9"/>
        <color theme="1"/>
        <rFont val="宋体"/>
        <family val="2"/>
        <charset val="134"/>
        <scheme val="minor"/>
      </rPr>
      <t>的需求远超预期</t>
    </r>
    <phoneticPr fontId="1" type="noConversion"/>
  </si>
  <si>
    <t>流通股本</t>
  </si>
  <si>
    <t>投入资本回报率roic%[20201231]</t>
  </si>
  <si>
    <t>净资产收益率%[20201231]</t>
  </si>
  <si>
    <t>219.03亿</t>
  </si>
  <si>
    <t>1.39亿</t>
  </si>
  <si>
    <t>1.00亿</t>
  </si>
  <si>
    <t>1.10亿</t>
  </si>
  <si>
    <t>2.14亿</t>
  </si>
  <si>
    <t>1.85亿</t>
  </si>
  <si>
    <t>1.氧化镧,氧化铈,氧化镨,氧化钕,金属钕,氧化钐,氧化铕,氧化钆,扎铁,氧化铽,金属铽,氧化镝,镝铁,氧化钬,钬铁,氧化铒,氧化镱,氧化镥,氧化钇,氧化镨钕,镨钕金属</t>
    <phoneticPr fontId="1" type="noConversion"/>
  </si>
  <si>
    <t xml:space="preserve">1.在国家稀土生产总量控制计划的指导下，将稀土精矿加工为混合碳酸稀土或者混合氯化稀土溶液，再由公司直属、控股、参股公司将混合碳酸稀土分离为单一或混合稀土盐类、稀土氧化物及稀土金属产品。做专做特稀土终端应用产品，现拥有贮氢材料—镍氢动力电池、磁性材料—稀土永磁电机的稀土终端应用布局;2.工业和信息化部、自然资源部分两批下达了 2021 年度稀
土开采、冶炼分离总量控制指标。与 2020 年度相比，稀土矿产品总量控制指标由 14 万吨增至 16.8 万吨，增幅 20%，公司获得量占总量指标下达量的 60%；冶炼分离产品总量控制指标由 13.5 万吨增至 16.2 万吨，增幅20%，公司获得量占总量指标下达量的 55%。 </t>
    <phoneticPr fontId="1" type="noConversion"/>
  </si>
  <si>
    <t>净利润[20201231]</t>
  </si>
  <si>
    <t>120.94亿</t>
  </si>
  <si>
    <t>29.73亿</t>
  </si>
  <si>
    <t>1.95亿</t>
  </si>
  <si>
    <t>538.44亿</t>
  </si>
  <si>
    <t>28.17亿</t>
  </si>
  <si>
    <t>7.95亿</t>
  </si>
  <si>
    <t>23.95亿</t>
  </si>
  <si>
    <t>1.33亿</t>
  </si>
  <si>
    <t>12.86亿</t>
  </si>
  <si>
    <t>1.51亿</t>
  </si>
  <si>
    <t>81.17亿</t>
  </si>
  <si>
    <t>6.63亿</t>
  </si>
  <si>
    <t>5.56亿</t>
  </si>
  <si>
    <t>26.64亿</t>
  </si>
  <si>
    <t>1.65亿</t>
  </si>
  <si>
    <t>5.76亿</t>
  </si>
  <si>
    <t>1396.19万</t>
  </si>
  <si>
    <t>2.38亿</t>
  </si>
  <si>
    <t>15.24亿</t>
  </si>
  <si>
    <t>2475.00万</t>
  </si>
  <si>
    <t>23.03亿</t>
  </si>
  <si>
    <t>14.35亿</t>
  </si>
  <si>
    <t>1.93亿</t>
  </si>
  <si>
    <t>22.37亿</t>
  </si>
  <si>
    <t>2.46亿</t>
  </si>
  <si>
    <t>104.31亿</t>
  </si>
  <si>
    <t>2.80亿</t>
  </si>
  <si>
    <t>-4472.52万</t>
  </si>
  <si>
    <t>4160.05万</t>
  </si>
  <si>
    <t>106.16亿</t>
  </si>
  <si>
    <t>52.46亿</t>
  </si>
  <si>
    <t>5.60亿</t>
  </si>
  <si>
    <t>318.52亿</t>
  </si>
  <si>
    <t>79.74亿</t>
  </si>
  <si>
    <t>4.95亿</t>
  </si>
  <si>
    <t>7.89亿</t>
  </si>
  <si>
    <t>1738.63亿</t>
  </si>
  <si>
    <t>51.06亿</t>
  </si>
  <si>
    <t xml:space="preserve">    名称</t>
  </si>
  <si>
    <t>净利润?</t>
  </si>
  <si>
    <t>扣非净利润</t>
  </si>
  <si>
    <t>营业总收入[20201231]</t>
  </si>
  <si>
    <t>投入资本回报率roic%[20211231]</t>
  </si>
  <si>
    <t>净资产收益率%[20211231]</t>
  </si>
  <si>
    <t>1.08亿</t>
  </si>
  <si>
    <t>扭亏</t>
  </si>
  <si>
    <t>1.42亿</t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</si>
  <si>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</si>
  <si>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</si>
  <si>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</si>
  <si>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</si>
  <si>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</si>
  <si>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</si>
  <si>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</si>
  <si>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</si>
  <si>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细分行业</t>
  </si>
  <si>
    <t>其他小金属</t>
  </si>
  <si>
    <t>稀土</t>
  </si>
  <si>
    <t>4.06亿</t>
  </si>
  <si>
    <t>1.43亿</t>
  </si>
  <si>
    <t>6.05亿</t>
  </si>
  <si>
    <t>3.86亿</t>
  </si>
  <si>
    <t>2.58亿</t>
  </si>
  <si>
    <t>3.44亿</t>
  </si>
  <si>
    <t>1.71亿</t>
  </si>
  <si>
    <t>1.67亿</t>
  </si>
  <si>
    <t>3.02亿</t>
  </si>
  <si>
    <t>1.90亿</t>
  </si>
  <si>
    <t>8.84亿</t>
  </si>
  <si>
    <t>1.01亿</t>
  </si>
  <si>
    <t>7.20亿</t>
  </si>
  <si>
    <t/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</si>
  <si>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</si>
  <si>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</si>
  <si>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</si>
  <si>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</si>
  <si>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</si>
  <si>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</si>
  <si>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</si>
  <si>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</si>
  <si>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</si>
  <si>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</si>
  <si>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</si>
  <si>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</si>
  <si>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</si>
  <si>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</si>
  <si>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</si>
  <si>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</si>
  <si>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</si>
  <si>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</si>
  <si>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</si>
  <si>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</si>
  <si>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</si>
  <si>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</si>
  <si>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</si>
  <si>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</si>
  <si>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</si>
  <si>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</si>
  <si>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</si>
  <si>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</si>
  <si>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</si>
  <si>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</si>
  <si>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</si>
  <si>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</si>
  <si>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市销率</t>
    <phoneticPr fontId="1" type="noConversion"/>
  </si>
  <si>
    <t>扣非对比净利润</t>
    <phoneticPr fontId="1" type="noConversion"/>
  </si>
  <si>
    <t>股利率</t>
    <phoneticPr fontId="1" type="noConversion"/>
  </si>
  <si>
    <t>折现率</t>
    <phoneticPr fontId="1" type="noConversion"/>
  </si>
  <si>
    <t>1年自由现金流折现</t>
    <phoneticPr fontId="1" type="noConversion"/>
  </si>
  <si>
    <t>3年自由现金流折现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</si>
  <si>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</si>
  <si>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</si>
  <si>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</si>
  <si>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原始顺序</t>
    <phoneticPr fontId="1" type="noConversion"/>
  </si>
  <si>
    <t>策略1利润单季最佳增速</t>
    <phoneticPr fontId="1" type="noConversion"/>
  </si>
  <si>
    <t>营收和利润加权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</si>
  <si>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</si>
  <si>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</si>
  <si>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</si>
  <si>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成交量异动策略</t>
    <phoneticPr fontId="1" type="noConversion"/>
  </si>
  <si>
    <t>N日期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</si>
  <si>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</si>
  <si>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</si>
  <si>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</si>
  <si>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过往营收增速均值</t>
    <phoneticPr fontId="1" type="noConversion"/>
  </si>
  <si>
    <t>过往利润增速均值</t>
    <phoneticPr fontId="1" type="noConversion"/>
  </si>
  <si>
    <t>1增速</t>
    <phoneticPr fontId="1" type="noConversion"/>
  </si>
  <si>
    <t>3增速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</si>
  <si>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</si>
  <si>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</si>
  <si>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</si>
  <si>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</si>
  <si>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策略1营收单季最佳增速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</si>
  <si>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</si>
  <si>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</si>
  <si>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</si>
  <si>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</si>
  <si>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</si>
  <si>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</si>
  <si>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</si>
  <si>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</si>
  <si>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今日价格累积指数</t>
    <phoneticPr fontId="1" type="noConversion"/>
  </si>
  <si>
    <t>价格箱体形态过滤</t>
    <phoneticPr fontId="1" type="noConversion"/>
  </si>
  <si>
    <t>价格右侧初期策略</t>
    <phoneticPr fontId="1" type="noConversion"/>
  </si>
  <si>
    <t>N-4</t>
    <phoneticPr fontId="1" type="noConversion"/>
  </si>
  <si>
    <t>N-3</t>
    <phoneticPr fontId="1" type="noConversion"/>
  </si>
  <si>
    <t>2.31亿</t>
  </si>
  <si>
    <t>不分配不转增</t>
  </si>
  <si>
    <t>10.15亿</t>
  </si>
  <si>
    <t>4.75亿</t>
  </si>
  <si>
    <t>中国稀土</t>
  </si>
  <si>
    <t>2.89亿</t>
  </si>
  <si>
    <t>19.71亿</t>
  </si>
  <si>
    <t>1.87亿</t>
  </si>
  <si>
    <t>10派5元(含税)</t>
  </si>
  <si>
    <t>6.56亿</t>
  </si>
  <si>
    <t>4.50亿</t>
  </si>
  <si>
    <t>1.66亿</t>
  </si>
  <si>
    <t>15.93亿</t>
  </si>
  <si>
    <t>10派4元(含税)</t>
  </si>
  <si>
    <t>3.28亿</t>
  </si>
  <si>
    <t>亏损</t>
  </si>
  <si>
    <t>4.45亿</t>
  </si>
  <si>
    <t>4.62亿</t>
  </si>
  <si>
    <r>
      <t>1.预计年报业绩：净利润15.50亿元至17.00亿元，</t>
    </r>
    <r>
      <rPr>
        <sz val="9"/>
        <color rgb="FFFF0000"/>
        <rFont val="宋体"/>
        <family val="3"/>
        <charset val="134"/>
        <scheme val="minor"/>
      </rPr>
      <t>增长幅度为44.05%至57.99%</t>
    </r>
    <r>
      <rPr>
        <sz val="9"/>
        <color theme="1"/>
        <rFont val="宋体"/>
        <family val="2"/>
        <charset val="134"/>
        <scheme val="minor"/>
      </rPr>
      <t>。原因：报告期内，一方面，受新能源汽车、节能环保等下游产业快速发展影响，公司生产的稀土主要产品全年销售均价较上一年度涨幅较大，公司营业规模比上一年度有较大幅度提升；另一方面，在稀土主要产品价格出现大幅波动时，公司及时调整经营策略，较好地抓住了市场机遇，实现了盈利提升；此外，报告期内公司还拓展了涉外合作范围，优化了涉外合作模式，提升了涉外业务规模。</t>
    </r>
    <phoneticPr fontId="1" type="noConversion"/>
  </si>
  <si>
    <t>1-1</t>
  </si>
  <si>
    <t>1.中国不仅是全球锡资源储备和锡供给的第一大国，同时也是全球锡消费的第一大国；</t>
    <phoneticPr fontId="1" type="noConversion"/>
  </si>
  <si>
    <t>1.钛耐腐蚀，所以在化学工业上常常要用到它；</t>
    <phoneticPr fontId="1" type="noConversion"/>
  </si>
  <si>
    <t>1.公司是我国在该领域知识创新、技术创新的主
要力量，被誉为“铂族摇篮”；</t>
    <phoneticPr fontId="1" type="noConversion"/>
  </si>
  <si>
    <t>东方锆业</t>
  </si>
  <si>
    <t>1-0</t>
  </si>
  <si>
    <t>SH600301</t>
  </si>
  <si>
    <t>0亿</t>
  </si>
  <si>
    <t>1.60亿</t>
  </si>
  <si>
    <t>9.03亿</t>
  </si>
  <si>
    <t>6.69亿</t>
  </si>
  <si>
    <t>2.75亿</t>
  </si>
  <si>
    <t>3246.31万</t>
  </si>
  <si>
    <t>650.37万</t>
  </si>
  <si>
    <t>5412.20万</t>
  </si>
  <si>
    <r>
      <t>1.问：请问公司与下游磁材厂的定价模式是怎样的？答：公司与下游磁材厂的长协定价机制一般是采用</t>
    </r>
    <r>
      <rPr>
        <sz val="9"/>
        <color rgb="FFFF0000"/>
        <rFont val="宋体"/>
        <family val="3"/>
        <charset val="134"/>
        <scheme val="minor"/>
      </rPr>
      <t>月度定价</t>
    </r>
    <r>
      <rPr>
        <sz val="9"/>
        <color theme="1"/>
        <rFont val="宋体"/>
        <family val="2"/>
        <charset val="134"/>
        <scheme val="minor"/>
      </rPr>
      <t>。我们会采用几大网站，像百川咨讯网、亚州金属网、上海有色网、稀土行业协会等网站上一定时间段内的平均价做为定价依据;</t>
    </r>
    <phoneticPr fontId="1" type="noConversion"/>
  </si>
  <si>
    <t>1.16亿</t>
  </si>
  <si>
    <t>4.56亿</t>
  </si>
  <si>
    <t>5.37亿</t>
  </si>
  <si>
    <t>130.80亿</t>
  </si>
  <si>
    <t>5.35亿</t>
  </si>
  <si>
    <t>80.04亿</t>
  </si>
  <si>
    <t>-2-0</t>
  </si>
  <si>
    <t>519.98亿</t>
  </si>
  <si>
    <t>13.46亿</t>
  </si>
  <si>
    <t>7.62亿</t>
  </si>
  <si>
    <t>9.86亿</t>
  </si>
  <si>
    <t>8081.09万</t>
  </si>
  <si>
    <t>29.41亿</t>
  </si>
  <si>
    <t>5.64亿</t>
  </si>
  <si>
    <t>13.70亿</t>
  </si>
  <si>
    <t>10.69亿</t>
  </si>
  <si>
    <t>7.67亿</t>
  </si>
  <si>
    <t>17.99亿</t>
  </si>
  <si>
    <t>宝武镁业</t>
  </si>
  <si>
    <t>55.63亿</t>
  </si>
  <si>
    <t>91.05亿</t>
  </si>
  <si>
    <t>6.11亿</t>
  </si>
  <si>
    <t>1.49亿</t>
  </si>
  <si>
    <t>2-0</t>
  </si>
  <si>
    <t>8.38亿</t>
  </si>
  <si>
    <t>1.05亿</t>
  </si>
  <si>
    <t>-3-0</t>
  </si>
  <si>
    <t>32.03亿</t>
  </si>
  <si>
    <t>2.03亿</t>
  </si>
  <si>
    <t>-1-0</t>
  </si>
  <si>
    <t>SZ002502</t>
  </si>
  <si>
    <t>ST鼎龙</t>
  </si>
  <si>
    <t>-2.41亿</t>
  </si>
  <si>
    <t>3.12亿</t>
  </si>
  <si>
    <t>1.29亿</t>
  </si>
  <si>
    <t>6.54亿</t>
  </si>
  <si>
    <t>10.64亿</t>
  </si>
  <si>
    <t>7.52亿</t>
  </si>
  <si>
    <t>271.13万</t>
  </si>
  <si>
    <t>3354.51万</t>
  </si>
  <si>
    <t>-8.39亿</t>
  </si>
  <si>
    <t>-12.77亿</t>
  </si>
  <si>
    <t>1.96亿</t>
  </si>
  <si>
    <t>2.39亿</t>
  </si>
  <si>
    <t>3.60亿</t>
  </si>
  <si>
    <t>2.59亿</t>
  </si>
  <si>
    <t>11.08亿</t>
  </si>
  <si>
    <t>6.24亿</t>
  </si>
  <si>
    <t>2.19亿</t>
  </si>
  <si>
    <t>16.74亿</t>
  </si>
  <si>
    <t>-4126.25万</t>
  </si>
  <si>
    <t>19.96亿</t>
  </si>
  <si>
    <t>10派1.5元(含税)</t>
  </si>
  <si>
    <t>25.69亿</t>
  </si>
  <si>
    <t>1.46亿</t>
  </si>
  <si>
    <t>16.16亿</t>
  </si>
  <si>
    <t>2.15亿</t>
  </si>
  <si>
    <t>10.81亿</t>
  </si>
  <si>
    <t>1.15亿</t>
  </si>
  <si>
    <t>372.60亿</t>
  </si>
  <si>
    <t>59.84亿</t>
  </si>
  <si>
    <t>228.64亿</t>
  </si>
  <si>
    <t>华锡有色</t>
  </si>
  <si>
    <t>3.94亿</t>
  </si>
  <si>
    <t>5371.28万</t>
  </si>
  <si>
    <t>167.58亿</t>
  </si>
  <si>
    <t>66.35亿</t>
  </si>
  <si>
    <t>5.57亿</t>
  </si>
  <si>
    <t>407.59亿</t>
  </si>
  <si>
    <t>4.07亿</t>
  </si>
  <si>
    <t>378.93亿</t>
  </si>
  <si>
    <t>3.31亿</t>
  </si>
  <si>
    <t>482.23亿</t>
  </si>
  <si>
    <t>14.46亿</t>
  </si>
  <si>
    <t>11.79亿</t>
  </si>
  <si>
    <t>10派3.5元(含税)</t>
  </si>
  <si>
    <t>19.55亿</t>
  </si>
  <si>
    <t>95.31亿</t>
  </si>
  <si>
    <t>13.35亿</t>
  </si>
  <si>
    <t>10派3元(含税)</t>
  </si>
  <si>
    <t>6.66亿</t>
  </si>
  <si>
    <t>13.61亿</t>
  </si>
  <si>
    <t>9.72亿</t>
  </si>
  <si>
    <t>7.32亿</t>
  </si>
  <si>
    <t>1729.91亿</t>
  </si>
  <si>
    <t>60.67亿</t>
  </si>
  <si>
    <t>2.60亿</t>
  </si>
  <si>
    <t>6.21亿</t>
  </si>
  <si>
    <t>-1-1</t>
  </si>
  <si>
    <t>0.钼下游情况:钢铁冶炼消费约占80%（其中合金钢约为43%，不锈钢约为23%，工具钢和高速钢约8%，铸铁和轧辊约为6%），化工产品约占10%，金属钼制品消费约占6%，高温高强度合金和特殊合金约占3%，其他钼制品约为1%</t>
    <phoneticPr fontId="1" type="noConversion"/>
  </si>
  <si>
    <r>
      <t>1.综合国内外钼行业的市场情况，未来钼产量增量有限，2023-2025年</t>
    </r>
    <r>
      <rPr>
        <sz val="9"/>
        <color rgb="FFFF0000"/>
        <rFont val="宋体"/>
        <family val="3"/>
        <charset val="134"/>
        <scheme val="minor"/>
      </rPr>
      <t>全球产量复合增速为3.98%</t>
    </r>
    <r>
      <rPr>
        <sz val="9"/>
        <color theme="1"/>
        <rFont val="宋体"/>
        <family val="2"/>
        <charset val="134"/>
        <scheme val="minor"/>
      </rPr>
      <t>；中国预计钼产能增速在</t>
    </r>
    <r>
      <rPr>
        <sz val="9"/>
        <color theme="1"/>
        <rFont val="宋体"/>
        <family val="3"/>
        <charset val="134"/>
        <scheme val="minor"/>
      </rPr>
      <t>7%，</t>
    </r>
    <r>
      <rPr>
        <sz val="9"/>
        <color theme="1"/>
        <rFont val="宋体"/>
        <family val="2"/>
        <charset val="134"/>
        <scheme val="minor"/>
      </rPr>
      <t>供给刚性，需求稳增，供需缺口持续扩大，量增幅不大，就看价格，美元的利率决定其价格走势；</t>
    </r>
    <r>
      <rPr>
        <sz val="9"/>
        <color theme="1"/>
        <rFont val="宋体"/>
        <family val="3"/>
        <charset val="134"/>
        <scheme val="minor"/>
      </rPr>
      <t>2.重点观察</t>
    </r>
    <r>
      <rPr>
        <b/>
        <sz val="9"/>
        <color rgb="FFFF0000"/>
        <rFont val="宋体"/>
        <family val="3"/>
        <charset val="134"/>
        <scheme val="minor"/>
      </rPr>
      <t>钢铁行业PMI</t>
    </r>
    <r>
      <rPr>
        <sz val="9"/>
        <color rgb="FFFF0000"/>
        <rFont val="宋体"/>
        <family val="3"/>
        <charset val="134"/>
        <scheme val="minor"/>
      </rPr>
      <t>，</t>
    </r>
    <r>
      <rPr>
        <sz val="9"/>
        <rFont val="宋体"/>
        <family val="3"/>
        <charset val="134"/>
        <scheme val="minor"/>
      </rPr>
      <t>当</t>
    </r>
    <r>
      <rPr>
        <sz val="9"/>
        <color theme="1"/>
        <rFont val="宋体"/>
        <family val="3"/>
        <charset val="134"/>
        <scheme val="minor"/>
      </rPr>
      <t>有望维持在50%以上，全球钼</t>
    </r>
    <r>
      <rPr>
        <sz val="9"/>
        <color rgb="FFFF0000"/>
        <rFont val="宋体"/>
        <family val="3"/>
        <charset val="134"/>
        <scheme val="minor"/>
      </rPr>
      <t>需求增速预计到205年在4.37%</t>
    </r>
    <r>
      <rPr>
        <sz val="9"/>
        <color theme="1"/>
        <rFont val="宋体"/>
        <family val="3"/>
        <charset val="134"/>
        <scheme val="minor"/>
      </rPr>
      <t>，特钢对钼需求大于普钢，基建用钢可以关注一路一带，且特钢用在制造升级，新能源特别风电（</t>
    </r>
    <r>
      <rPr>
        <b/>
        <sz val="9"/>
        <color rgb="FFFF0000"/>
        <rFont val="宋体"/>
        <family val="3"/>
        <charset val="134"/>
        <scheme val="minor"/>
      </rPr>
      <t>抗腐蚀特性</t>
    </r>
    <r>
      <rPr>
        <sz val="9"/>
        <color theme="1"/>
        <rFont val="宋体"/>
        <family val="3"/>
        <charset val="134"/>
        <scheme val="minor"/>
      </rPr>
      <t>），各类车，飞机高铁，高端设备制造，军方各种设备，支撑钼铁价格上涨；3.</t>
    </r>
    <r>
      <rPr>
        <b/>
        <sz val="9"/>
        <color rgb="FFFF0000"/>
        <rFont val="宋体"/>
        <family val="3"/>
        <charset val="134"/>
        <scheme val="minor"/>
      </rPr>
      <t>钼矿储量195万吨</t>
    </r>
    <r>
      <rPr>
        <sz val="9"/>
        <color theme="1"/>
        <rFont val="宋体"/>
        <family val="3"/>
        <charset val="134"/>
        <scheme val="minor"/>
      </rPr>
      <t>；铜3525万吨；钴555万吨；铁402万吨；铌202万吨；钨11.6万吨；</t>
    </r>
    <phoneticPr fontId="1" type="noConversion"/>
  </si>
  <si>
    <r>
      <t>1.项目建设时间长、资金投入高的特点一定程度上</t>
    </r>
    <r>
      <rPr>
        <sz val="9"/>
        <color rgb="FFFF0000"/>
        <rFont val="宋体"/>
        <family val="3"/>
        <charset val="134"/>
        <scheme val="minor"/>
      </rPr>
      <t>限制了未来行业产能增量</t>
    </r>
    <r>
      <rPr>
        <sz val="9"/>
        <color theme="1"/>
        <rFont val="宋体"/>
        <family val="2"/>
        <charset val="134"/>
        <scheme val="minor"/>
      </rPr>
      <t>。2.下游需求关注：特种钢，光伏的某些工艺的涂层，风电的耐腐蚀部件，某些重型汽车的轻量化。3.</t>
    </r>
    <r>
      <rPr>
        <b/>
        <sz val="9"/>
        <color rgb="FFFF0000"/>
        <rFont val="宋体"/>
        <family val="3"/>
        <charset val="134"/>
        <scheme val="minor"/>
      </rPr>
      <t>钼矿储量折合大约60万吨</t>
    </r>
    <r>
      <rPr>
        <sz val="9"/>
        <color theme="1"/>
        <rFont val="宋体"/>
        <family val="2"/>
        <charset val="134"/>
        <scheme val="minor"/>
      </rPr>
      <t>金属吨；</t>
    </r>
    <r>
      <rPr>
        <sz val="9"/>
        <color theme="1"/>
        <rFont val="宋体"/>
        <family val="3"/>
        <charset val="134"/>
        <scheme val="minor"/>
      </rPr>
      <t>4.2023年预计年报利润31亿同比增1.4倍，原因-国内外钼市场价格持续向好，主要</t>
    </r>
    <r>
      <rPr>
        <b/>
        <sz val="9"/>
        <color rgb="FFFF0000"/>
        <rFont val="宋体"/>
        <family val="3"/>
        <charset val="134"/>
        <scheme val="minor"/>
      </rPr>
      <t>钼产品价格同比上涨</t>
    </r>
    <r>
      <rPr>
        <sz val="9"/>
        <color theme="1"/>
        <rFont val="宋体"/>
        <family val="3"/>
        <charset val="134"/>
        <scheme val="minor"/>
      </rPr>
      <t>。</t>
    </r>
    <phoneticPr fontId="1" type="noConversion"/>
  </si>
  <si>
    <r>
      <t>1.2023年钼精矿均价3879元/吨度,较2022年2847元/吨度,</t>
    </r>
    <r>
      <rPr>
        <sz val="9"/>
        <color rgb="FFFF0000"/>
        <rFont val="宋体"/>
        <family val="3"/>
        <charset val="134"/>
        <scheme val="minor"/>
      </rPr>
      <t>上涨约36.25%</t>
    </r>
    <r>
      <rPr>
        <sz val="9"/>
        <color theme="1"/>
        <rFont val="宋体"/>
        <family val="2"/>
        <charset val="134"/>
        <scheme val="minor"/>
      </rPr>
      <t>。其中,上半年钼精矿均价4091元/吨度,环比约</t>
    </r>
    <r>
      <rPr>
        <sz val="9"/>
        <color rgb="FFFF0000"/>
        <rFont val="宋体"/>
        <family val="3"/>
        <charset val="134"/>
        <scheme val="minor"/>
      </rPr>
      <t>涨34.88%</t>
    </r>
    <r>
      <rPr>
        <sz val="9"/>
        <color theme="1"/>
        <rFont val="宋体"/>
        <family val="2"/>
        <charset val="134"/>
        <scheme val="minor"/>
      </rPr>
      <t>,同比约涨54.73%;下半年钼精矿均价3682元/吨度,</t>
    </r>
    <r>
      <rPr>
        <b/>
        <sz val="9"/>
        <color rgb="FFFF0000"/>
        <rFont val="宋体"/>
        <family val="3"/>
        <charset val="134"/>
        <scheme val="minor"/>
      </rPr>
      <t>环比约降10.00%</t>
    </r>
    <r>
      <rPr>
        <sz val="9"/>
        <color theme="1"/>
        <rFont val="宋体"/>
        <family val="2"/>
        <charset val="134"/>
        <scheme val="minor"/>
      </rPr>
      <t>,同比约涨21.40%;</t>
    </r>
    <phoneticPr fontId="1" type="noConversion"/>
  </si>
  <si>
    <t>5.75亿</t>
  </si>
  <si>
    <t>1.56亿</t>
  </si>
  <si>
    <t>5.31亿</t>
  </si>
  <si>
    <t>1.14亿</t>
  </si>
  <si>
    <t>2.28亿</t>
  </si>
  <si>
    <t>5.54亿</t>
  </si>
  <si>
    <t>3.01亿</t>
  </si>
  <si>
    <t>2256.79万</t>
  </si>
  <si>
    <t>64.74亿</t>
  </si>
  <si>
    <t>65.93亿</t>
  </si>
  <si>
    <t>29.67亿</t>
  </si>
  <si>
    <t>127.36亿</t>
  </si>
  <si>
    <t>4.85亿</t>
  </si>
  <si>
    <t>28.99亿</t>
  </si>
  <si>
    <t>25.47亿</t>
  </si>
  <si>
    <t>8792.81万</t>
  </si>
  <si>
    <t>-3029650亿</t>
  </si>
  <si>
    <t>798.21万</t>
  </si>
  <si>
    <t>46109358亿</t>
  </si>
  <si>
    <t>5.05亿</t>
  </si>
  <si>
    <t>2585407700亿</t>
  </si>
  <si>
    <t>11.28亿</t>
  </si>
  <si>
    <t>8441718700亿</t>
  </si>
  <si>
    <t>2.55亿</t>
  </si>
  <si>
    <t>10.28亿</t>
  </si>
  <si>
    <t>3.78亿</t>
  </si>
  <si>
    <t>12.63亿</t>
  </si>
  <si>
    <t>48.17亿</t>
  </si>
  <si>
    <t>13.76亿</t>
  </si>
  <si>
    <t>-5.46亿</t>
  </si>
  <si>
    <t>-8518.07万</t>
  </si>
  <si>
    <t>2.71亿</t>
  </si>
  <si>
    <t>30.57亿</t>
  </si>
  <si>
    <t>9973.00万</t>
  </si>
  <si>
    <t>10派1.3元(含税)</t>
  </si>
  <si>
    <t>钨</t>
  </si>
  <si>
    <t>7910.29万</t>
  </si>
  <si>
    <t>1515.82万</t>
  </si>
  <si>
    <t>5.10亿</t>
  </si>
  <si>
    <t>47.39亿</t>
  </si>
  <si>
    <t>39.88亿</t>
  </si>
  <si>
    <t>75.02万</t>
  </si>
  <si>
    <t>1569.72万</t>
  </si>
  <si>
    <t>417963亿</t>
  </si>
  <si>
    <t>1.33万</t>
  </si>
  <si>
    <t>-290115990亿</t>
  </si>
  <si>
    <t>148746060亿</t>
  </si>
  <si>
    <t>1.48亿</t>
  </si>
  <si>
    <t>3979051200亿</t>
  </si>
  <si>
    <t>2420.92万</t>
  </si>
  <si>
    <t>2525.03万</t>
  </si>
  <si>
    <t>5622.43万</t>
  </si>
  <si>
    <t>3.27亿</t>
  </si>
  <si>
    <t>-5.04亿</t>
  </si>
  <si>
    <t>-3453.77万</t>
  </si>
  <si>
    <t>-712.65万</t>
  </si>
  <si>
    <t>42.16亿</t>
  </si>
  <si>
    <t>7.69亿</t>
  </si>
  <si>
    <t>16.70亿</t>
  </si>
  <si>
    <t>1.09亿</t>
  </si>
  <si>
    <t>10派0.8元(含税)</t>
  </si>
  <si>
    <t>2265.92万</t>
  </si>
  <si>
    <t>182.50亿</t>
  </si>
  <si>
    <t>191.50亿</t>
  </si>
  <si>
    <t>83.99亿</t>
  </si>
  <si>
    <t>423.59亿</t>
  </si>
  <si>
    <t>14.08亿</t>
  </si>
  <si>
    <t>74.59亿</t>
  </si>
  <si>
    <t>1512.11万</t>
  </si>
  <si>
    <t>864113亿</t>
  </si>
  <si>
    <t>246.46万</t>
  </si>
  <si>
    <t>303912440亿</t>
  </si>
  <si>
    <t>24.64亿</t>
  </si>
  <si>
    <t>650403710亿</t>
  </si>
  <si>
    <t>1084.60万</t>
  </si>
  <si>
    <t>11131433800亿</t>
  </si>
  <si>
    <t>7.59亿</t>
  </si>
  <si>
    <t>17.58亿</t>
  </si>
  <si>
    <t>12.66亿</t>
  </si>
  <si>
    <t>83.22亿</t>
  </si>
  <si>
    <t>78.93亿</t>
  </si>
  <si>
    <t>-1.54亿</t>
  </si>
  <si>
    <t>111.21亿</t>
  </si>
  <si>
    <t>2.67亿</t>
  </si>
  <si>
    <t>10派2.6元(含税)</t>
  </si>
  <si>
    <t>9662.00万</t>
  </si>
  <si>
    <t>615.70万</t>
  </si>
  <si>
    <t>24.63亿</t>
  </si>
  <si>
    <t>2.11亿</t>
  </si>
  <si>
    <t>75.22万</t>
  </si>
  <si>
    <t>1594.12万</t>
  </si>
  <si>
    <t>21935475亿</t>
  </si>
  <si>
    <t>2.90万</t>
  </si>
  <si>
    <t>45396616亿</t>
  </si>
  <si>
    <t>276389540亿</t>
  </si>
  <si>
    <t>9699.37万</t>
  </si>
  <si>
    <t>1620505400亿</t>
  </si>
  <si>
    <t>3.36亿</t>
  </si>
  <si>
    <t>-9939.40万</t>
  </si>
  <si>
    <t>-3002.82万</t>
  </si>
  <si>
    <t>2.92亿</t>
  </si>
  <si>
    <t>5866.44万</t>
  </si>
  <si>
    <t>2972.83万</t>
  </si>
  <si>
    <t>4.39亿</t>
  </si>
  <si>
    <t>2-1</t>
  </si>
  <si>
    <t>539.45万</t>
  </si>
  <si>
    <t>31.14亿</t>
  </si>
  <si>
    <t>35.03亿</t>
  </si>
  <si>
    <t>7.05亿</t>
  </si>
  <si>
    <t>32.26亿</t>
  </si>
  <si>
    <t>855.15万</t>
  </si>
  <si>
    <t>4205.00万</t>
  </si>
  <si>
    <t>4487273亿</t>
  </si>
  <si>
    <t>6.91万</t>
  </si>
  <si>
    <t>32511895亿</t>
  </si>
  <si>
    <t>6.08亿</t>
  </si>
  <si>
    <t>1461305400亿</t>
  </si>
  <si>
    <t>4484766900亿</t>
  </si>
  <si>
    <t>4058.19万</t>
  </si>
  <si>
    <t>10.73亿</t>
  </si>
  <si>
    <t>6.79亿</t>
  </si>
  <si>
    <t>114.52万</t>
  </si>
  <si>
    <t>29.25亿</t>
  </si>
  <si>
    <t>-603.35万</t>
  </si>
  <si>
    <t>-1599.48万</t>
  </si>
  <si>
    <t>-996.39万</t>
  </si>
  <si>
    <t>3514.77万</t>
  </si>
  <si>
    <t>2749.91万</t>
  </si>
  <si>
    <t>1.77亿</t>
  </si>
  <si>
    <t>3-1</t>
  </si>
  <si>
    <t>1390.96万</t>
  </si>
  <si>
    <t>20.54亿</t>
  </si>
  <si>
    <t>13.32亿</t>
  </si>
  <si>
    <t>4.30亿</t>
  </si>
  <si>
    <t>-7763.32万</t>
  </si>
  <si>
    <t>4.63亿</t>
  </si>
  <si>
    <t>3.77亿</t>
  </si>
  <si>
    <t>109.10万</t>
  </si>
  <si>
    <t>2854.19万</t>
  </si>
  <si>
    <t>-2181011亿</t>
  </si>
  <si>
    <t>2.52万</t>
  </si>
  <si>
    <t>-36559307亿</t>
  </si>
  <si>
    <t>296830060亿</t>
  </si>
  <si>
    <t>1377053300亿</t>
  </si>
  <si>
    <t>5.72亿</t>
  </si>
  <si>
    <t>18.01亿</t>
  </si>
  <si>
    <t>1733.99万</t>
  </si>
  <si>
    <t>-2279.91万</t>
  </si>
  <si>
    <t>1194.68万</t>
  </si>
  <si>
    <t>9905.94万</t>
  </si>
  <si>
    <t>983.89万</t>
  </si>
  <si>
    <t>8395.10万</t>
  </si>
  <si>
    <t>9.75亿</t>
  </si>
  <si>
    <t>822.35万</t>
  </si>
  <si>
    <t>54.59亿</t>
  </si>
  <si>
    <t>61.20亿</t>
  </si>
  <si>
    <t>18.64亿</t>
  </si>
  <si>
    <t>76.52亿</t>
  </si>
  <si>
    <t>3.06亿</t>
  </si>
  <si>
    <t>18.18亿</t>
  </si>
  <si>
    <t>16.42亿</t>
  </si>
  <si>
    <t>964.04万</t>
  </si>
  <si>
    <t>4283.32万</t>
  </si>
  <si>
    <t>-294923亿</t>
  </si>
  <si>
    <t>28.27万</t>
  </si>
  <si>
    <t>60493721亿</t>
  </si>
  <si>
    <t>4.61亿</t>
  </si>
  <si>
    <t>1541477900亿</t>
  </si>
  <si>
    <t>9186.12万</t>
  </si>
  <si>
    <t>4244720200亿</t>
  </si>
  <si>
    <t>16.95亿</t>
  </si>
  <si>
    <t>24.38亿</t>
  </si>
  <si>
    <t>1466.48万</t>
  </si>
  <si>
    <t>36.92亿</t>
  </si>
  <si>
    <t>18.84亿</t>
  </si>
  <si>
    <t>-7.25亿</t>
  </si>
  <si>
    <t>6.43亿</t>
  </si>
  <si>
    <t>16.94亿</t>
  </si>
  <si>
    <t>5062.38万</t>
  </si>
  <si>
    <t>10送4股派1.3元(含税)</t>
  </si>
  <si>
    <t>6484.76万</t>
  </si>
  <si>
    <t>1014.55万</t>
  </si>
  <si>
    <t>28.33亿</t>
  </si>
  <si>
    <t>20.69亿</t>
  </si>
  <si>
    <t>8.74亿</t>
  </si>
  <si>
    <t>34.00亿</t>
  </si>
  <si>
    <t>1.44亿</t>
  </si>
  <si>
    <t>8.26亿</t>
  </si>
  <si>
    <t>1485.95万</t>
  </si>
  <si>
    <t>3728.14万</t>
  </si>
  <si>
    <t>1162288亿</t>
  </si>
  <si>
    <t>17.09万</t>
  </si>
  <si>
    <t>24124512亿</t>
  </si>
  <si>
    <t>4.11亿</t>
  </si>
  <si>
    <t>669567390亿</t>
  </si>
  <si>
    <t>490.76万</t>
  </si>
  <si>
    <t>2643120800亿</t>
  </si>
  <si>
    <t>7852.93万</t>
  </si>
  <si>
    <t>2.17亿</t>
  </si>
  <si>
    <t>19.41亿</t>
  </si>
  <si>
    <t>-1.76亿</t>
  </si>
  <si>
    <t>-7852.72万</t>
  </si>
  <si>
    <t>8709.35万</t>
  </si>
  <si>
    <t>8.23亿</t>
  </si>
  <si>
    <t>3507.09万</t>
  </si>
  <si>
    <t>10派0.6元(含税)</t>
  </si>
  <si>
    <t>4860.05万</t>
  </si>
  <si>
    <t>5339.42万</t>
  </si>
  <si>
    <t>10.80亿</t>
  </si>
  <si>
    <t>14.89亿</t>
  </si>
  <si>
    <t>1.31亿</t>
  </si>
  <si>
    <t>6.72亿</t>
  </si>
  <si>
    <t>697.45万</t>
  </si>
  <si>
    <t>1.12亿</t>
  </si>
  <si>
    <t>250.68万</t>
  </si>
  <si>
    <t>2155.14万</t>
  </si>
  <si>
    <t>-15033041亿</t>
  </si>
  <si>
    <t>214257950亿</t>
  </si>
  <si>
    <t>2794.09万</t>
  </si>
  <si>
    <t>1027816820亿</t>
  </si>
  <si>
    <t>6194.16万</t>
  </si>
  <si>
    <t>4.46亿</t>
  </si>
  <si>
    <t>5553.95万</t>
  </si>
  <si>
    <t>9562.98万</t>
  </si>
  <si>
    <t>47.92万</t>
  </si>
  <si>
    <t>7.28亿</t>
  </si>
  <si>
    <t>-5956.91万</t>
  </si>
  <si>
    <t>-709.67万</t>
  </si>
  <si>
    <t>-6238.58万</t>
  </si>
  <si>
    <t>-948.35万</t>
  </si>
  <si>
    <t>10派0.20元(含税)</t>
  </si>
  <si>
    <t>2806.40万</t>
  </si>
  <si>
    <t>16.73亿</t>
  </si>
  <si>
    <t>-707.54万</t>
  </si>
  <si>
    <t>516.51万</t>
  </si>
  <si>
    <t>1696.87万</t>
  </si>
  <si>
    <t>-2485亿</t>
  </si>
  <si>
    <t>-3077326亿</t>
  </si>
  <si>
    <t>2772.91万</t>
  </si>
  <si>
    <t>143576890亿</t>
  </si>
  <si>
    <t>21.13万</t>
  </si>
  <si>
    <t>585148940亿</t>
  </si>
  <si>
    <t>1.32亿</t>
  </si>
  <si>
    <t>2750.00万</t>
  </si>
  <si>
    <t>687.91万</t>
  </si>
  <si>
    <t>1331.14万</t>
  </si>
  <si>
    <t>533.91万</t>
  </si>
  <si>
    <t>-1059.20万</t>
  </si>
  <si>
    <t>-649.90万</t>
  </si>
  <si>
    <t>-943.90万</t>
  </si>
  <si>
    <t>6.91亿</t>
  </si>
  <si>
    <t>账面净赚</t>
  </si>
  <si>
    <t>-4-1</t>
  </si>
  <si>
    <t>388.35万</t>
  </si>
  <si>
    <t>12.91亿</t>
  </si>
  <si>
    <t>8.04亿</t>
  </si>
  <si>
    <t>-1.29亿</t>
  </si>
  <si>
    <t>4.84亿</t>
  </si>
  <si>
    <t>4.43亿</t>
  </si>
  <si>
    <t>157.12万</t>
  </si>
  <si>
    <t>1195.03万</t>
  </si>
  <si>
    <t>-21319168亿</t>
  </si>
  <si>
    <t>301643380亿</t>
  </si>
  <si>
    <t>1283855580亿</t>
  </si>
  <si>
    <t>1129.77万</t>
  </si>
  <si>
    <t>1.94亿</t>
  </si>
  <si>
    <t>9166.83万</t>
  </si>
  <si>
    <t>9.20亿</t>
  </si>
  <si>
    <t>1.13亿</t>
  </si>
  <si>
    <t>538.86万</t>
  </si>
  <si>
    <t>-766.41万</t>
  </si>
  <si>
    <t>3026.03万</t>
  </si>
  <si>
    <t>3.88亿</t>
  </si>
  <si>
    <t>169.84万</t>
  </si>
  <si>
    <t>2548.81万</t>
  </si>
  <si>
    <t>2.53亿</t>
  </si>
  <si>
    <t>111.58万</t>
  </si>
  <si>
    <t>10.78亿</t>
  </si>
  <si>
    <t>62.74亿</t>
  </si>
  <si>
    <t>18.56亿</t>
  </si>
  <si>
    <t>9.36亿</t>
  </si>
  <si>
    <t>55.80万</t>
  </si>
  <si>
    <t>2203.45万</t>
  </si>
  <si>
    <t>11081261亿</t>
  </si>
  <si>
    <t>4.25万</t>
  </si>
  <si>
    <t>229979880亿</t>
  </si>
  <si>
    <t>26.07亿</t>
  </si>
  <si>
    <t>24050429亿</t>
  </si>
  <si>
    <t>3531953400亿</t>
  </si>
  <si>
    <t>6647.58万</t>
  </si>
  <si>
    <t>2.13亿</t>
  </si>
  <si>
    <t>9.38亿</t>
  </si>
  <si>
    <t>8294.56万</t>
  </si>
  <si>
    <t>-1.11亿</t>
  </si>
  <si>
    <t>508.81万</t>
  </si>
  <si>
    <t>3190.51万</t>
  </si>
  <si>
    <t>SZ300328</t>
  </si>
  <si>
    <t>宜安科技</t>
  </si>
  <si>
    <t>736.38万</t>
  </si>
  <si>
    <t>15.91亿</t>
  </si>
  <si>
    <t>12.27亿</t>
  </si>
  <si>
    <t>3.80亿</t>
  </si>
  <si>
    <t>17.07亿</t>
  </si>
  <si>
    <t>340.68万</t>
  </si>
  <si>
    <t>3.98亿</t>
  </si>
  <si>
    <t>1006.03万</t>
  </si>
  <si>
    <t>2292.56万</t>
  </si>
  <si>
    <t>-178199亿</t>
  </si>
  <si>
    <t>27.43万</t>
  </si>
  <si>
    <t>-8127017亿</t>
  </si>
  <si>
    <t>3.13亿</t>
  </si>
  <si>
    <t>437305600亿</t>
  </si>
  <si>
    <t>6156.28万</t>
  </si>
  <si>
    <t>1222119260亿</t>
  </si>
  <si>
    <t>7793.58万</t>
  </si>
  <si>
    <t>4.52亿</t>
  </si>
  <si>
    <t>11.58亿</t>
  </si>
  <si>
    <t>2.69亿</t>
  </si>
  <si>
    <t>5385.48万</t>
  </si>
  <si>
    <t>-1328.77万</t>
  </si>
  <si>
    <t>64.62万</t>
  </si>
  <si>
    <t>10.70亿</t>
  </si>
  <si>
    <t>328.79万</t>
  </si>
  <si>
    <t>-1.99亿</t>
  </si>
  <si>
    <t>1621.22万</t>
  </si>
  <si>
    <t>5420.29万</t>
  </si>
  <si>
    <t>3.82亿</t>
  </si>
  <si>
    <t>-47.41万</t>
  </si>
  <si>
    <t>5556.88万</t>
  </si>
  <si>
    <t>91.59万</t>
  </si>
  <si>
    <t>15.56亿</t>
  </si>
  <si>
    <t>1976.58万</t>
  </si>
  <si>
    <t>136.62万</t>
  </si>
  <si>
    <t>562.38万</t>
  </si>
  <si>
    <t>856798亿</t>
  </si>
  <si>
    <t>57.53万</t>
  </si>
  <si>
    <t>20463338亿</t>
  </si>
  <si>
    <t>1628.50万</t>
  </si>
  <si>
    <t>68345361亿</t>
  </si>
  <si>
    <t>754.40万</t>
  </si>
  <si>
    <t>1288031170亿</t>
  </si>
  <si>
    <t>2234.42万</t>
  </si>
  <si>
    <t>3.16亿</t>
  </si>
  <si>
    <t>827.03万</t>
  </si>
  <si>
    <t>-2954.56万</t>
  </si>
  <si>
    <t>-733.76万</t>
  </si>
  <si>
    <t>25.27亿</t>
  </si>
  <si>
    <t>-187.24万</t>
  </si>
  <si>
    <t>304.01万</t>
  </si>
  <si>
    <t>4437.51万</t>
  </si>
  <si>
    <t>1989.54万</t>
  </si>
  <si>
    <t>135.95亿</t>
  </si>
  <si>
    <t>270.50亿</t>
  </si>
  <si>
    <t>57.62亿</t>
  </si>
  <si>
    <t>1.54亿</t>
  </si>
  <si>
    <t>-2.13亿</t>
  </si>
  <si>
    <t>-398628亿</t>
  </si>
  <si>
    <t>333.69万</t>
  </si>
  <si>
    <t>3708255亿</t>
  </si>
  <si>
    <t>56.12亿</t>
  </si>
  <si>
    <t>3383637800亿</t>
  </si>
  <si>
    <t>30186379000亿</t>
  </si>
  <si>
    <t>16.38亿</t>
  </si>
  <si>
    <t>11.47亿</t>
  </si>
  <si>
    <t>-1.51亿</t>
  </si>
  <si>
    <t>-1.94亿</t>
  </si>
  <si>
    <t>8.64亿</t>
  </si>
  <si>
    <t>334.97亿</t>
  </si>
  <si>
    <t>3079.16万</t>
  </si>
  <si>
    <t>23.71亿</t>
  </si>
  <si>
    <t>-2611.61万</t>
  </si>
  <si>
    <t>10派0.7元(含税)</t>
  </si>
  <si>
    <t>1.58亿</t>
  </si>
  <si>
    <t>6.97亿</t>
  </si>
  <si>
    <t>277.57万</t>
  </si>
  <si>
    <t>37.18亿</t>
  </si>
  <si>
    <t>36.39亿</t>
  </si>
  <si>
    <t>17.53亿</t>
  </si>
  <si>
    <t>30.75亿</t>
  </si>
  <si>
    <t>37594775亿</t>
  </si>
  <si>
    <t>26.53万</t>
  </si>
  <si>
    <t>-304912980亿</t>
  </si>
  <si>
    <t>9.83亿</t>
  </si>
  <si>
    <t>164907420亿</t>
  </si>
  <si>
    <t>4589485800亿</t>
  </si>
  <si>
    <t>2.91亿</t>
  </si>
  <si>
    <t>-3.00亿</t>
  </si>
  <si>
    <t>-2937.40万</t>
  </si>
  <si>
    <t>4.26亿</t>
  </si>
  <si>
    <t>208.05亿</t>
  </si>
  <si>
    <t>5822.45万</t>
  </si>
  <si>
    <t>2239.32万</t>
  </si>
  <si>
    <t>8685.62万</t>
  </si>
  <si>
    <t>1091.03万</t>
  </si>
  <si>
    <t>4183.66万</t>
  </si>
  <si>
    <t>725.43亿</t>
  </si>
  <si>
    <t>21.25亿</t>
  </si>
  <si>
    <t>6836.48万</t>
  </si>
  <si>
    <t>4542.95万</t>
  </si>
  <si>
    <t>124.90万</t>
  </si>
  <si>
    <t>1577.88万</t>
  </si>
  <si>
    <t>-25920305亿</t>
  </si>
  <si>
    <t>7189.44万</t>
  </si>
  <si>
    <t>63128034亿</t>
  </si>
  <si>
    <t>597.66万</t>
  </si>
  <si>
    <t>298597270亿</t>
  </si>
  <si>
    <t>2000.00万</t>
  </si>
  <si>
    <t>101.96万</t>
  </si>
  <si>
    <t>3.21亿</t>
  </si>
  <si>
    <t>4.25亿</t>
  </si>
  <si>
    <t>-852.09万</t>
  </si>
  <si>
    <t>-223.07万</t>
  </si>
  <si>
    <t>4311.54万</t>
  </si>
  <si>
    <t>-3672.90万</t>
  </si>
  <si>
    <t>178.97亿</t>
  </si>
  <si>
    <t>-2.00亿</t>
  </si>
  <si>
    <t>3.76亿</t>
  </si>
  <si>
    <t>8246.90万</t>
  </si>
  <si>
    <t>1517.22万</t>
  </si>
  <si>
    <t>23.14亿</t>
  </si>
  <si>
    <t>43.31亿</t>
  </si>
  <si>
    <t>9.64亿</t>
  </si>
  <si>
    <t>5.07亿</t>
  </si>
  <si>
    <t>-1.96亿</t>
  </si>
  <si>
    <t>7.07亿</t>
  </si>
  <si>
    <t>218.39万</t>
  </si>
  <si>
    <t>5349.69万</t>
  </si>
  <si>
    <t>43.55万</t>
  </si>
  <si>
    <t>125445377亿</t>
  </si>
  <si>
    <t>73126492亿</t>
  </si>
  <si>
    <t>9.00万</t>
  </si>
  <si>
    <t>1577727000亿</t>
  </si>
  <si>
    <t>9.44亿</t>
  </si>
  <si>
    <t>7024.07万</t>
  </si>
  <si>
    <t>3.71亿</t>
  </si>
  <si>
    <t>587.68万</t>
  </si>
  <si>
    <t>17.49亿</t>
  </si>
  <si>
    <t>-2085.81万</t>
  </si>
  <si>
    <t>-1.70亿</t>
  </si>
  <si>
    <t>27.67亿</t>
  </si>
  <si>
    <t>29.24亿</t>
  </si>
  <si>
    <t>1.52亿</t>
  </si>
  <si>
    <t>3.14亿</t>
  </si>
  <si>
    <t>-499.65万</t>
  </si>
  <si>
    <t>6799.40万</t>
  </si>
  <si>
    <t>6.33亿</t>
  </si>
  <si>
    <t>1825.12万</t>
  </si>
  <si>
    <t>90.18亿</t>
  </si>
  <si>
    <t>28.86亿</t>
  </si>
  <si>
    <t>94.03亿</t>
  </si>
  <si>
    <t>29.65亿</t>
  </si>
  <si>
    <t>28.83亿</t>
  </si>
  <si>
    <t>625.20万</t>
  </si>
  <si>
    <t>5226.00万</t>
  </si>
  <si>
    <t>-12973402亿</t>
  </si>
  <si>
    <t>52.65万</t>
  </si>
  <si>
    <t>-219820070亿</t>
  </si>
  <si>
    <t>20.22亿</t>
  </si>
  <si>
    <t>1087217890亿</t>
  </si>
  <si>
    <t>8346.60万</t>
  </si>
  <si>
    <t>9170780500亿</t>
  </si>
  <si>
    <t>4.83亿</t>
  </si>
  <si>
    <t>29.74亿</t>
  </si>
  <si>
    <t>5.24亿</t>
  </si>
  <si>
    <t>49.78亿</t>
  </si>
  <si>
    <t>-4.03亿</t>
  </si>
  <si>
    <t>-2.89亿</t>
  </si>
  <si>
    <t>178.77亿</t>
  </si>
  <si>
    <t>28.63亿</t>
  </si>
  <si>
    <t>3.33亿</t>
  </si>
  <si>
    <t>3.50亿</t>
  </si>
  <si>
    <t>10派0.5元(含税)</t>
  </si>
  <si>
    <t>-2-1</t>
  </si>
  <si>
    <t>449.60万</t>
  </si>
  <si>
    <t>53.48亿</t>
  </si>
  <si>
    <t>72.99亿</t>
  </si>
  <si>
    <t>18.27亿</t>
  </si>
  <si>
    <t>175.38亿</t>
  </si>
  <si>
    <t>16.33亿</t>
  </si>
  <si>
    <t>15.04亿</t>
  </si>
  <si>
    <t>2098.86万</t>
  </si>
  <si>
    <t>5145.82万</t>
  </si>
  <si>
    <t>932565亿</t>
  </si>
  <si>
    <t>3.61万</t>
  </si>
  <si>
    <t>109969050亿</t>
  </si>
  <si>
    <t>3588676800亿</t>
  </si>
  <si>
    <t>7.21亿</t>
  </si>
  <si>
    <t>8947264100亿</t>
  </si>
  <si>
    <t>4.31亿</t>
  </si>
  <si>
    <t>3.70亿</t>
  </si>
  <si>
    <t>17.88亿</t>
  </si>
  <si>
    <t>2.75万</t>
  </si>
  <si>
    <t>40.59亿</t>
  </si>
  <si>
    <t>12.22亿</t>
  </si>
  <si>
    <t>-9179.16万</t>
  </si>
  <si>
    <t>71.00万</t>
  </si>
  <si>
    <t>69.27亿</t>
  </si>
  <si>
    <t>40.14亿</t>
  </si>
  <si>
    <t>1954.40万</t>
  </si>
  <si>
    <t>657.26万</t>
  </si>
  <si>
    <t>50.00亿</t>
  </si>
  <si>
    <t>69.99亿</t>
  </si>
  <si>
    <t>104.44亿</t>
  </si>
  <si>
    <t>93.40亿</t>
  </si>
  <si>
    <t>-3578.58万</t>
  </si>
  <si>
    <t>103.27亿</t>
  </si>
  <si>
    <t>101.47亿</t>
  </si>
  <si>
    <t>1625.23万</t>
  </si>
  <si>
    <t>8412.50万</t>
  </si>
  <si>
    <t>33628990亿</t>
  </si>
  <si>
    <t>35.37万</t>
  </si>
  <si>
    <t>148706160亿</t>
  </si>
  <si>
    <t>14.61亿</t>
  </si>
  <si>
    <t>2575131800亿</t>
  </si>
  <si>
    <t>11.07亿</t>
  </si>
  <si>
    <t>12280926800亿</t>
  </si>
  <si>
    <t>14.32亿</t>
  </si>
  <si>
    <t>2025.90万</t>
  </si>
  <si>
    <t>1934.94万</t>
  </si>
  <si>
    <t>23.11亿</t>
  </si>
  <si>
    <t>-13.55亿</t>
  </si>
  <si>
    <t>-3413.18万</t>
  </si>
  <si>
    <t>10.62亿</t>
  </si>
  <si>
    <t>450.86亿</t>
  </si>
  <si>
    <t>20.66亿</t>
  </si>
  <si>
    <t>4.68亿</t>
  </si>
  <si>
    <t>10派1.9006元(含税)</t>
  </si>
  <si>
    <t>3034.97万</t>
  </si>
  <si>
    <t>1044.51万</t>
  </si>
  <si>
    <t>202.01亿</t>
  </si>
  <si>
    <t>197.52亿</t>
  </si>
  <si>
    <t>82.70亿</t>
  </si>
  <si>
    <t>34.62亿</t>
  </si>
  <si>
    <t>76.76亿</t>
  </si>
  <si>
    <t>68.90亿</t>
  </si>
  <si>
    <t>7427.86万</t>
  </si>
  <si>
    <t>169653140亿</t>
  </si>
  <si>
    <t>88.29万</t>
  </si>
  <si>
    <t>300796230亿</t>
  </si>
  <si>
    <t>43.12亿</t>
  </si>
  <si>
    <t>5760539100亿</t>
  </si>
  <si>
    <t>20769405000亿</t>
  </si>
  <si>
    <t>31.38亿</t>
  </si>
  <si>
    <t>33.40亿</t>
  </si>
  <si>
    <t>15.85亿</t>
  </si>
  <si>
    <t>36.21亿</t>
  </si>
  <si>
    <t>124.86亿</t>
  </si>
  <si>
    <t>68.95亿</t>
  </si>
  <si>
    <t>-4.93亿</t>
  </si>
  <si>
    <t>13.57亿</t>
  </si>
  <si>
    <t>393.98亿</t>
  </si>
  <si>
    <t>5.83亿</t>
  </si>
  <si>
    <t>16.02亿</t>
  </si>
  <si>
    <t>564.74万</t>
  </si>
  <si>
    <t>5798.51万</t>
  </si>
  <si>
    <t>1415.46万</t>
  </si>
  <si>
    <t>20.50亿</t>
  </si>
  <si>
    <t>169.91亿</t>
  </si>
  <si>
    <t>28.67亿</t>
  </si>
  <si>
    <t>132.11亿</t>
  </si>
  <si>
    <t>49.30亿</t>
  </si>
  <si>
    <t>16.26亿</t>
  </si>
  <si>
    <t>733.13万</t>
  </si>
  <si>
    <t>16028127亿</t>
  </si>
  <si>
    <t>2.98万</t>
  </si>
  <si>
    <t>630002300亿</t>
  </si>
  <si>
    <t>42.00亿</t>
  </si>
  <si>
    <t>666847540亿</t>
  </si>
  <si>
    <t>98.12万</t>
  </si>
  <si>
    <t>9220022600亿</t>
  </si>
  <si>
    <t>183.80万</t>
  </si>
  <si>
    <t>13.55亿</t>
  </si>
  <si>
    <t>5483.84万</t>
  </si>
  <si>
    <t>-1.30万</t>
  </si>
  <si>
    <t>115.31亿</t>
  </si>
  <si>
    <t>32.34亿</t>
  </si>
  <si>
    <t>30.99亿</t>
  </si>
  <si>
    <t>14.82亿</t>
  </si>
  <si>
    <t>钼</t>
  </si>
  <si>
    <t>8303.77万</t>
  </si>
  <si>
    <t>719.53万</t>
  </si>
  <si>
    <t>6.75亿</t>
  </si>
  <si>
    <t>13.68亿</t>
  </si>
  <si>
    <t>2.56亿</t>
  </si>
  <si>
    <t>15.63亿</t>
  </si>
  <si>
    <t>-2.20亿</t>
  </si>
  <si>
    <t>1.92亿</t>
  </si>
  <si>
    <t>280.82万</t>
  </si>
  <si>
    <t>1695.07万</t>
  </si>
  <si>
    <t>-3525684亿</t>
  </si>
  <si>
    <t>14083025亿</t>
  </si>
  <si>
    <t>192581030亿</t>
  </si>
  <si>
    <t>1.97亿</t>
  </si>
  <si>
    <t>906222630亿</t>
  </si>
  <si>
    <t>3.55亿</t>
  </si>
  <si>
    <t>6.89亿</t>
  </si>
  <si>
    <t>3105.87万</t>
  </si>
  <si>
    <t>1490.73万</t>
  </si>
  <si>
    <t>-3186.26万</t>
  </si>
  <si>
    <t>4328.90万</t>
  </si>
  <si>
    <t>3.53亿</t>
  </si>
  <si>
    <t>7923.31万</t>
  </si>
  <si>
    <t>-2370.11万</t>
  </si>
  <si>
    <t>10派0.75元(含税)</t>
  </si>
  <si>
    <t>4483.20万</t>
  </si>
  <si>
    <t>1.72亿</t>
  </si>
  <si>
    <t>1010.12亿</t>
  </si>
  <si>
    <t>746.81亿</t>
  </si>
  <si>
    <t>461.21亿</t>
  </si>
  <si>
    <t>398.74亿</t>
  </si>
  <si>
    <t>4.53亿</t>
  </si>
  <si>
    <t>427.03亿</t>
  </si>
  <si>
    <t>402.22亿</t>
  </si>
  <si>
    <t>2031.06万</t>
  </si>
  <si>
    <t>7.49亿</t>
  </si>
  <si>
    <t>59903611亿</t>
  </si>
  <si>
    <t>1659.91万</t>
  </si>
  <si>
    <t>2091340900亿</t>
  </si>
  <si>
    <t>311.42亿</t>
  </si>
  <si>
    <t>1279175010亿</t>
  </si>
  <si>
    <t>87970213000亿</t>
  </si>
  <si>
    <t>81.68亿</t>
  </si>
  <si>
    <t>238.83亿</t>
  </si>
  <si>
    <t>8.65亿</t>
  </si>
  <si>
    <t>34.88亿</t>
  </si>
  <si>
    <t>535.56亿</t>
  </si>
  <si>
    <t>180.16亿</t>
  </si>
  <si>
    <t>54.78亿</t>
  </si>
  <si>
    <t>-29.54亿</t>
  </si>
  <si>
    <t>-21.50亿</t>
  </si>
  <si>
    <t>1862.69亿</t>
  </si>
  <si>
    <t>74.87亿</t>
  </si>
  <si>
    <t>82.50亿</t>
  </si>
  <si>
    <t>9388.12万</t>
  </si>
  <si>
    <t>10派1.5425元(含税)</t>
  </si>
  <si>
    <t>6.83亿</t>
  </si>
  <si>
    <t>45.60亿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</si>
</sst>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9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6" fillId="0" borderId="0" xfId="0" applyFont="1">
      <alignment vertical="center"/>
    </xf>
    <xf numFmtId="0" fontId="5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6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171450</xdr:colOff>
          <xdr:row>0</xdr:row>
          <xdr:rowOff>133350</xdr:rowOff>
        </xdr:from>
        <xdr:to>
          <xdr:col>147</xdr:col>
          <xdr:colOff>1612900</xdr:colOff>
          <xdr:row>0</xdr:row>
          <xdr:rowOff>444500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26"/>
  <sheetViews>
    <sheetView tabSelected="1" zoomScaleNormal="100" workbookViewId="0">
      <pane xSplit="5" ySplit="1" topLeftCell="F11" activePane="bottomRight" state="frozen"/>
      <selection pane="topRight" activeCell="F1" sqref="F1"/>
      <selection pane="bottomLeft" activeCell="A2" sqref="A2"/>
      <selection pane="bottomRight" activeCell="C15" sqref="C15"/>
    </sheetView>
  </sheetViews>
  <sheetFormatPr defaultRowHeight="14"/>
  <cols>
    <col min="1" max="1" width="36.1796875" customWidth="1"/>
    <col min="2" max="2" width="35.54296875" customWidth="1"/>
    <col min="3" max="3" width="43.36328125" customWidth="1"/>
    <col min="9" max="9" width="15.6328125" customWidth="1"/>
    <col min="148" max="148" width="24.6328125" customWidth="1"/>
  </cols>
  <sheetData>
    <row r="1" spans="1:146" ht="43" customHeight="1">
      <c r="A1" s="3" t="s">
        <v>10</v>
      </c>
      <c r="B1" s="4" t="s">
        <v>11</v>
      </c>
      <c r="C1" s="3" t="s">
        <v>12</v>
      </c>
      <c r="D1" t="s">
        <v>6</v>
      </c>
      <c r="E1" t="s">
        <v>288</v>
      </c>
      <c r="F1" t="s">
        <v>3</v>
      </c>
      <c r="G1" t="s">
        <v>322</v>
      </c>
      <c r="H1" t="s">
        <v>323</v>
      </c>
      <c r="I1" t="s">
        <v>7</v>
      </c>
      <c r="J1" t="s">
        <v>8</v>
      </c>
      <c r="K1" t="s">
        <v>4</v>
      </c>
      <c r="L1" t="s">
        <v>9</v>
      </c>
      <c r="M1" t="s">
        <v>13</v>
      </c>
      <c r="N1" t="s">
        <v>14</v>
      </c>
      <c r="O1" t="s">
        <v>15</v>
      </c>
      <c r="P1" t="s">
        <v>324</v>
      </c>
      <c r="Q1" t="s">
        <v>297</v>
      </c>
      <c r="R1" t="s">
        <v>289</v>
      </c>
      <c r="S1" t="s">
        <v>16</v>
      </c>
      <c r="T1" t="s">
        <v>325</v>
      </c>
      <c r="U1" t="s">
        <v>238</v>
      </c>
      <c r="V1" t="s">
        <v>17</v>
      </c>
      <c r="W1" t="s">
        <v>298</v>
      </c>
      <c r="X1" t="s">
        <v>299</v>
      </c>
      <c r="Y1" t="s">
        <v>300</v>
      </c>
      <c r="Z1" t="s">
        <v>301</v>
      </c>
      <c r="AA1" t="s">
        <v>302</v>
      </c>
      <c r="AB1" t="s">
        <v>326</v>
      </c>
      <c r="AC1" t="s">
        <v>303</v>
      </c>
      <c r="AD1" t="s">
        <v>304</v>
      </c>
      <c r="AE1" t="s">
        <v>18</v>
      </c>
      <c r="AF1" t="s">
        <v>19</v>
      </c>
      <c r="AG1" t="s">
        <v>327</v>
      </c>
      <c r="AH1" t="s">
        <v>290</v>
      </c>
      <c r="AI1" t="s">
        <v>328</v>
      </c>
      <c r="AJ1" t="s">
        <v>20</v>
      </c>
      <c r="AK1" t="s">
        <v>329</v>
      </c>
      <c r="AL1" t="s">
        <v>25</v>
      </c>
      <c r="AM1" t="s">
        <v>330</v>
      </c>
      <c r="AN1" t="s">
        <v>331</v>
      </c>
      <c r="AO1" t="s">
        <v>332</v>
      </c>
      <c r="AP1" t="s">
        <v>333</v>
      </c>
      <c r="AQ1" t="s">
        <v>334</v>
      </c>
      <c r="AR1" t="s">
        <v>335</v>
      </c>
      <c r="AS1" t="s">
        <v>336</v>
      </c>
      <c r="AT1" t="s">
        <v>337</v>
      </c>
      <c r="AU1" t="s">
        <v>338</v>
      </c>
      <c r="AV1" t="s">
        <v>339</v>
      </c>
      <c r="AW1" t="s">
        <v>340</v>
      </c>
      <c r="AX1" t="s">
        <v>291</v>
      </c>
      <c r="AY1" t="s">
        <v>26</v>
      </c>
      <c r="AZ1" t="s">
        <v>27</v>
      </c>
      <c r="BA1" t="s">
        <v>28</v>
      </c>
      <c r="BB1" t="s">
        <v>29</v>
      </c>
      <c r="BC1" t="s">
        <v>249</v>
      </c>
      <c r="BD1" t="s">
        <v>30</v>
      </c>
      <c r="BE1" t="s">
        <v>31</v>
      </c>
      <c r="BF1" t="s">
        <v>32</v>
      </c>
      <c r="BG1" t="s">
        <v>33</v>
      </c>
      <c r="BH1" t="s">
        <v>341</v>
      </c>
      <c r="BI1" t="s">
        <v>342</v>
      </c>
      <c r="BJ1" t="s">
        <v>343</v>
      </c>
      <c r="BK1" t="s">
        <v>344</v>
      </c>
      <c r="BL1" t="s">
        <v>345</v>
      </c>
      <c r="BM1" t="s">
        <v>346</v>
      </c>
      <c r="BN1" t="s">
        <v>292</v>
      </c>
      <c r="BO1" t="s">
        <v>239</v>
      </c>
      <c r="BP1" t="s">
        <v>34</v>
      </c>
      <c r="BQ1" t="s">
        <v>293</v>
      </c>
      <c r="BR1" t="s">
        <v>240</v>
      </c>
      <c r="BS1" t="s">
        <v>35</v>
      </c>
      <c r="BT1" t="s">
        <v>347</v>
      </c>
      <c r="BU1" t="s">
        <v>305</v>
      </c>
      <c r="BV1" t="s">
        <v>348</v>
      </c>
      <c r="BW1" t="s">
        <v>56</v>
      </c>
      <c r="BX1" t="s">
        <v>36</v>
      </c>
      <c r="BY1" t="s">
        <v>349</v>
      </c>
      <c r="BZ1" t="s">
        <v>57</v>
      </c>
      <c r="CA1" t="s">
        <v>37</v>
      </c>
      <c r="CB1" t="s">
        <v>350</v>
      </c>
      <c r="CC1" t="s">
        <v>351</v>
      </c>
      <c r="CD1" t="s">
        <v>352</v>
      </c>
      <c r="CE1" t="s">
        <v>353</v>
      </c>
      <c r="CF1" s="1" t="s">
        <v>41</v>
      </c>
      <c r="CG1" s="1" t="s">
        <v>42</v>
      </c>
      <c r="CH1" s="1" t="s">
        <v>43</v>
      </c>
      <c r="CI1" s="1" t="s">
        <v>44</v>
      </c>
      <c r="CJ1" s="1" t="s">
        <v>45</v>
      </c>
      <c r="CK1" s="1" t="s">
        <v>46</v>
      </c>
      <c r="CL1" s="1" t="s">
        <v>47</v>
      </c>
      <c r="CM1" s="1" t="s">
        <v>48</v>
      </c>
      <c r="CN1" s="1" t="s">
        <v>49</v>
      </c>
      <c r="CO1" s="1" t="s">
        <v>50</v>
      </c>
      <c r="CP1" s="1" t="s">
        <v>51</v>
      </c>
      <c r="CQ1" s="1" t="s">
        <v>52</v>
      </c>
      <c r="CR1" s="1" t="s">
        <v>354</v>
      </c>
      <c r="CS1" s="1" t="s">
        <v>355</v>
      </c>
      <c r="CT1" s="1" t="s">
        <v>356</v>
      </c>
      <c r="CU1" s="1" t="s">
        <v>374</v>
      </c>
      <c r="CV1" s="1" t="s">
        <v>375</v>
      </c>
      <c r="CW1" s="1" t="s">
        <v>357</v>
      </c>
      <c r="CX1">
        <v>1</v>
      </c>
      <c r="CY1" t="s">
        <v>358</v>
      </c>
      <c r="CZ1" t="s">
        <v>376</v>
      </c>
      <c r="DA1">
        <v>3</v>
      </c>
      <c r="DB1" t="s">
        <v>359</v>
      </c>
      <c r="DC1" t="s">
        <v>377</v>
      </c>
      <c r="DD1">
        <v>6</v>
      </c>
      <c r="DE1" t="s">
        <v>360</v>
      </c>
      <c r="DF1" t="s">
        <v>361</v>
      </c>
      <c r="DG1">
        <v>10</v>
      </c>
      <c r="DH1" t="s">
        <v>362</v>
      </c>
      <c r="DI1" t="s">
        <v>378</v>
      </c>
      <c r="DJ1">
        <v>20</v>
      </c>
      <c r="DK1" t="s">
        <v>379</v>
      </c>
      <c r="DL1" t="s">
        <v>53</v>
      </c>
      <c r="DM1" t="s">
        <v>54</v>
      </c>
      <c r="DN1" s="2" t="s">
        <v>55</v>
      </c>
      <c r="DO1" t="s">
        <v>380</v>
      </c>
      <c r="DP1" t="s">
        <v>381</v>
      </c>
      <c r="DQ1" s="12" t="s">
        <v>363</v>
      </c>
      <c r="DR1" s="1" t="s">
        <v>382</v>
      </c>
      <c r="DS1" s="1" t="s">
        <v>364</v>
      </c>
      <c r="DT1" t="s">
        <v>383</v>
      </c>
      <c r="DU1" t="s">
        <v>384</v>
      </c>
      <c r="DV1" t="s">
        <v>365</v>
      </c>
      <c r="DW1" t="s">
        <v>385</v>
      </c>
      <c r="DX1" t="s">
        <v>386</v>
      </c>
      <c r="DY1" t="s">
        <v>387</v>
      </c>
      <c r="DZ1" t="s">
        <v>388</v>
      </c>
      <c r="EA1" t="s">
        <v>389</v>
      </c>
      <c r="EB1" t="s">
        <v>390</v>
      </c>
      <c r="EC1" t="s">
        <v>366</v>
      </c>
      <c r="ED1" t="s">
        <v>367</v>
      </c>
      <c r="EE1" t="s">
        <v>368</v>
      </c>
      <c r="EF1" t="s">
        <v>391</v>
      </c>
      <c r="EG1" t="s">
        <v>369</v>
      </c>
      <c r="EH1" t="s">
        <v>392</v>
      </c>
      <c r="EI1" t="s">
        <v>393</v>
      </c>
      <c r="EK1" s="13" t="s">
        <v>370</v>
      </c>
      <c r="EL1" t="s">
        <v>394</v>
      </c>
      <c r="EM1" t="s">
        <v>395</v>
      </c>
      <c r="EN1" t="s">
        <v>371</v>
      </c>
      <c r="EO1" t="s">
        <v>372</v>
      </c>
      <c r="EP1" t="s">
        <v>373</v>
      </c>
    </row>
    <row r="2" spans="1:146" ht="168">
      <c r="A2" s="6"/>
      <c r="B2" s="6"/>
      <c r="C2" s="6" t="str">
        <f>"公司所从事的主要业务包括硬质合金和钨、钼、钽、铌等有色金属及其深加工产品和装备的研制、开发、生产、销售及贸易业务等。"&amp;CHAR(10)&amp;Basic_Fundamental_Information_Constructure(F2)&amp;CHAR(10)&amp;Basic_Fundamental_Information_Concatenate("其他硬质合金 18.46亿 27.20% 22.57% 14.00%
切削刀具及工具 16.39亿 24.15% 50.21% 35.07%
粉末制品 11.49亿 16.92% 9.30% 9.27%
贸易及装备 10.13亿 14.92% 2.29% 2.58%
难熔金属 9.15亿 13.48% 10.91% 13.65%")</f>
        <v>公司所从事的主要业务包括硬质合金和钨、钼、钽、铌等有色金属及其深加工产品和装备的研制、开发、生产、销售及贸易业务等。
市值128.279311亿, 利润4.85亿; PE28.59; 平均PE37.93; 平均PEG3.97, PB2.19; ROIC7.4667%; ROE9.17%; 股利率1.4161%; 毛利17.9267%; 净利4.98%; 上一年度营收增-2.63%, 利润增-9.35%; 当季营收增-2.94%, 利润增-35.97%; 过往5年营收增9.56%, 利润增40.06%
Income profile:
其他硬质合金 18.46亿 27.20% 22.57% 14.00%
切削刀具及工具 16.39亿 24.15% 50.21% 35.07%
粉末制品 11.49亿 16.92% 9.30% 9.27%
贸易及装备 10.13亿 14.92% 2.29% 2.58%
难熔金属 9.15亿 13.48% 10.91% 13.65%</v>
      </c>
      <c r="D2" t="s">
        <v>64</v>
      </c>
      <c r="E2" t="s">
        <v>65</v>
      </c>
      <c r="F2">
        <v>9.18</v>
      </c>
      <c r="G2">
        <v>3.38</v>
      </c>
      <c r="H2" t="s">
        <v>531</v>
      </c>
      <c r="I2">
        <v>12827931100</v>
      </c>
      <c r="J2">
        <v>28.59</v>
      </c>
      <c r="K2">
        <v>2.19</v>
      </c>
      <c r="L2" t="s">
        <v>66</v>
      </c>
      <c r="M2" t="s">
        <v>532</v>
      </c>
      <c r="N2" t="s">
        <v>533</v>
      </c>
      <c r="O2" t="s">
        <v>534</v>
      </c>
      <c r="P2">
        <v>-2.95</v>
      </c>
      <c r="Q2" t="s">
        <v>535</v>
      </c>
      <c r="R2">
        <v>63853251</v>
      </c>
      <c r="S2" s="5">
        <v>-0.35970000000000002</v>
      </c>
      <c r="T2" t="s">
        <v>536</v>
      </c>
      <c r="U2">
        <v>1239790680</v>
      </c>
      <c r="V2">
        <v>1397378100</v>
      </c>
      <c r="W2">
        <v>2</v>
      </c>
      <c r="X2">
        <v>0.23</v>
      </c>
      <c r="Y2">
        <v>2.71</v>
      </c>
      <c r="Z2" t="s">
        <v>537</v>
      </c>
      <c r="AA2" t="s">
        <v>538</v>
      </c>
      <c r="AB2" t="s">
        <v>539</v>
      </c>
      <c r="AC2" t="s">
        <v>489</v>
      </c>
      <c r="AD2" t="s">
        <v>5</v>
      </c>
      <c r="AE2">
        <v>21701368</v>
      </c>
      <c r="AF2" t="s">
        <v>540</v>
      </c>
      <c r="AG2" t="s">
        <v>541</v>
      </c>
      <c r="AH2" t="s">
        <v>542</v>
      </c>
      <c r="AI2" t="s">
        <v>543</v>
      </c>
      <c r="AJ2" t="s">
        <v>544</v>
      </c>
      <c r="AK2" t="s">
        <v>545</v>
      </c>
      <c r="AL2" t="s">
        <v>546</v>
      </c>
      <c r="AM2" t="s">
        <v>5</v>
      </c>
      <c r="AN2" t="s">
        <v>547</v>
      </c>
      <c r="AO2" t="s">
        <v>548</v>
      </c>
      <c r="AP2" t="s">
        <v>549</v>
      </c>
      <c r="AQ2" t="s">
        <v>550</v>
      </c>
      <c r="AR2" t="s">
        <v>5</v>
      </c>
      <c r="AS2" t="s">
        <v>551</v>
      </c>
      <c r="AT2" t="s">
        <v>552</v>
      </c>
      <c r="AU2" t="s">
        <v>553</v>
      </c>
      <c r="AV2" t="s">
        <v>554</v>
      </c>
      <c r="AW2" t="s">
        <v>555</v>
      </c>
      <c r="AX2" t="s">
        <v>434</v>
      </c>
      <c r="AY2" t="s">
        <v>250</v>
      </c>
      <c r="AZ2" t="s">
        <v>67</v>
      </c>
      <c r="BA2" t="s">
        <v>70</v>
      </c>
      <c r="BB2" t="s">
        <v>71</v>
      </c>
      <c r="BC2" t="s">
        <v>435</v>
      </c>
      <c r="BD2" t="s">
        <v>236</v>
      </c>
      <c r="BE2" t="s">
        <v>68</v>
      </c>
      <c r="BF2" t="s">
        <v>72</v>
      </c>
      <c r="BG2" t="s">
        <v>24</v>
      </c>
      <c r="BH2" t="s">
        <v>535</v>
      </c>
      <c r="BI2" t="s">
        <v>556</v>
      </c>
      <c r="BJ2" t="s">
        <v>434</v>
      </c>
      <c r="BK2" t="s">
        <v>536</v>
      </c>
      <c r="BL2" t="s">
        <v>557</v>
      </c>
      <c r="BM2" t="s">
        <v>435</v>
      </c>
      <c r="BN2">
        <v>4.4800000000000004</v>
      </c>
      <c r="BO2">
        <v>8.8000000000000007</v>
      </c>
      <c r="BP2">
        <v>9.1199999999999992</v>
      </c>
      <c r="BQ2">
        <v>5.66</v>
      </c>
      <c r="BR2">
        <v>10.38</v>
      </c>
      <c r="BS2">
        <v>11.47</v>
      </c>
      <c r="BT2" t="s">
        <v>558</v>
      </c>
      <c r="BU2" t="s">
        <v>559</v>
      </c>
      <c r="BV2">
        <v>16.87</v>
      </c>
      <c r="BW2">
        <v>17.53</v>
      </c>
      <c r="BX2">
        <v>19.38</v>
      </c>
      <c r="BY2">
        <v>4.6100000000000003</v>
      </c>
      <c r="BZ2">
        <v>5.05</v>
      </c>
      <c r="CA2">
        <v>5.28</v>
      </c>
      <c r="CB2">
        <v>0.44</v>
      </c>
      <c r="CC2">
        <v>-16.32</v>
      </c>
      <c r="CD2" t="s">
        <v>560</v>
      </c>
      <c r="CE2" t="s">
        <v>478</v>
      </c>
      <c r="CF2" s="7">
        <v>-2.9440628066732092E-2</v>
      </c>
      <c r="CG2" s="8">
        <v>-0.3597387847187406</v>
      </c>
      <c r="CH2" s="7">
        <v>-2.6299731805920601E-2</v>
      </c>
      <c r="CI2" s="7">
        <v>8.1528060138225555E-2</v>
      </c>
      <c r="CJ2" s="7">
        <v>0.21927620470523834</v>
      </c>
      <c r="CK2" s="7">
        <v>0.12549641728401184</v>
      </c>
      <c r="CL2" s="7">
        <v>7.7779106795787811E-2</v>
      </c>
      <c r="CM2" s="8">
        <v>-9.3457944691181183E-2</v>
      </c>
      <c r="CN2" s="8">
        <v>1.3257576152682304E-2</v>
      </c>
      <c r="CO2" s="8">
        <v>1.389140248298645</v>
      </c>
      <c r="CP2" s="8">
        <v>0.78225809335708618</v>
      </c>
      <c r="CQ2" s="8">
        <v>-8.8235296308994293E-2</v>
      </c>
      <c r="CR2">
        <v>37.933753868900936</v>
      </c>
      <c r="CS2">
        <v>3.9697925126649221</v>
      </c>
      <c r="CT2">
        <v>1.4161220043572986</v>
      </c>
      <c r="CU2" s="7">
        <v>9.555601142346859E-2</v>
      </c>
      <c r="CV2" s="8">
        <v>0.40059253536164763</v>
      </c>
      <c r="CW2">
        <v>0.06</v>
      </c>
      <c r="CX2">
        <v>25.353537618184983</v>
      </c>
      <c r="CY2">
        <v>501268552.39658701</v>
      </c>
      <c r="CZ2">
        <v>9.555601142346859E-2</v>
      </c>
      <c r="DA2">
        <v>8.2464354614760325</v>
      </c>
      <c r="DB2">
        <v>1541142371.0730436</v>
      </c>
      <c r="DC2">
        <v>9.0778210852295149E-2</v>
      </c>
      <c r="DD2">
        <v>4.0340298716355605</v>
      </c>
      <c r="DE2">
        <v>3150430587.8744721</v>
      </c>
      <c r="DF2">
        <v>8.4089290052652366E-2</v>
      </c>
      <c r="DG2">
        <v>2.4053059576408162</v>
      </c>
      <c r="DH2">
        <v>5283706656.7885752</v>
      </c>
      <c r="DI2">
        <v>7.6444809138774883E-2</v>
      </c>
      <c r="DJ2">
        <v>1.2231874770623667</v>
      </c>
      <c r="DK2">
        <v>10390010802.368612</v>
      </c>
      <c r="DL2">
        <v>6.6889207996428002E-2</v>
      </c>
      <c r="DM2">
        <v>484999999.99999994</v>
      </c>
      <c r="DN2">
        <v>9.555601142346859E-2</v>
      </c>
      <c r="DO2">
        <v>12708931100</v>
      </c>
      <c r="DP2">
        <v>3624718700</v>
      </c>
      <c r="DQ2">
        <v>201</v>
      </c>
      <c r="DR2">
        <v>-0.12499663949020068</v>
      </c>
      <c r="DS2">
        <v>-0.76033132008038828</v>
      </c>
      <c r="DT2" s="9">
        <v>-0.3066666666666667</v>
      </c>
      <c r="DU2">
        <v>0.27999999999999997</v>
      </c>
      <c r="DV2">
        <v>-2.6666666666666727E-2</v>
      </c>
      <c r="DW2">
        <v>-3.0036190476190474</v>
      </c>
      <c r="DX2">
        <v>0.51676746153846354</v>
      </c>
      <c r="DY2">
        <v>-3.0004587774798535</v>
      </c>
      <c r="DZ2">
        <v>1777</v>
      </c>
      <c r="EA2">
        <v>-3.0002992378356854</v>
      </c>
      <c r="EB2">
        <v>3</v>
      </c>
      <c r="EC2">
        <v>5.6608086243801876E-2</v>
      </c>
      <c r="ED2">
        <v>0.44655057925982955</v>
      </c>
      <c r="EE2" s="10">
        <v>-1.00661</v>
      </c>
      <c r="EF2">
        <v>-1.0520100000000001</v>
      </c>
      <c r="EG2">
        <v>39.126767461538464</v>
      </c>
      <c r="EH2" t="s">
        <v>519</v>
      </c>
      <c r="EI2">
        <v>0</v>
      </c>
      <c r="EJ2">
        <v>0</v>
      </c>
      <c r="EK2" s="13">
        <v>45470</v>
      </c>
      <c r="EL2" s="14">
        <v>1.42</v>
      </c>
      <c r="EM2" s="14">
        <v>-5.21</v>
      </c>
      <c r="EN2" s="14">
        <v>-0.84</v>
      </c>
      <c r="EO2" s="14">
        <v>0.96</v>
      </c>
      <c r="EP2" s="14">
        <v>-4.54</v>
      </c>
    </row>
    <row r="3" spans="1:146" ht="132">
      <c r="A3" s="6"/>
      <c r="B3" s="6"/>
      <c r="C3" s="6" t="str">
        <f>"国内最大的南方离子型稀土分离加工企业之一，要从事稀土氧化物等产品的生产运营，以及稀土技术研发、咨询服务。公司主导产品包括高纯的单一稀土氧化物及稀土共沉物产品"&amp;CHAR(10)&amp;Basic_Fundamental_Information_Constructure(F3)&amp;CHAR(10)&amp;Basic_Fundamental_Information_Concatenate("稀土氧化物 19.02亿 86.42% 96.78% 23.81%
稀土金属及合金 2.90亿 13.20% 3.22% 5.19%")</f>
        <v>国内最大的南方离子型稀土分离加工企业之一，要从事稀土氧化物等产品的生产运营，以及稀土技术研发、咨询服务。公司主导产品包括高纯的单一稀土氧化物及稀土共沉物产品
市值256.81544亿, 利润4.18亿; PE1288; 平均PE83.34; 平均PEG2.14, PB5.62; ROIC7.18%; ROE8.8833%; 股利率.3306%; 毛利17.3633%; 净利9.7333%; 上一年度营收增-5.41%, 利润增-45.64%; 当季营收增-81.92%, 利润增-364.92%; 过往5年营收增38.91%, 利润增85.53%
Income profile:
稀土氧化物 19.02亿 86.42% 96.78% 23.81%
稀土金属及合金 2.90亿 13.20% 3.22% 5.19%</v>
      </c>
      <c r="D3" t="s">
        <v>73</v>
      </c>
      <c r="E3" t="s">
        <v>400</v>
      </c>
      <c r="F3">
        <v>24.2</v>
      </c>
      <c r="G3">
        <v>1.42</v>
      </c>
      <c r="H3" t="s">
        <v>561</v>
      </c>
      <c r="I3">
        <v>25681544000</v>
      </c>
      <c r="J3">
        <v>1288</v>
      </c>
      <c r="K3">
        <v>5.62</v>
      </c>
      <c r="L3" t="s">
        <v>66</v>
      </c>
      <c r="M3" t="s">
        <v>562</v>
      </c>
      <c r="N3" t="s">
        <v>563</v>
      </c>
      <c r="O3" t="s">
        <v>316</v>
      </c>
      <c r="P3">
        <v>-81.94</v>
      </c>
      <c r="Q3" t="s">
        <v>564</v>
      </c>
      <c r="R3">
        <v>-288760340</v>
      </c>
      <c r="S3" s="5">
        <v>-3.65</v>
      </c>
      <c r="T3" t="s">
        <v>138</v>
      </c>
      <c r="U3">
        <v>1061220810</v>
      </c>
      <c r="V3">
        <v>1061220810</v>
      </c>
      <c r="W3">
        <v>1.08</v>
      </c>
      <c r="X3">
        <v>0.06</v>
      </c>
      <c r="Y3">
        <v>-96.38</v>
      </c>
      <c r="Z3" t="s">
        <v>188</v>
      </c>
      <c r="AA3" t="s">
        <v>401</v>
      </c>
      <c r="AB3" t="s">
        <v>565</v>
      </c>
      <c r="AC3" t="s">
        <v>566</v>
      </c>
      <c r="AD3" t="s">
        <v>5</v>
      </c>
      <c r="AE3">
        <v>-6450044</v>
      </c>
      <c r="AF3" t="s">
        <v>567</v>
      </c>
      <c r="AG3" t="s">
        <v>568</v>
      </c>
      <c r="AH3" t="s">
        <v>569</v>
      </c>
      <c r="AI3" t="s">
        <v>512</v>
      </c>
      <c r="AJ3" t="s">
        <v>570</v>
      </c>
      <c r="AK3" t="s">
        <v>571</v>
      </c>
      <c r="AL3" t="s">
        <v>572</v>
      </c>
      <c r="AM3" t="s">
        <v>5</v>
      </c>
      <c r="AN3" t="s">
        <v>573</v>
      </c>
      <c r="AO3" t="s">
        <v>243</v>
      </c>
      <c r="AP3" t="s">
        <v>574</v>
      </c>
      <c r="AQ3" t="s">
        <v>575</v>
      </c>
      <c r="AR3" t="s">
        <v>5</v>
      </c>
      <c r="AS3" t="s">
        <v>576</v>
      </c>
      <c r="AT3" t="s">
        <v>5</v>
      </c>
      <c r="AU3" t="s">
        <v>577</v>
      </c>
      <c r="AV3" t="s">
        <v>578</v>
      </c>
      <c r="AW3" t="s">
        <v>579</v>
      </c>
      <c r="AX3" t="s">
        <v>580</v>
      </c>
      <c r="AY3" t="s">
        <v>251</v>
      </c>
      <c r="AZ3" t="s">
        <v>74</v>
      </c>
      <c r="BA3" t="s">
        <v>77</v>
      </c>
      <c r="BB3" t="s">
        <v>78</v>
      </c>
      <c r="BC3" t="s">
        <v>581</v>
      </c>
      <c r="BD3" t="s">
        <v>252</v>
      </c>
      <c r="BE3" t="s">
        <v>75</v>
      </c>
      <c r="BF3" t="s">
        <v>79</v>
      </c>
      <c r="BG3" t="s">
        <v>80</v>
      </c>
      <c r="BH3" t="s">
        <v>564</v>
      </c>
      <c r="BI3" t="s">
        <v>582</v>
      </c>
      <c r="BJ3" t="s">
        <v>580</v>
      </c>
      <c r="BK3" t="s">
        <v>138</v>
      </c>
      <c r="BL3" t="s">
        <v>583</v>
      </c>
      <c r="BM3" t="s">
        <v>581</v>
      </c>
      <c r="BN3">
        <v>3.47</v>
      </c>
      <c r="BO3">
        <v>11.18</v>
      </c>
      <c r="BP3">
        <v>6.89</v>
      </c>
      <c r="BQ3">
        <v>4.0999999999999996</v>
      </c>
      <c r="BR3">
        <v>14.8</v>
      </c>
      <c r="BS3">
        <v>7.75</v>
      </c>
      <c r="BT3" t="s">
        <v>584</v>
      </c>
      <c r="BU3" t="s">
        <v>307</v>
      </c>
      <c r="BV3">
        <v>22.35</v>
      </c>
      <c r="BW3">
        <v>17.059999999999999</v>
      </c>
      <c r="BX3">
        <v>12.68</v>
      </c>
      <c r="BY3">
        <v>11.02</v>
      </c>
      <c r="BZ3">
        <v>11.24</v>
      </c>
      <c r="CA3">
        <v>6.94</v>
      </c>
      <c r="CB3">
        <v>-4.54</v>
      </c>
      <c r="CC3">
        <v>-15</v>
      </c>
      <c r="CD3" t="s">
        <v>39</v>
      </c>
      <c r="CE3" t="s">
        <v>145</v>
      </c>
      <c r="CF3" s="7">
        <v>-0.81916167664670658</v>
      </c>
      <c r="CG3" s="8">
        <v>-3.6491774311926601</v>
      </c>
      <c r="CH3" s="7">
        <v>-5.4079696536064148E-2</v>
      </c>
      <c r="CI3" s="7">
        <v>0.41809624433517456</v>
      </c>
      <c r="CJ3" s="7">
        <v>0.79528981447219849</v>
      </c>
      <c r="CK3" s="7">
        <v>5.4644416086375713E-3</v>
      </c>
      <c r="CL3" s="7">
        <v>0.7805405855178833</v>
      </c>
      <c r="CM3" s="8">
        <v>-0.45643693208694458</v>
      </c>
      <c r="CN3" s="8">
        <v>2.9435896873474121</v>
      </c>
      <c r="CO3" s="8">
        <v>-0.301075279712677</v>
      </c>
      <c r="CP3" s="8">
        <v>2.2481744289398193</v>
      </c>
      <c r="CQ3" s="8">
        <v>-0.15789803862571716</v>
      </c>
      <c r="CR3">
        <v>83.341300617277</v>
      </c>
      <c r="CS3">
        <v>2.1421069416314698</v>
      </c>
      <c r="CT3">
        <v>0.33057851239669422</v>
      </c>
      <c r="CU3" s="7">
        <v>0.38906227787956593</v>
      </c>
      <c r="CV3" s="8">
        <v>0.85527077317237854</v>
      </c>
      <c r="CW3">
        <v>0.06</v>
      </c>
      <c r="CX3">
        <v>39.163966224045694</v>
      </c>
      <c r="CY3">
        <v>547762294.4845835</v>
      </c>
      <c r="CZ3">
        <v>0.38906227787956593</v>
      </c>
      <c r="DA3">
        <v>10.026396908587298</v>
      </c>
      <c r="DB3">
        <v>2139606500.2799323</v>
      </c>
      <c r="DC3">
        <v>0.36960916398558763</v>
      </c>
      <c r="DD3">
        <v>3.4548268497038284</v>
      </c>
      <c r="DE3">
        <v>6209441148.0676842</v>
      </c>
      <c r="DF3">
        <v>0.34237480453401803</v>
      </c>
      <c r="DG3">
        <v>1.3305770158802748</v>
      </c>
      <c r="DH3">
        <v>16122737537.148544</v>
      </c>
      <c r="DI3">
        <v>0.31124982230365278</v>
      </c>
      <c r="DJ3">
        <v>0.2281299440534689</v>
      </c>
      <c r="DK3">
        <v>94036511028.872086</v>
      </c>
      <c r="DL3">
        <v>0.27234359451569612</v>
      </c>
      <c r="DM3">
        <v>418000000</v>
      </c>
      <c r="DN3">
        <v>0.38906227787956593</v>
      </c>
      <c r="DO3">
        <v>21452544000</v>
      </c>
      <c r="DP3">
        <v>3652051200</v>
      </c>
      <c r="DQ3">
        <v>316</v>
      </c>
      <c r="DR3">
        <v>-1.2082239545262725</v>
      </c>
      <c r="DS3">
        <v>-4.5044482043650387</v>
      </c>
      <c r="DT3" s="9">
        <v>0.17666666666666661</v>
      </c>
      <c r="DU3">
        <v>-0.54666666666666675</v>
      </c>
      <c r="DV3">
        <v>-0.37000000000000011</v>
      </c>
      <c r="DW3">
        <v>-8.3026666666666671</v>
      </c>
      <c r="DX3">
        <v>0.37818882466281323</v>
      </c>
      <c r="DY3">
        <v>-8.0781451509312774</v>
      </c>
      <c r="DZ3">
        <v>2613</v>
      </c>
      <c r="EA3">
        <v>-8.0381856050636795</v>
      </c>
      <c r="EB3">
        <v>8</v>
      </c>
      <c r="EC3">
        <v>0.12626966860930669</v>
      </c>
      <c r="ED3">
        <v>0.48905938812112065</v>
      </c>
      <c r="EE3" s="10">
        <v>0.10350999999999999</v>
      </c>
      <c r="EF3">
        <v>0.11510999999999999</v>
      </c>
      <c r="EG3">
        <v>12.258188824662813</v>
      </c>
      <c r="EH3">
        <v>-1</v>
      </c>
      <c r="EI3">
        <v>0</v>
      </c>
      <c r="EJ3">
        <v>0</v>
      </c>
      <c r="EK3" s="13">
        <v>45470</v>
      </c>
      <c r="EL3" s="14">
        <v>0.6</v>
      </c>
      <c r="EM3" s="14">
        <v>-2.37</v>
      </c>
      <c r="EN3" s="14">
        <v>-1.06</v>
      </c>
      <c r="EO3" s="14">
        <v>2.46</v>
      </c>
      <c r="EP3" s="14">
        <v>-1.1599999999999999</v>
      </c>
    </row>
    <row r="4" spans="1:146" ht="204">
      <c r="A4" s="6" t="s">
        <v>416</v>
      </c>
      <c r="B4" s="6"/>
      <c r="C4" s="6" t="str">
        <f>"公司主要从锡、锌、铜、铟等金属矿的勘探、开采、选矿和冶炼及锡的深加工。公司主要产品有锡锭、阴极铜、锌锭、铟锭、锡材、锡化工产品660多个规格品种。"&amp;CHAR(10)&amp;Basic_Fundamental_Information_Constructure(F4)&amp;CHAR(10)&amp;Basic_Fundamental_Information_Concatenate("供应链业务-铜产品 99.03亿 32.11% 0.08% 0.03%
锡锭 60.86亿 19.73% 38.02% 24.76%
铜产品 42.51亿 13.78% 4.45% 4.15%
锡材 34.62亿 11.23% 19.18% 21.96%
供应链业务-锡锭 17.34亿 5.62% 2.10% 4.81%
锌产品 15.38亿 4.99% 16.16% 41.65%
锡化工 14.17亿 4.59% 9.44% 26.41%
其他产品 12.10亿 3.92% 9.27% 30.35%")</f>
        <v>公司主要从锡、锌、铜、铟等金属矿的勘探、开采、选矿和冶炼及锡的深加工。公司主要产品有锡锭、阴极铜、锌锭、铟锭、锡材、锡化工产品660多个规格品种。
市值258.55549亿, 利润14.08亿; PE17.62; 平均PE19.4; 平均PEG8.84, PB1.43; ROIC6.9733%; ROE11.63%; 股利率1.655%; 毛利10.25%; 净利4.0867%; 上一年度营收增-18.54%, 利润增4.61%; 当季营收增-24.48%, 利润增22.19%; 过往5年营收增2.2%, 利润增47.57%
Income profile:
供应链业务-铜产品 99.03亿 32.11% 0.08% 0.03%
锡锭 60.86亿 19.73% 38.02% 24.76%
铜产品 42.51亿 13.78% 4.45% 4.15%
锡材 34.62亿 11.23% 19.18% 21.96%
供应链业务-锡锭 17.34亿 5.62% 2.10% 4.81%
锌产品 15.38亿 4.99% 16.16% 41.65%
锡化工 14.17亿 4.59% 9.44% 26.41%
其他产品 12.10亿 3.92% 9.27% 30.35%</v>
      </c>
      <c r="D4" t="s">
        <v>81</v>
      </c>
      <c r="E4" t="s">
        <v>82</v>
      </c>
      <c r="F4">
        <v>15.71</v>
      </c>
      <c r="G4">
        <v>2.95</v>
      </c>
      <c r="H4" t="s">
        <v>585</v>
      </c>
      <c r="I4">
        <v>25855549000</v>
      </c>
      <c r="J4">
        <v>17.62</v>
      </c>
      <c r="K4">
        <v>1.43</v>
      </c>
      <c r="L4" t="s">
        <v>66</v>
      </c>
      <c r="M4" t="s">
        <v>586</v>
      </c>
      <c r="N4" t="s">
        <v>587</v>
      </c>
      <c r="O4" t="s">
        <v>588</v>
      </c>
      <c r="P4">
        <v>-24.47</v>
      </c>
      <c r="Q4" t="s">
        <v>589</v>
      </c>
      <c r="R4">
        <v>326255350</v>
      </c>
      <c r="S4" s="5">
        <v>0.22090000000000001</v>
      </c>
      <c r="T4" t="s">
        <v>590</v>
      </c>
      <c r="U4">
        <v>1645802000</v>
      </c>
      <c r="V4">
        <v>1645802000</v>
      </c>
      <c r="W4">
        <v>1.93</v>
      </c>
      <c r="X4">
        <v>0.23</v>
      </c>
      <c r="Y4">
        <v>4.13</v>
      </c>
      <c r="Z4" t="s">
        <v>436</v>
      </c>
      <c r="AA4" t="s">
        <v>591</v>
      </c>
      <c r="AB4" t="s">
        <v>592</v>
      </c>
      <c r="AC4" t="s">
        <v>476</v>
      </c>
      <c r="AD4" t="s">
        <v>5</v>
      </c>
      <c r="AE4">
        <v>100736551</v>
      </c>
      <c r="AF4" t="s">
        <v>593</v>
      </c>
      <c r="AG4" t="s">
        <v>594</v>
      </c>
      <c r="AH4" t="s">
        <v>595</v>
      </c>
      <c r="AI4" t="s">
        <v>596</v>
      </c>
      <c r="AJ4" t="s">
        <v>597</v>
      </c>
      <c r="AK4" t="s">
        <v>598</v>
      </c>
      <c r="AL4" t="s">
        <v>599</v>
      </c>
      <c r="AM4" t="s">
        <v>5</v>
      </c>
      <c r="AN4" t="s">
        <v>600</v>
      </c>
      <c r="AO4" t="s">
        <v>601</v>
      </c>
      <c r="AP4" t="s">
        <v>5</v>
      </c>
      <c r="AQ4" t="s">
        <v>602</v>
      </c>
      <c r="AR4" t="s">
        <v>5</v>
      </c>
      <c r="AS4" t="s">
        <v>603</v>
      </c>
      <c r="AT4" t="s">
        <v>604</v>
      </c>
      <c r="AU4" t="s">
        <v>446</v>
      </c>
      <c r="AV4" t="s">
        <v>605</v>
      </c>
      <c r="AW4" t="s">
        <v>553</v>
      </c>
      <c r="AX4" t="s">
        <v>438</v>
      </c>
      <c r="AY4" t="s">
        <v>253</v>
      </c>
      <c r="AZ4" t="s">
        <v>83</v>
      </c>
      <c r="BA4" t="s">
        <v>85</v>
      </c>
      <c r="BB4" t="s">
        <v>86</v>
      </c>
      <c r="BC4" t="s">
        <v>439</v>
      </c>
      <c r="BD4" t="s">
        <v>254</v>
      </c>
      <c r="BE4" t="s">
        <v>84</v>
      </c>
      <c r="BF4" t="s">
        <v>87</v>
      </c>
      <c r="BG4" t="s">
        <v>88</v>
      </c>
      <c r="BH4" t="s">
        <v>589</v>
      </c>
      <c r="BI4" t="s">
        <v>606</v>
      </c>
      <c r="BJ4" t="s">
        <v>438</v>
      </c>
      <c r="BK4" t="s">
        <v>590</v>
      </c>
      <c r="BL4" t="s">
        <v>607</v>
      </c>
      <c r="BM4" t="s">
        <v>439</v>
      </c>
      <c r="BN4">
        <v>4.3600000000000003</v>
      </c>
      <c r="BO4">
        <v>5.98</v>
      </c>
      <c r="BP4">
        <v>10.58</v>
      </c>
      <c r="BQ4">
        <v>6.46</v>
      </c>
      <c r="BR4">
        <v>8.44</v>
      </c>
      <c r="BS4">
        <v>19.989999999999998</v>
      </c>
      <c r="BT4" t="s">
        <v>608</v>
      </c>
      <c r="BU4" t="s">
        <v>306</v>
      </c>
      <c r="BV4">
        <v>9.15</v>
      </c>
      <c r="BW4">
        <v>9.6300000000000008</v>
      </c>
      <c r="BX4">
        <v>11.97</v>
      </c>
      <c r="BY4">
        <v>3.6</v>
      </c>
      <c r="BZ4">
        <v>3.02</v>
      </c>
      <c r="CA4">
        <v>5.64</v>
      </c>
      <c r="CB4">
        <v>1.42</v>
      </c>
      <c r="CC4">
        <v>-2.6</v>
      </c>
      <c r="CD4" t="s">
        <v>609</v>
      </c>
      <c r="CE4" t="s">
        <v>318</v>
      </c>
      <c r="CF4" s="7">
        <v>-0.24476216167610834</v>
      </c>
      <c r="CG4" s="8">
        <v>0.2219301498127341</v>
      </c>
      <c r="CH4" s="7">
        <v>-0.1853724867105484</v>
      </c>
      <c r="CI4" s="7">
        <v>-3.4284260123968124E-2</v>
      </c>
      <c r="CJ4" s="7">
        <v>0.20200920104980469</v>
      </c>
      <c r="CK4" s="7">
        <v>4.4488977640867233E-2</v>
      </c>
      <c r="CL4" s="7">
        <v>8.2923032343387604E-2</v>
      </c>
      <c r="CM4" s="8">
        <v>4.6062406152486801E-2</v>
      </c>
      <c r="CN4" s="8">
        <v>-0.52218669652938843</v>
      </c>
      <c r="CO4" s="8">
        <v>3.082608699798584</v>
      </c>
      <c r="CP4" s="8">
        <v>-0.18727914988994598</v>
      </c>
      <c r="CQ4" s="8">
        <v>-4.0677964687347412E-2</v>
      </c>
      <c r="CR4">
        <v>19.403789118198873</v>
      </c>
      <c r="CS4">
        <v>8.8388301531378772</v>
      </c>
      <c r="CT4">
        <v>1.6549968173138128</v>
      </c>
      <c r="CU4" s="7">
        <v>2.1952892839908599E-2</v>
      </c>
      <c r="CV4" s="8">
        <v>0.47570545896887778</v>
      </c>
      <c r="CW4">
        <v>0.06</v>
      </c>
      <c r="CX4">
        <v>18.383976725007269</v>
      </c>
      <c r="CY4">
        <v>1357461955.7722559</v>
      </c>
      <c r="CZ4">
        <v>2.1952892839908599E-2</v>
      </c>
      <c r="DA4">
        <v>6.3668068170772543</v>
      </c>
      <c r="DB4">
        <v>3919633454.7270107</v>
      </c>
      <c r="DC4">
        <v>2.0855248197913168E-2</v>
      </c>
      <c r="DD4">
        <v>3.380099528049326</v>
      </c>
      <c r="DE4">
        <v>7383081117.2598772</v>
      </c>
      <c r="DF4">
        <v>1.9318545699119567E-2</v>
      </c>
      <c r="DG4">
        <v>2.2038121122051617</v>
      </c>
      <c r="DH4">
        <v>11323809712.176039</v>
      </c>
      <c r="DI4">
        <v>1.7562314271926879E-2</v>
      </c>
      <c r="DJ4">
        <v>1.3502803763107771</v>
      </c>
      <c r="DK4">
        <v>18481753447.519772</v>
      </c>
      <c r="DL4">
        <v>1.5367024987936018E-2</v>
      </c>
      <c r="DM4">
        <v>1408000000</v>
      </c>
      <c r="DN4">
        <v>2.1952892839908599E-2</v>
      </c>
      <c r="DO4">
        <v>24955549000</v>
      </c>
      <c r="DP4">
        <v>2809433800</v>
      </c>
      <c r="DQ4">
        <v>397</v>
      </c>
      <c r="DR4">
        <v>-0.26671505451601696</v>
      </c>
      <c r="DS4">
        <v>-0.25377530915614366</v>
      </c>
      <c r="DT4" s="9">
        <v>-0.47333333333333333</v>
      </c>
      <c r="DU4">
        <v>0.33833333333333337</v>
      </c>
      <c r="DV4">
        <v>-0.13499999999999995</v>
      </c>
      <c r="DW4">
        <v>-1.026</v>
      </c>
      <c r="DX4">
        <v>0.40929864253393616</v>
      </c>
      <c r="DY4">
        <v>-1.0028417647058823</v>
      </c>
      <c r="DZ4">
        <v>2027</v>
      </c>
      <c r="EA4">
        <v>-1.0017145128352711</v>
      </c>
      <c r="EB4">
        <v>1</v>
      </c>
      <c r="EC4">
        <v>5.8706940446056087E-2</v>
      </c>
      <c r="ED4">
        <v>0.53712414980659884</v>
      </c>
      <c r="EE4" s="10">
        <v>-1.0801000000000001</v>
      </c>
      <c r="EF4">
        <v>-1.0563</v>
      </c>
      <c r="EG4">
        <v>30.109298642533936</v>
      </c>
      <c r="EH4" t="s">
        <v>460</v>
      </c>
      <c r="EI4">
        <v>0</v>
      </c>
      <c r="EJ4">
        <v>0</v>
      </c>
      <c r="EK4" s="13">
        <v>45470</v>
      </c>
      <c r="EL4" s="14">
        <v>-1.1599999999999999</v>
      </c>
      <c r="EM4" s="14">
        <v>-1.04</v>
      </c>
      <c r="EN4" s="14">
        <v>-0.39</v>
      </c>
      <c r="EO4" s="14">
        <v>-0.2</v>
      </c>
      <c r="EP4" s="14">
        <v>-2.38</v>
      </c>
    </row>
    <row r="5" spans="1:146" ht="156">
      <c r="A5" s="6"/>
      <c r="B5" s="6"/>
      <c r="C5" s="6" t="str">
        <f>"公司主要从事稀有金属钽、铌、铍及合金等的研发、生产、销售和进出口业务。公司主要产品为钽金属及合金制品、铌金属及合金制品等系列。公司目前是国内最大的钽、铌产品生产基地"&amp;CHAR(10)&amp;Basic_Fundamental_Information_Constructure(F5)&amp;CHAR(10)&amp;Basic_Fundamental_Information_Concatenate("钽铌及其合金制品 4.85亿 99.00% 98.42% 17.82%
其他 478.33万 0.98% 1.57% 28.90%
钛及钛合金制品 11.21万 0.02% 0.01% 8.99%")</f>
        <v>公司主要从事稀有金属钽、铌、铍及合金等的研发、生产、销售和进出口业务。公司主要产品为钽金属及合金制品、铌金属及合金制品等系列。公司目前是国内最大的钽、铌产品生产基地
市值50.270212亿, 利润1.87亿; PE28.21; 平均PE53.94; 平均PEG12.62, PB2.05; ROIC8.0267%; ROE9.59%; 股利率0%; 毛利18.2%; 净利14.9567%; 上一年度营收增12.37%, 利润增9.36%; 当季营收增-11.64%, 利润增-15.23%; 过往5年营收增4.27%, 利润增48.47%
Income profile:
钽铌及其合金制品 4.85亿 99.00% 98.42% 17.82%
其他 478.33万 0.98% 1.57% 28.90%
钛及钛合金制品 11.21万 0.02% 0.01% 8.99%</v>
      </c>
      <c r="D5" t="s">
        <v>90</v>
      </c>
      <c r="E5" t="s">
        <v>91</v>
      </c>
      <c r="F5">
        <v>9.9499999999999993</v>
      </c>
      <c r="G5">
        <v>1.43</v>
      </c>
      <c r="H5" t="s">
        <v>610</v>
      </c>
      <c r="I5">
        <v>5027021200</v>
      </c>
      <c r="J5">
        <v>28.21</v>
      </c>
      <c r="K5">
        <v>2.0499999999999998</v>
      </c>
      <c r="L5" t="s">
        <v>66</v>
      </c>
      <c r="M5" t="s">
        <v>225</v>
      </c>
      <c r="N5" t="s">
        <v>611</v>
      </c>
      <c r="O5" t="s">
        <v>312</v>
      </c>
      <c r="P5">
        <v>-11.49</v>
      </c>
      <c r="Q5" t="s">
        <v>477</v>
      </c>
      <c r="R5">
        <v>49727491</v>
      </c>
      <c r="S5" s="5">
        <v>-0.15229999999999999</v>
      </c>
      <c r="T5" t="s">
        <v>403</v>
      </c>
      <c r="U5">
        <v>495652250</v>
      </c>
      <c r="V5">
        <v>505228260</v>
      </c>
      <c r="W5">
        <v>1.1599999999999999</v>
      </c>
      <c r="X5">
        <v>0.09</v>
      </c>
      <c r="Y5">
        <v>19.27</v>
      </c>
      <c r="Z5" t="s">
        <v>267</v>
      </c>
      <c r="AA5" t="s">
        <v>612</v>
      </c>
      <c r="AB5" t="s">
        <v>613</v>
      </c>
      <c r="AC5" t="s">
        <v>614</v>
      </c>
      <c r="AD5" t="s">
        <v>5</v>
      </c>
      <c r="AE5">
        <v>1341930</v>
      </c>
      <c r="AF5" t="s">
        <v>615</v>
      </c>
      <c r="AG5" t="s">
        <v>616</v>
      </c>
      <c r="AH5" t="s">
        <v>617</v>
      </c>
      <c r="AI5" t="s">
        <v>261</v>
      </c>
      <c r="AJ5" t="s">
        <v>618</v>
      </c>
      <c r="AK5" t="s">
        <v>619</v>
      </c>
      <c r="AL5" t="s">
        <v>620</v>
      </c>
      <c r="AM5" t="s">
        <v>5</v>
      </c>
      <c r="AN5" t="s">
        <v>80</v>
      </c>
      <c r="AO5" t="s">
        <v>5</v>
      </c>
      <c r="AP5" t="s">
        <v>21</v>
      </c>
      <c r="AQ5" t="s">
        <v>94</v>
      </c>
      <c r="AR5" t="s">
        <v>5</v>
      </c>
      <c r="AS5" t="s">
        <v>621</v>
      </c>
      <c r="AT5" t="s">
        <v>5</v>
      </c>
      <c r="AU5" t="s">
        <v>622</v>
      </c>
      <c r="AV5" t="s">
        <v>623</v>
      </c>
      <c r="AW5" t="s">
        <v>5</v>
      </c>
      <c r="AX5" t="s">
        <v>441</v>
      </c>
      <c r="AY5" t="s">
        <v>255</v>
      </c>
      <c r="AZ5" t="s">
        <v>92</v>
      </c>
      <c r="BA5" t="s">
        <v>95</v>
      </c>
      <c r="BB5" t="s">
        <v>96</v>
      </c>
      <c r="BC5" t="s">
        <v>314</v>
      </c>
      <c r="BD5" t="s">
        <v>442</v>
      </c>
      <c r="BE5" t="s">
        <v>93</v>
      </c>
      <c r="BF5" t="s">
        <v>98</v>
      </c>
      <c r="BG5" t="s">
        <v>99</v>
      </c>
      <c r="BH5" t="s">
        <v>477</v>
      </c>
      <c r="BI5" t="s">
        <v>624</v>
      </c>
      <c r="BJ5" t="s">
        <v>441</v>
      </c>
      <c r="BK5" t="s">
        <v>403</v>
      </c>
      <c r="BL5" t="s">
        <v>625</v>
      </c>
      <c r="BM5" t="s">
        <v>314</v>
      </c>
      <c r="BN5">
        <v>6.93</v>
      </c>
      <c r="BO5">
        <v>11.19</v>
      </c>
      <c r="BP5">
        <v>5.96</v>
      </c>
      <c r="BQ5">
        <v>9.33</v>
      </c>
      <c r="BR5">
        <v>12.42</v>
      </c>
      <c r="BS5">
        <v>7.02</v>
      </c>
      <c r="BT5" t="s">
        <v>397</v>
      </c>
      <c r="BU5" t="s">
        <v>306</v>
      </c>
      <c r="BV5">
        <v>17.84</v>
      </c>
      <c r="BW5">
        <v>16.350000000000001</v>
      </c>
      <c r="BX5">
        <v>20.41</v>
      </c>
      <c r="BY5">
        <v>17.190000000000001</v>
      </c>
      <c r="BZ5">
        <v>17.43</v>
      </c>
      <c r="CA5">
        <v>10.25</v>
      </c>
      <c r="CB5">
        <v>-2.5499999999999998</v>
      </c>
      <c r="CC5">
        <v>-7.27</v>
      </c>
      <c r="CD5" t="s">
        <v>626</v>
      </c>
      <c r="CE5" t="s">
        <v>627</v>
      </c>
      <c r="CF5" s="7">
        <v>-0.11643835616438356</v>
      </c>
      <c r="CG5" s="8">
        <v>-0.15233956198307652</v>
      </c>
      <c r="CH5" s="7">
        <v>0.12373225390911102</v>
      </c>
      <c r="CI5" s="7">
        <v>0.2402515709400177</v>
      </c>
      <c r="CJ5" s="7">
        <v>0.17603550851345062</v>
      </c>
      <c r="CK5" s="7">
        <v>0.12479200959205627</v>
      </c>
      <c r="CL5" s="7">
        <v>-0.4511415958404541</v>
      </c>
      <c r="CM5" s="8">
        <v>9.3567252159118652E-2</v>
      </c>
      <c r="CN5" s="8">
        <v>1.1160513162612915</v>
      </c>
      <c r="CO5" s="8">
        <v>0.63872414827346802</v>
      </c>
      <c r="CP5" s="8">
        <v>0.1980530172586441</v>
      </c>
      <c r="CQ5" s="8">
        <v>0.37730589509010315</v>
      </c>
      <c r="CR5">
        <v>53.9408220065894</v>
      </c>
      <c r="CS5">
        <v>12.622475276709231</v>
      </c>
      <c r="CT5">
        <v>0</v>
      </c>
      <c r="CU5" s="7">
        <v>4.2733949422836301E-2</v>
      </c>
      <c r="CV5" s="8">
        <v>0.48474032580852511</v>
      </c>
      <c r="CW5">
        <v>0.06</v>
      </c>
      <c r="CX5">
        <v>16.156327504720281</v>
      </c>
      <c r="CY5">
        <v>183954008.05855694</v>
      </c>
      <c r="CZ5">
        <v>4.2733949422836301E-2</v>
      </c>
      <c r="DA5">
        <v>5.4964972794183691</v>
      </c>
      <c r="DB5">
        <v>540711847.73050499</v>
      </c>
      <c r="DC5">
        <v>4.0597251951694481E-2</v>
      </c>
      <c r="DD5">
        <v>2.8525112469950833</v>
      </c>
      <c r="DE5">
        <v>1041896400.2791617</v>
      </c>
      <c r="DF5">
        <v>3.7605875492095944E-2</v>
      </c>
      <c r="DG5">
        <v>1.8155533826370287</v>
      </c>
      <c r="DH5">
        <v>1636978140.3415644</v>
      </c>
      <c r="DI5">
        <v>3.4187159538269042E-2</v>
      </c>
      <c r="DJ5">
        <v>1.0605062077942844</v>
      </c>
      <c r="DK5">
        <v>2802455259.721128</v>
      </c>
      <c r="DL5">
        <v>2.9913764595985409E-2</v>
      </c>
      <c r="DM5">
        <v>187000000</v>
      </c>
      <c r="DN5">
        <v>4.2733949422836301E-2</v>
      </c>
      <c r="DO5">
        <v>2972021200</v>
      </c>
      <c r="DP5">
        <v>1284505400</v>
      </c>
      <c r="DQ5">
        <v>399</v>
      </c>
      <c r="DR5">
        <v>-0.15917230558721984</v>
      </c>
      <c r="DS5">
        <v>-0.63707988779160163</v>
      </c>
      <c r="DT5" s="9">
        <v>-0.25666666666666665</v>
      </c>
      <c r="DU5">
        <v>0.56333333333333335</v>
      </c>
      <c r="DV5">
        <v>0.3066666666666667</v>
      </c>
      <c r="DW5">
        <v>-8.350756533700137</v>
      </c>
      <c r="DX5">
        <v>0.32771822323462474</v>
      </c>
      <c r="DY5">
        <v>-8.0237526092501081</v>
      </c>
      <c r="DZ5">
        <v>1035</v>
      </c>
      <c r="EA5">
        <v>-8.0189416600184327</v>
      </c>
      <c r="EB5">
        <v>8</v>
      </c>
      <c r="EC5">
        <v>5.884132451339915E-2</v>
      </c>
      <c r="ED5">
        <v>0.86891418148303889</v>
      </c>
      <c r="EE5" s="10">
        <v>2.0555099999999999</v>
      </c>
      <c r="EF5">
        <v>2.0948099999999998</v>
      </c>
      <c r="EG5">
        <v>26.067718223234625</v>
      </c>
      <c r="EH5" t="s">
        <v>628</v>
      </c>
      <c r="EI5">
        <v>0</v>
      </c>
      <c r="EJ5">
        <v>1</v>
      </c>
      <c r="EK5" s="13">
        <v>45470</v>
      </c>
      <c r="EL5" s="14">
        <v>-0.76</v>
      </c>
      <c r="EM5" s="14">
        <v>-4</v>
      </c>
      <c r="EN5" s="14">
        <v>0.79</v>
      </c>
      <c r="EO5" s="14">
        <v>2.66</v>
      </c>
      <c r="EP5" s="14">
        <v>-3.93</v>
      </c>
    </row>
    <row r="6" spans="1:146" ht="204">
      <c r="A6" s="6" t="s">
        <v>237</v>
      </c>
      <c r="B6" s="6"/>
      <c r="C6" s="6" t="str">
        <f>"公司主营业务为稀有金属材料的研发、生产和销售。公司主要产品分为稀有金属复合材料及制品、金属纤维及制品、难熔金属制品和贵金属制品四大系列产品，广泛应用于化工、电力、环保、航空、航天、电子通讯等国民经济主要部门和国家重大项目；"&amp;CHAR(10)&amp;Basic_Fundamental_Information_Constructure(F6)&amp;CHAR(10)&amp;Basic_Fundamental_Information_Concatenate("钛制品 7.38亿 50.29% 47.19% 19.26%
层状复合材料 3.43亿 23.36% 27.81% 24.44%
稀贵金属 1.60亿 10.89% 13.69% 25.81%
其他业务 1.43亿 9.76% 4.71% 9.90%
稀有金属装备 6160.68万 4.20% 2.59% 12.65%
金属纤维 5989.59万 4.08% 6.46% 32.48%")</f>
        <v>公司主营业务为稀有金属材料的研发、生产和销售。公司主要产品分为稀有金属复合材料及制品、金属纤维及制品、难熔金属制品和贵金属制品四大系列产品，广泛应用于化工、电力、环保、航空、航天、电子通讯等国民经济主要部门和国家重大项目；
市值65.811284亿, 利润1.96亿; PE33.28; 平均PE55.21; 平均PEG4.04, PB2.22; ROIC5.4467%; ROE5.7433%; 股利率1.1128%; 毛利22.4%; 净利8.2567%; 上一年度营收增9.69%, 利润增5.95%; 当季营收增-2.08%, 利润增4.43%; 过往5年营收增13.66%, 利润增28.73%
Income profile:
钛制品 7.38亿 50.29% 47.19% 19.26%
层状复合材料 3.43亿 23.36% 27.81% 24.44%
稀贵金属 1.60亿 10.89% 13.69% 25.81%
其他业务 1.43亿 9.76% 4.71% 9.90%
稀有金属装备 6160.68万 4.20% 2.59% 12.65%
金属纤维 5989.59万 4.08% 6.46% 32.48%</v>
      </c>
      <c r="D6" t="s">
        <v>100</v>
      </c>
      <c r="E6" t="s">
        <v>101</v>
      </c>
      <c r="F6">
        <v>13.48</v>
      </c>
      <c r="G6">
        <v>2.2000000000000002</v>
      </c>
      <c r="H6" t="s">
        <v>629</v>
      </c>
      <c r="I6">
        <v>6581128400</v>
      </c>
      <c r="J6">
        <v>33.28</v>
      </c>
      <c r="K6">
        <v>2.2200000000000002</v>
      </c>
      <c r="L6" t="s">
        <v>66</v>
      </c>
      <c r="M6" t="s">
        <v>630</v>
      </c>
      <c r="N6" t="s">
        <v>631</v>
      </c>
      <c r="O6" t="s">
        <v>632</v>
      </c>
      <c r="P6">
        <v>-2.08</v>
      </c>
      <c r="Q6" t="s">
        <v>633</v>
      </c>
      <c r="R6">
        <v>36706099</v>
      </c>
      <c r="S6" s="5">
        <v>4.4299999999999999E-2</v>
      </c>
      <c r="T6" t="s">
        <v>473</v>
      </c>
      <c r="U6">
        <v>488139270</v>
      </c>
      <c r="V6">
        <v>488214270</v>
      </c>
      <c r="W6">
        <v>1.96</v>
      </c>
      <c r="X6">
        <v>0.1</v>
      </c>
      <c r="Y6">
        <v>7.03</v>
      </c>
      <c r="Z6" t="s">
        <v>405</v>
      </c>
      <c r="AA6" t="s">
        <v>529</v>
      </c>
      <c r="AB6" t="s">
        <v>634</v>
      </c>
      <c r="AC6" t="s">
        <v>635</v>
      </c>
      <c r="AD6" t="s">
        <v>5</v>
      </c>
      <c r="AE6">
        <v>8291073</v>
      </c>
      <c r="AF6" t="s">
        <v>636</v>
      </c>
      <c r="AG6" t="s">
        <v>637</v>
      </c>
      <c r="AH6" t="s">
        <v>638</v>
      </c>
      <c r="AI6" t="s">
        <v>639</v>
      </c>
      <c r="AJ6" t="s">
        <v>640</v>
      </c>
      <c r="AK6" t="s">
        <v>432</v>
      </c>
      <c r="AL6" t="s">
        <v>641</v>
      </c>
      <c r="AM6" t="s">
        <v>5</v>
      </c>
      <c r="AN6" t="s">
        <v>642</v>
      </c>
      <c r="AO6" t="s">
        <v>643</v>
      </c>
      <c r="AP6" t="s">
        <v>525</v>
      </c>
      <c r="AQ6" t="s">
        <v>644</v>
      </c>
      <c r="AR6" t="s">
        <v>645</v>
      </c>
      <c r="AS6" t="s">
        <v>646</v>
      </c>
      <c r="AT6" t="s">
        <v>315</v>
      </c>
      <c r="AU6" t="s">
        <v>647</v>
      </c>
      <c r="AV6" t="s">
        <v>648</v>
      </c>
      <c r="AW6" t="s">
        <v>649</v>
      </c>
      <c r="AX6" t="s">
        <v>443</v>
      </c>
      <c r="AY6" t="s">
        <v>256</v>
      </c>
      <c r="AZ6" t="s">
        <v>102</v>
      </c>
      <c r="BA6" t="s">
        <v>105</v>
      </c>
      <c r="BB6" t="s">
        <v>106</v>
      </c>
      <c r="BC6" t="s">
        <v>246</v>
      </c>
      <c r="BD6" t="s">
        <v>257</v>
      </c>
      <c r="BE6" t="s">
        <v>103</v>
      </c>
      <c r="BF6" t="s">
        <v>107</v>
      </c>
      <c r="BG6" t="s">
        <v>108</v>
      </c>
      <c r="BH6" t="s">
        <v>633</v>
      </c>
      <c r="BI6" t="s">
        <v>320</v>
      </c>
      <c r="BJ6" t="s">
        <v>443</v>
      </c>
      <c r="BK6" t="s">
        <v>473</v>
      </c>
      <c r="BL6" t="s">
        <v>650</v>
      </c>
      <c r="BM6" t="s">
        <v>246</v>
      </c>
      <c r="BN6">
        <v>4.8099999999999996</v>
      </c>
      <c r="BO6">
        <v>6.55</v>
      </c>
      <c r="BP6">
        <v>4.9800000000000004</v>
      </c>
      <c r="BQ6">
        <v>5.28</v>
      </c>
      <c r="BR6">
        <v>6.83</v>
      </c>
      <c r="BS6">
        <v>5.12</v>
      </c>
      <c r="BT6" t="s">
        <v>483</v>
      </c>
      <c r="BU6" t="s">
        <v>306</v>
      </c>
      <c r="BV6">
        <v>21.95</v>
      </c>
      <c r="BW6">
        <v>22.2</v>
      </c>
      <c r="BX6">
        <v>23.05</v>
      </c>
      <c r="BY6">
        <v>8.68</v>
      </c>
      <c r="BZ6">
        <v>8.76</v>
      </c>
      <c r="CA6">
        <v>7.33</v>
      </c>
      <c r="CB6">
        <v>-3.44</v>
      </c>
      <c r="CC6">
        <v>-6.39</v>
      </c>
      <c r="CD6" t="s">
        <v>651</v>
      </c>
      <c r="CE6" t="s">
        <v>652</v>
      </c>
      <c r="CF6" s="7">
        <v>-2.0833333333333332E-2</v>
      </c>
      <c r="CG6" s="8">
        <v>4.4338576919684645E-2</v>
      </c>
      <c r="CH6" s="7">
        <v>9.6905797719955444E-2</v>
      </c>
      <c r="CI6" s="7">
        <v>0.22797489166259766</v>
      </c>
      <c r="CJ6" s="7">
        <v>0.18038450181484222</v>
      </c>
      <c r="CK6" s="7">
        <v>1.1465570889413357E-2</v>
      </c>
      <c r="CL6" s="7">
        <v>0.16627906262874603</v>
      </c>
      <c r="CM6" s="8">
        <v>5.9459459036588669E-2</v>
      </c>
      <c r="CN6" s="8">
        <v>0.39097744226455688</v>
      </c>
      <c r="CO6" s="8">
        <v>0.67489218711853027</v>
      </c>
      <c r="CP6" s="8">
        <v>0.29191327095031738</v>
      </c>
      <c r="CQ6" s="8">
        <v>1.9049514085054398E-2</v>
      </c>
      <c r="CR6">
        <v>55.211572978988386</v>
      </c>
      <c r="CS6">
        <v>4.0417846845747585</v>
      </c>
      <c r="CT6">
        <v>1.1127596439169138</v>
      </c>
      <c r="CU6" s="7">
        <v>0.13660196494311094</v>
      </c>
      <c r="CV6" s="8">
        <v>0.28725837469100951</v>
      </c>
      <c r="CW6">
        <v>0.06</v>
      </c>
      <c r="CX6">
        <v>29.463297073056633</v>
      </c>
      <c r="CY6">
        <v>210164136.91400918</v>
      </c>
      <c r="CZ6">
        <v>0.13660196494311094</v>
      </c>
      <c r="DA6">
        <v>9.2577355447492629</v>
      </c>
      <c r="DB6">
        <v>668859935.57161045</v>
      </c>
      <c r="DC6">
        <v>0.12977186669595539</v>
      </c>
      <c r="DD6">
        <v>4.3204020682755297</v>
      </c>
      <c r="DE6">
        <v>1433229662.9215257</v>
      </c>
      <c r="DF6">
        <v>0.12020972914993763</v>
      </c>
      <c r="DG6">
        <v>2.4397372557243515</v>
      </c>
      <c r="DH6">
        <v>2538030841.4241819</v>
      </c>
      <c r="DI6">
        <v>0.10928157195448876</v>
      </c>
      <c r="DJ6">
        <v>1.0964048647620077</v>
      </c>
      <c r="DK6">
        <v>5647665929.8151703</v>
      </c>
      <c r="DL6">
        <v>9.5621375460177654E-2</v>
      </c>
      <c r="DM6">
        <v>196000000</v>
      </c>
      <c r="DN6">
        <v>0.13660196494311094</v>
      </c>
      <c r="DO6">
        <v>6192128400</v>
      </c>
      <c r="DP6">
        <v>1559766900</v>
      </c>
      <c r="DQ6">
        <v>659</v>
      </c>
      <c r="DR6">
        <v>-0.15743529827644429</v>
      </c>
      <c r="DS6">
        <v>-0.24291979777132486</v>
      </c>
      <c r="DT6" s="9">
        <v>-5.6666666666666719E-2</v>
      </c>
      <c r="DU6">
        <v>0.53333333333333333</v>
      </c>
      <c r="DV6">
        <v>0.47666666666666663</v>
      </c>
      <c r="DW6">
        <v>-8.5383411580594686</v>
      </c>
      <c r="DX6">
        <v>0.39536214689265647</v>
      </c>
      <c r="DY6">
        <v>-8.0836378380767968</v>
      </c>
      <c r="DZ6">
        <v>747</v>
      </c>
      <c r="EA6">
        <v>-8.071411328283574</v>
      </c>
      <c r="EB6">
        <v>8</v>
      </c>
      <c r="EC6">
        <v>5.6325883305295442E-2</v>
      </c>
      <c r="ED6">
        <v>0.36254573222531983</v>
      </c>
      <c r="EE6" s="10">
        <v>3.02</v>
      </c>
      <c r="EF6">
        <v>3.0061100000000001</v>
      </c>
      <c r="EG6">
        <v>24.155362146892656</v>
      </c>
      <c r="EH6" t="s">
        <v>653</v>
      </c>
      <c r="EI6">
        <v>0</v>
      </c>
      <c r="EJ6">
        <v>1</v>
      </c>
      <c r="EK6" s="13">
        <v>45470</v>
      </c>
      <c r="EL6" s="14">
        <v>-3.38</v>
      </c>
      <c r="EM6" s="14">
        <v>-2.69</v>
      </c>
      <c r="EN6" s="14">
        <v>-0.15</v>
      </c>
      <c r="EO6" s="14">
        <v>3.35</v>
      </c>
      <c r="EP6" s="14">
        <v>-2.61</v>
      </c>
    </row>
    <row r="7" spans="1:146" ht="192">
      <c r="A7" s="6"/>
      <c r="B7" s="6"/>
      <c r="C7" s="6" t="str">
        <f>"公司主要从事锆系列制品研发、生产和经营，公司产品包括锆钛矿砂,钛精矿,稀土独居石,硅酸锆,氯氧化锆,电熔锆,二氧化锆,复合氧化锆,氧化锆陶瓷结构件及海绵锆十大系列共一百多个品种规格。"&amp;CHAR(10)&amp;Basic_Fundamental_Information_Constructure(F7)&amp;CHAR(10)&amp;Basic_Fundamental_Information_Concatenate("氯氧化锆 4.05亿 31.49% 29.18% 22.47%
钛精矿 2.21亿 17.21% 19.96% 28.12%
二氧化锆 1.84亿 14.32% 16.95% 28.70%
电熔氧化锆 1.33亿 10.33% 8.29% 19.47%
复合氧化锆 7611.59万 5.92% 6.78% 27.77%
结构陶瓷 7556.64万 5.87% 9.05% 37.35%")</f>
        <v>公司主要从事锆系列制品研发、生产和经营，公司产品包括锆钛矿砂,钛精矿,稀土独居石,硅酸锆,氯氧化锆,电熔锆,二氧化锆,复合氧化锆,氧化锆陶瓷结构件及海绵锆十大系列共一百多个品种规格。
市值42.839433亿, 利润-7763.32万; PE; 平均PE-139.73; 平均PEG-5.13, PB3.03; ROIC8.18%; ROE6.4233%; 股利率0%; 毛利20.31%; 净利3.8567%; 上一年度营收增5.55%, 利润增-178.37%; 当季营收增25%, 利润增-441.42%; 过往5年营收增27.22%, 利润增-407.09%
Income profile:
氯氧化锆 4.05亿 31.49% 29.18% 22.47%
钛精矿 2.21亿 17.21% 19.96% 28.12%
二氧化锆 1.84亿 14.32% 16.95% 28.70%
电熔氧化锆 1.33亿 10.33% 8.29% 19.47%
复合氧化锆 7611.59万 5.92% 6.78% 27.77%
结构陶瓷 7556.64万 5.87% 9.05% 37.35%</v>
      </c>
      <c r="D7" t="s">
        <v>109</v>
      </c>
      <c r="E7" t="s">
        <v>419</v>
      </c>
      <c r="F7">
        <v>5.53</v>
      </c>
      <c r="G7">
        <v>1.84</v>
      </c>
      <c r="H7" t="s">
        <v>654</v>
      </c>
      <c r="I7">
        <v>4283943300</v>
      </c>
      <c r="K7">
        <v>3.03</v>
      </c>
      <c r="L7" t="s">
        <v>66</v>
      </c>
      <c r="M7" t="s">
        <v>655</v>
      </c>
      <c r="N7" t="s">
        <v>656</v>
      </c>
      <c r="O7" t="s">
        <v>657</v>
      </c>
      <c r="P7">
        <v>24.99</v>
      </c>
      <c r="Q7" t="s">
        <v>504</v>
      </c>
      <c r="R7">
        <v>-33591668</v>
      </c>
      <c r="S7" s="5">
        <v>-4.4139999999999997</v>
      </c>
      <c r="T7" t="s">
        <v>658</v>
      </c>
      <c r="U7">
        <v>758721960</v>
      </c>
      <c r="V7">
        <v>774673300</v>
      </c>
      <c r="W7">
        <v>2.52</v>
      </c>
      <c r="X7">
        <v>0.13</v>
      </c>
      <c r="Y7">
        <v>-8.7899999999999991</v>
      </c>
      <c r="Z7" t="s">
        <v>659</v>
      </c>
      <c r="AA7" t="s">
        <v>660</v>
      </c>
      <c r="AB7" t="s">
        <v>661</v>
      </c>
      <c r="AC7" t="s">
        <v>662</v>
      </c>
      <c r="AD7" t="s">
        <v>5</v>
      </c>
      <c r="AE7">
        <v>40749264</v>
      </c>
      <c r="AF7" t="s">
        <v>663</v>
      </c>
      <c r="AG7" t="s">
        <v>664</v>
      </c>
      <c r="AH7" t="s">
        <v>665</v>
      </c>
      <c r="AI7" t="s">
        <v>399</v>
      </c>
      <c r="AJ7" t="s">
        <v>666</v>
      </c>
      <c r="AK7" t="s">
        <v>5</v>
      </c>
      <c r="AL7" t="s">
        <v>667</v>
      </c>
      <c r="AM7" t="s">
        <v>5</v>
      </c>
      <c r="AN7" t="s">
        <v>668</v>
      </c>
      <c r="AO7" t="s">
        <v>212</v>
      </c>
      <c r="AP7" t="s">
        <v>413</v>
      </c>
      <c r="AQ7" t="s">
        <v>309</v>
      </c>
      <c r="AR7" t="s">
        <v>5</v>
      </c>
      <c r="AS7" t="s">
        <v>669</v>
      </c>
      <c r="AT7" t="s">
        <v>487</v>
      </c>
      <c r="AU7" t="s">
        <v>670</v>
      </c>
      <c r="AV7" t="s">
        <v>671</v>
      </c>
      <c r="AW7" t="s">
        <v>672</v>
      </c>
      <c r="AX7" t="s">
        <v>445</v>
      </c>
      <c r="AY7" t="s">
        <v>258</v>
      </c>
      <c r="AZ7" t="s">
        <v>110</v>
      </c>
      <c r="BA7" t="s">
        <v>113</v>
      </c>
      <c r="BB7" t="s">
        <v>114</v>
      </c>
      <c r="BC7" t="s">
        <v>673</v>
      </c>
      <c r="BD7" t="s">
        <v>259</v>
      </c>
      <c r="BE7" t="s">
        <v>111</v>
      </c>
      <c r="BF7" t="s">
        <v>115</v>
      </c>
      <c r="BG7" t="s">
        <v>116</v>
      </c>
      <c r="BH7" t="s">
        <v>504</v>
      </c>
      <c r="BI7" t="s">
        <v>313</v>
      </c>
      <c r="BJ7" t="s">
        <v>445</v>
      </c>
      <c r="BK7" t="s">
        <v>658</v>
      </c>
      <c r="BL7" t="s">
        <v>674</v>
      </c>
      <c r="BM7" t="s">
        <v>673</v>
      </c>
      <c r="BN7" t="s">
        <v>5</v>
      </c>
      <c r="BO7">
        <v>5.94</v>
      </c>
      <c r="BP7">
        <v>10.42</v>
      </c>
      <c r="BQ7">
        <v>-0.52</v>
      </c>
      <c r="BR7">
        <v>7.2</v>
      </c>
      <c r="BS7">
        <v>12.59</v>
      </c>
      <c r="BT7" t="s">
        <v>397</v>
      </c>
      <c r="BU7" t="s">
        <v>306</v>
      </c>
      <c r="BV7">
        <v>13.94</v>
      </c>
      <c r="BW7">
        <v>22.74</v>
      </c>
      <c r="BX7">
        <v>24.25</v>
      </c>
      <c r="BY7">
        <v>-6.91</v>
      </c>
      <c r="BZ7">
        <v>6.79</v>
      </c>
      <c r="CA7">
        <v>11.69</v>
      </c>
      <c r="CB7">
        <v>-2.81</v>
      </c>
      <c r="CC7">
        <v>-16.34</v>
      </c>
      <c r="CD7" t="s">
        <v>675</v>
      </c>
      <c r="CE7" t="s">
        <v>676</v>
      </c>
      <c r="CF7" s="7">
        <v>0.25</v>
      </c>
      <c r="CG7" s="8">
        <v>-4.4141690636148354</v>
      </c>
      <c r="CH7" s="7">
        <v>5.5474452674388885E-2</v>
      </c>
      <c r="CI7" s="7">
        <v>6.5318815410137177E-2</v>
      </c>
      <c r="CJ7" s="7">
        <v>0.67447918653488159</v>
      </c>
      <c r="CK7" s="7">
        <v>0.62711864709854126</v>
      </c>
      <c r="CL7" s="7">
        <v>-6.1630219221115112E-2</v>
      </c>
      <c r="CM7" s="8">
        <v>-1.7837035655975342</v>
      </c>
      <c r="CN7" s="8">
        <v>-0.34397748112678528</v>
      </c>
      <c r="CO7" s="8">
        <v>1.9378881454467773</v>
      </c>
      <c r="CP7" s="8">
        <v>0.21844659745693207</v>
      </c>
      <c r="CQ7" s="8">
        <v>-20.383127212524414</v>
      </c>
      <c r="CR7">
        <v>-139.73481239059288</v>
      </c>
      <c r="CS7">
        <v>-5.1344367033169043</v>
      </c>
      <c r="CT7">
        <v>0</v>
      </c>
      <c r="CU7" s="7">
        <v>0.27215217649936674</v>
      </c>
      <c r="CV7" s="8">
        <v>-4.0708947032690048</v>
      </c>
      <c r="CW7">
        <v>0.06</v>
      </c>
      <c r="CX7" t="e">
        <v>#VALUE!</v>
      </c>
      <c r="CY7" t="s">
        <v>411</v>
      </c>
      <c r="CZ7">
        <v>0.27215217649936674</v>
      </c>
      <c r="DA7" t="e">
        <v>#VALUE!</v>
      </c>
      <c r="DB7" t="s">
        <v>295</v>
      </c>
      <c r="DC7">
        <v>0.25854456767439837</v>
      </c>
      <c r="DD7" t="e">
        <v>#VALUE!</v>
      </c>
      <c r="DE7" t="s">
        <v>295</v>
      </c>
      <c r="DF7">
        <v>0.23949391531944272</v>
      </c>
      <c r="DG7" t="e">
        <v>#VALUE!</v>
      </c>
      <c r="DH7" t="s">
        <v>295</v>
      </c>
      <c r="DI7">
        <v>0.21772174119949339</v>
      </c>
      <c r="DJ7" t="e">
        <v>#VALUE!</v>
      </c>
      <c r="DK7" t="s">
        <v>295</v>
      </c>
      <c r="DL7">
        <v>0.19050652354955672</v>
      </c>
      <c r="DM7">
        <v>-77633200</v>
      </c>
      <c r="DN7">
        <v>0.27215217649936674</v>
      </c>
      <c r="DO7">
        <v>5005943300</v>
      </c>
      <c r="DP7">
        <v>-423946700.00000024</v>
      </c>
      <c r="DQ7">
        <v>677</v>
      </c>
      <c r="DR7">
        <v>-2.2152176499366738E-2</v>
      </c>
      <c r="DS7">
        <v>-0.34327436034583059</v>
      </c>
      <c r="DT7" s="9">
        <v>5.9999999999999977E-2</v>
      </c>
      <c r="DU7">
        <v>-2.4049999999999998</v>
      </c>
      <c r="DV7">
        <v>-2.3449999999999998</v>
      </c>
      <c r="DW7">
        <v>-8.1719706242350068</v>
      </c>
      <c r="DX7">
        <v>0.27610358974359045</v>
      </c>
      <c r="DY7">
        <v>-8.0148072880770798</v>
      </c>
      <c r="DZ7">
        <v>4601</v>
      </c>
      <c r="EA7">
        <v>-8.0014749333916306</v>
      </c>
      <c r="EB7">
        <v>8</v>
      </c>
      <c r="EC7">
        <v>0.10836955397843194</v>
      </c>
      <c r="ED7">
        <v>1.2585950748528445</v>
      </c>
      <c r="EE7" s="10">
        <v>1.0456000000000001</v>
      </c>
      <c r="EF7">
        <v>1.0114000000000001</v>
      </c>
      <c r="EG7">
        <v>19.08610358974359</v>
      </c>
      <c r="EH7" t="s">
        <v>420</v>
      </c>
      <c r="EI7">
        <v>0</v>
      </c>
      <c r="EJ7">
        <v>0</v>
      </c>
      <c r="EK7" s="13">
        <v>45470</v>
      </c>
      <c r="EL7" s="14">
        <v>-1.35</v>
      </c>
      <c r="EM7" s="14">
        <v>-4.1100000000000003</v>
      </c>
      <c r="EN7" s="14">
        <v>0.89</v>
      </c>
      <c r="EO7" s="14">
        <v>3.54</v>
      </c>
      <c r="EP7" s="14">
        <v>-3.42</v>
      </c>
    </row>
    <row r="8" spans="1:146" ht="228">
      <c r="A8" s="6"/>
      <c r="B8" s="6"/>
      <c r="C8" s="6" t="str">
        <f>"公司主营业务为镁、铝轻质合金材料及其挤压、压铸业务，主要产品包括镁合金、铝合金、金属锶、镁粒子、中间合金、压铸件等，主要应用于汽车和消费电子产品领域等。公司是全球镁行业龙头企业，目前已形成年产10万吨原镁和18万吨镁合金的生产能力，镁合金产销量连续多年保持全球领先；"&amp;CHAR(10)&amp;Basic_Fundamental_Information_Constructure(F8)&amp;CHAR(10)&amp;Basic_Fundamental_Information_Concatenate("铝合金产品 31.40亿 38.69% 利润占比15.29% 5.54%
镁合金产品 23.56亿 29.03% 利润占比47.05% 22.74%
铝合金深加工产品 8.78亿 10.82% 利润占比12.91% 16.75%
镁合金深加工产品 7.02亿 8.65% 利润占比6.37% 10.34%
中间合金 4.31亿 5.31% 利润占比3.14% 8.28%
其他业务收入 2.60亿 3.20% 利润占比5.77% 25.31%
金属锶 1.03亿 1.27% 利润占比1.50% 16.58%")</f>
        <v>公司主营业务为镁、铝轻质合金材料及其挤压、压铸业务，主要产品包括镁合金、铝合金、金属锶、镁粒子、中间合金、压铸件等，主要应用于汽车和消费电子产品领域等。公司是全球镁行业龙头企业，目前已形成年产10万吨原镁和18万吨镁合金的生产能力，镁合金产销量连续多年保持全球领先；
市值109.493787亿, 利润3.06亿; PE34.59; 平均PE22.7; 平均PEG2.33, PB2.05; ROIC8.57%; ROE12.6767%; 股利率.1132%; 毛利14.52%; 净利6.18%; 上一年度营收增-15.96%, 利润增-49.92%; 当季营收增10.04%, 利润增19.94%; 过往5年营收增9.73%, 利润增35.73%
Income profile:
铝合金产品 31.40亿 38.69% 利润占比15.29% 5.54%
镁合金产品 23.56亿 29.03% 利润占比47.05% 22.74%
铝合金深加工产品 8.78亿 10.82% 利润占比12.91% 16.75%
镁合金深加工产品 7.02亿 8.65% 利润占比6.37% 10.34%
中间合金 4.31亿 5.31% 利润占比3.14% 8.28%
其他业务收入 2.60亿 3.20% 利润占比5.77% 25.31%
金属锶 1.03亿 1.27% 利润占比1.50% 16.58%</v>
      </c>
      <c r="D8" t="s">
        <v>117</v>
      </c>
      <c r="E8" t="s">
        <v>449</v>
      </c>
      <c r="F8">
        <v>11.04</v>
      </c>
      <c r="G8">
        <v>1.94</v>
      </c>
      <c r="H8" t="s">
        <v>677</v>
      </c>
      <c r="I8">
        <v>10949378700</v>
      </c>
      <c r="J8">
        <v>34.590000000000003</v>
      </c>
      <c r="K8">
        <v>2.0499999999999998</v>
      </c>
      <c r="L8" t="s">
        <v>66</v>
      </c>
      <c r="M8" t="s">
        <v>678</v>
      </c>
      <c r="N8" t="s">
        <v>679</v>
      </c>
      <c r="O8" t="s">
        <v>680</v>
      </c>
      <c r="P8">
        <v>10.029999999999999</v>
      </c>
      <c r="Q8" t="s">
        <v>681</v>
      </c>
      <c r="R8">
        <v>60719309</v>
      </c>
      <c r="S8" s="5">
        <v>0.19939999999999999</v>
      </c>
      <c r="T8" t="s">
        <v>682</v>
      </c>
      <c r="U8">
        <v>778708260</v>
      </c>
      <c r="V8">
        <v>991791550</v>
      </c>
      <c r="W8">
        <v>1.95</v>
      </c>
      <c r="X8">
        <v>0.16</v>
      </c>
      <c r="Y8">
        <v>3.3</v>
      </c>
      <c r="Z8" t="s">
        <v>683</v>
      </c>
      <c r="AA8" t="s">
        <v>684</v>
      </c>
      <c r="AB8" t="s">
        <v>685</v>
      </c>
      <c r="AC8" t="s">
        <v>686</v>
      </c>
      <c r="AD8" t="s">
        <v>5</v>
      </c>
      <c r="AE8">
        <v>28355964</v>
      </c>
      <c r="AF8" t="s">
        <v>687</v>
      </c>
      <c r="AG8" t="s">
        <v>688</v>
      </c>
      <c r="AH8" t="s">
        <v>689</v>
      </c>
      <c r="AI8" t="s">
        <v>690</v>
      </c>
      <c r="AJ8" t="s">
        <v>691</v>
      </c>
      <c r="AK8" t="s">
        <v>692</v>
      </c>
      <c r="AL8" t="s">
        <v>693</v>
      </c>
      <c r="AM8" t="s">
        <v>5</v>
      </c>
      <c r="AN8" t="s">
        <v>694</v>
      </c>
      <c r="AO8" t="s">
        <v>695</v>
      </c>
      <c r="AP8" t="s">
        <v>696</v>
      </c>
      <c r="AQ8" t="s">
        <v>444</v>
      </c>
      <c r="AR8" t="s">
        <v>5</v>
      </c>
      <c r="AS8" t="s">
        <v>697</v>
      </c>
      <c r="AT8" t="s">
        <v>698</v>
      </c>
      <c r="AU8" t="s">
        <v>246</v>
      </c>
      <c r="AV8" t="s">
        <v>699</v>
      </c>
      <c r="AW8" t="s">
        <v>700</v>
      </c>
      <c r="AX8" t="s">
        <v>451</v>
      </c>
      <c r="AY8" t="s">
        <v>260</v>
      </c>
      <c r="AZ8" t="s">
        <v>69</v>
      </c>
      <c r="BA8" t="s">
        <v>121</v>
      </c>
      <c r="BB8" t="s">
        <v>122</v>
      </c>
      <c r="BC8" t="s">
        <v>452</v>
      </c>
      <c r="BD8" t="s">
        <v>76</v>
      </c>
      <c r="BE8" t="s">
        <v>118</v>
      </c>
      <c r="BF8" t="s">
        <v>123</v>
      </c>
      <c r="BG8" t="s">
        <v>124</v>
      </c>
      <c r="BH8" t="s">
        <v>681</v>
      </c>
      <c r="BI8" t="s">
        <v>701</v>
      </c>
      <c r="BJ8" t="s">
        <v>451</v>
      </c>
      <c r="BK8" t="s">
        <v>682</v>
      </c>
      <c r="BL8" t="s">
        <v>702</v>
      </c>
      <c r="BM8" t="s">
        <v>452</v>
      </c>
      <c r="BN8">
        <v>3.7</v>
      </c>
      <c r="BO8">
        <v>11.27</v>
      </c>
      <c r="BP8">
        <v>10.74</v>
      </c>
      <c r="BQ8">
        <v>5.01</v>
      </c>
      <c r="BR8">
        <v>16.739999999999998</v>
      </c>
      <c r="BS8">
        <v>16.28</v>
      </c>
      <c r="BT8" t="s">
        <v>703</v>
      </c>
      <c r="BU8" t="s">
        <v>306</v>
      </c>
      <c r="BV8">
        <v>13.44</v>
      </c>
      <c r="BW8">
        <v>16.09</v>
      </c>
      <c r="BX8">
        <v>14.03</v>
      </c>
      <c r="BY8">
        <v>4.66</v>
      </c>
      <c r="BZ8">
        <v>7.51</v>
      </c>
      <c r="CA8">
        <v>6.37</v>
      </c>
      <c r="CB8">
        <v>-2.13</v>
      </c>
      <c r="CC8">
        <v>-13.65</v>
      </c>
      <c r="CD8" t="s">
        <v>704</v>
      </c>
      <c r="CE8" t="s">
        <v>412</v>
      </c>
      <c r="CF8" s="7">
        <v>0.10035419126328202</v>
      </c>
      <c r="CG8" s="8">
        <v>0.19942218877286969</v>
      </c>
      <c r="CH8" s="7">
        <v>-0.15958271920681</v>
      </c>
      <c r="CI8" s="7">
        <v>0.12171987444162369</v>
      </c>
      <c r="CJ8" s="7">
        <v>0.36511945724487305</v>
      </c>
      <c r="CK8" s="7">
        <v>6.7121349275112152E-2</v>
      </c>
      <c r="CL8" s="7">
        <v>9.2334747314453125E-2</v>
      </c>
      <c r="CM8" s="8">
        <v>-0.49918165802955627</v>
      </c>
      <c r="CN8" s="8">
        <v>0.23935091495513916</v>
      </c>
      <c r="CO8" s="8">
        <v>1.0204918384552002</v>
      </c>
      <c r="CP8" s="8">
        <v>-0.73186814785003662</v>
      </c>
      <c r="CQ8" s="8">
        <v>1.7575757503509521</v>
      </c>
      <c r="CR8">
        <v>22.700854250172771</v>
      </c>
      <c r="CS8">
        <v>2.332058915575058</v>
      </c>
      <c r="CT8">
        <v>0.11322463768115944</v>
      </c>
      <c r="CU8" s="7">
        <v>9.7342541813850408E-2</v>
      </c>
      <c r="CV8" s="8">
        <v>0.35727373957633973</v>
      </c>
      <c r="CW8">
        <v>0.06</v>
      </c>
      <c r="CX8">
        <v>32.477991523350227</v>
      </c>
      <c r="CY8">
        <v>316780016.78777194</v>
      </c>
      <c r="CZ8">
        <v>9.7342541813850408E-2</v>
      </c>
      <c r="DA8">
        <v>10.547774196729263</v>
      </c>
      <c r="DB8">
        <v>975407560.69563019</v>
      </c>
      <c r="DC8">
        <v>9.2475414723157887E-2</v>
      </c>
      <c r="DD8">
        <v>5.1493453678825212</v>
      </c>
      <c r="DE8">
        <v>1997997408.4027534</v>
      </c>
      <c r="DF8">
        <v>8.5661436796188359E-2</v>
      </c>
      <c r="DG8">
        <v>3.0632533529694745</v>
      </c>
      <c r="DH8">
        <v>3358644393.558434</v>
      </c>
      <c r="DI8">
        <v>7.7874033451080335E-2</v>
      </c>
      <c r="DJ8">
        <v>1.5498502671430432</v>
      </c>
      <c r="DK8">
        <v>6638304949.9132261</v>
      </c>
      <c r="DL8">
        <v>6.8139779269695278E-2</v>
      </c>
      <c r="DM8">
        <v>306000000</v>
      </c>
      <c r="DN8">
        <v>9.7342541813850408E-2</v>
      </c>
      <c r="DO8">
        <v>10288378700</v>
      </c>
      <c r="DP8">
        <v>552720200</v>
      </c>
      <c r="DQ8">
        <v>692</v>
      </c>
      <c r="DR8">
        <v>3.0116494494316082E-3</v>
      </c>
      <c r="DS8">
        <v>-0.15785155080347005</v>
      </c>
      <c r="DT8" s="9">
        <v>-0.47333333333333333</v>
      </c>
      <c r="DU8">
        <v>0.4366666666666667</v>
      </c>
      <c r="DV8">
        <v>-3.6666666666666625E-2</v>
      </c>
      <c r="DW8">
        <v>-2.1364999999999998</v>
      </c>
      <c r="DX8">
        <v>0.28572494382022506</v>
      </c>
      <c r="DY8">
        <v>-2.0198914548314608</v>
      </c>
      <c r="DZ8">
        <v>1791</v>
      </c>
      <c r="EA8">
        <v>-2.0129197140089272</v>
      </c>
      <c r="EB8">
        <v>2</v>
      </c>
      <c r="EC8">
        <v>6.5384303788432158E-2</v>
      </c>
      <c r="ED8">
        <v>0.4486829919049018</v>
      </c>
      <c r="EE8" s="10">
        <v>1.04541</v>
      </c>
      <c r="EF8">
        <v>1.07711</v>
      </c>
      <c r="EG8">
        <v>14.145724943820225</v>
      </c>
      <c r="EH8" t="s">
        <v>415</v>
      </c>
      <c r="EI8">
        <v>0</v>
      </c>
      <c r="EJ8">
        <v>0</v>
      </c>
      <c r="EK8" s="13">
        <v>45470</v>
      </c>
      <c r="EL8" s="14">
        <v>-2.29</v>
      </c>
      <c r="EM8" s="14">
        <v>-5.18</v>
      </c>
      <c r="EN8" s="14">
        <v>1.76</v>
      </c>
      <c r="EO8" s="14">
        <v>1.21</v>
      </c>
      <c r="EP8" s="14">
        <v>-3.17</v>
      </c>
    </row>
    <row r="9" spans="1:146" ht="168">
      <c r="A9" s="6"/>
      <c r="B9" s="6"/>
      <c r="C9" s="6" t="str">
        <f>"公司的主营业务是以钨为原料的钨精矿,仲钨酸铵(APT),氧化钨,钨粉,碳化钨粉,热喷涂粉,硬质合金的生产及销售。其主要产品有钨精矿、仲钨酸铵(APT)、氧化钨、钨粉、碳化钨粉、钨材、硬质合金及其工具等."&amp;CHAR(10)&amp;Basic_Fundamental_Information_Constructure(F9)&amp;CHAR(10)&amp;Basic_Fundamental_Information_Concatenate("碳化钨粉 5.90亿 35.24% 22.16% 11.30%
钨粉 4.38亿 26.13% 15.95% 10.97%
硬质合金 4.02亿 24.00% 18.66% 13.98%
其他业务 1.51亿 9.01% 35.83% 71.42%")</f>
        <v>公司的主营业务是以钨为原料的钨精矿,仲钨酸铵(APT),氧化钨,钨粉,碳化钨粉,热喷涂粉,硬质合金的生产及销售。其主要产品有钨精矿、仲钨酸铵(APT)、氧化钨、钨粉、碳化钨粉、钨材、硬质合金及其工具等.
市值68.961374亿, 利润1.44亿; PE50.67; 平均PE134.58; 平均PEG9.93, PB3.34; ROIC6.1567%; ROE8.4567%; 股利率1.0453%; 毛利15.2367%; 净利5.56%; 上一年度营收增6.15%, 利润增-29.06%; 当季营收增6.2%, 利润增-22.42%; 过往5年营收增13.56%, 利润增-54.31%
Income profile:
碳化钨粉 5.90亿 35.24% 22.16% 11.30%
钨粉 4.38亿 26.13% 15.95% 10.97%
硬质合金 4.02亿 24.00% 18.66% 13.98%
其他业务 1.51亿 9.01% 35.83% 71.42%</v>
      </c>
      <c r="D9" t="s">
        <v>127</v>
      </c>
      <c r="E9" t="s">
        <v>128</v>
      </c>
      <c r="F9">
        <v>5.74</v>
      </c>
      <c r="G9">
        <v>2.14</v>
      </c>
      <c r="H9" t="s">
        <v>705</v>
      </c>
      <c r="I9">
        <v>6896137400</v>
      </c>
      <c r="J9">
        <v>50.67</v>
      </c>
      <c r="K9">
        <v>3.34</v>
      </c>
      <c r="L9" t="s">
        <v>66</v>
      </c>
      <c r="M9" t="s">
        <v>706</v>
      </c>
      <c r="N9" t="s">
        <v>707</v>
      </c>
      <c r="O9" t="s">
        <v>708</v>
      </c>
      <c r="P9">
        <v>6.23</v>
      </c>
      <c r="Q9" t="s">
        <v>709</v>
      </c>
      <c r="R9">
        <v>27206531</v>
      </c>
      <c r="S9" s="5">
        <v>-0.22420000000000001</v>
      </c>
      <c r="T9" t="s">
        <v>710</v>
      </c>
      <c r="U9">
        <v>1194836980</v>
      </c>
      <c r="V9">
        <v>1201417670</v>
      </c>
      <c r="W9">
        <v>2.31</v>
      </c>
      <c r="X9">
        <v>0.18</v>
      </c>
      <c r="Y9">
        <v>3.06</v>
      </c>
      <c r="Z9" t="s">
        <v>711</v>
      </c>
      <c r="AA9" t="s">
        <v>514</v>
      </c>
      <c r="AB9" t="s">
        <v>712</v>
      </c>
      <c r="AC9" t="s">
        <v>713</v>
      </c>
      <c r="AD9" t="s">
        <v>5</v>
      </c>
      <c r="AE9">
        <v>22515939</v>
      </c>
      <c r="AF9" t="s">
        <v>714</v>
      </c>
      <c r="AG9" t="s">
        <v>715</v>
      </c>
      <c r="AH9" t="s">
        <v>716</v>
      </c>
      <c r="AI9" t="s">
        <v>717</v>
      </c>
      <c r="AJ9" t="s">
        <v>718</v>
      </c>
      <c r="AK9" t="s">
        <v>719</v>
      </c>
      <c r="AL9" t="s">
        <v>720</v>
      </c>
      <c r="AM9" t="s">
        <v>5</v>
      </c>
      <c r="AN9" t="s">
        <v>721</v>
      </c>
      <c r="AO9" t="s">
        <v>142</v>
      </c>
      <c r="AP9" t="s">
        <v>722</v>
      </c>
      <c r="AQ9" t="s">
        <v>431</v>
      </c>
      <c r="AR9" t="s">
        <v>5</v>
      </c>
      <c r="AS9" t="s">
        <v>723</v>
      </c>
      <c r="AT9" t="s">
        <v>173</v>
      </c>
      <c r="AU9" t="s">
        <v>724</v>
      </c>
      <c r="AV9" t="s">
        <v>725</v>
      </c>
      <c r="AW9" t="s">
        <v>726</v>
      </c>
      <c r="AX9" t="s">
        <v>458</v>
      </c>
      <c r="AY9" t="s">
        <v>263</v>
      </c>
      <c r="AZ9" t="s">
        <v>129</v>
      </c>
      <c r="BA9" t="s">
        <v>130</v>
      </c>
      <c r="BB9" t="s">
        <v>131</v>
      </c>
      <c r="BC9" t="s">
        <v>459</v>
      </c>
      <c r="BD9" t="s">
        <v>264</v>
      </c>
      <c r="BE9" t="s">
        <v>63</v>
      </c>
      <c r="BF9" t="s">
        <v>132</v>
      </c>
      <c r="BG9" t="s">
        <v>133</v>
      </c>
      <c r="BH9" t="s">
        <v>709</v>
      </c>
      <c r="BI9" t="s">
        <v>727</v>
      </c>
      <c r="BJ9" t="s">
        <v>458</v>
      </c>
      <c r="BK9" t="s">
        <v>710</v>
      </c>
      <c r="BL9" t="s">
        <v>728</v>
      </c>
      <c r="BM9" t="s">
        <v>459</v>
      </c>
      <c r="BN9">
        <v>4.0199999999999996</v>
      </c>
      <c r="BO9">
        <v>7.46</v>
      </c>
      <c r="BP9">
        <v>6.99</v>
      </c>
      <c r="BQ9">
        <v>5.48</v>
      </c>
      <c r="BR9">
        <v>10.58</v>
      </c>
      <c r="BS9">
        <v>9.31</v>
      </c>
      <c r="BT9" t="s">
        <v>729</v>
      </c>
      <c r="BU9" t="s">
        <v>559</v>
      </c>
      <c r="BV9">
        <v>15.03</v>
      </c>
      <c r="BW9">
        <v>15.58</v>
      </c>
      <c r="BX9">
        <v>15.1</v>
      </c>
      <c r="BY9">
        <v>4.2</v>
      </c>
      <c r="BZ9">
        <v>6.34</v>
      </c>
      <c r="CA9">
        <v>6.14</v>
      </c>
      <c r="CB9">
        <v>0</v>
      </c>
      <c r="CC9">
        <v>-11.01</v>
      </c>
      <c r="CD9" t="s">
        <v>730</v>
      </c>
      <c r="CE9" t="s">
        <v>518</v>
      </c>
      <c r="CF9" s="7">
        <v>6.1968408262454436E-2</v>
      </c>
      <c r="CG9" s="8">
        <v>-0.2242420069060104</v>
      </c>
      <c r="CH9" s="7">
        <v>6.1504818499088287E-2</v>
      </c>
      <c r="CI9" s="7">
        <v>0.20232735574245453</v>
      </c>
      <c r="CJ9" s="7">
        <v>0.37959611415863037</v>
      </c>
      <c r="CK9" s="7">
        <v>5.6345697492361069E-2</v>
      </c>
      <c r="CL9" s="7">
        <v>-2.1936899051070213E-2</v>
      </c>
      <c r="CM9" s="8">
        <v>-0.29064038395881653</v>
      </c>
      <c r="CN9" s="8">
        <v>0.23030303418636322</v>
      </c>
      <c r="CO9" s="8">
        <v>3.438359260559082</v>
      </c>
      <c r="CP9" s="8">
        <v>1.1290830373764038</v>
      </c>
      <c r="CQ9" s="8">
        <v>-7.2226009368896484</v>
      </c>
      <c r="CR9">
        <v>134.57680964083642</v>
      </c>
      <c r="CS9">
        <v>9.9269287748718238</v>
      </c>
      <c r="CT9">
        <v>1.0452961672473866</v>
      </c>
      <c r="CU9" s="7">
        <v>0.13556741736829281</v>
      </c>
      <c r="CV9" s="8">
        <v>-0.54309919774532323</v>
      </c>
      <c r="CW9">
        <v>0.06</v>
      </c>
      <c r="CX9">
        <v>49.655460050497418</v>
      </c>
      <c r="CY9">
        <v>154265762.35946617</v>
      </c>
      <c r="CZ9">
        <v>0.13556741736829281</v>
      </c>
      <c r="DA9">
        <v>15.615893467738948</v>
      </c>
      <c r="DB9">
        <v>490534686.07641089</v>
      </c>
      <c r="DC9">
        <v>0.12878904649987816</v>
      </c>
      <c r="DD9">
        <v>7.2963652479135073</v>
      </c>
      <c r="DE9">
        <v>1049856625.8303089</v>
      </c>
      <c r="DF9">
        <v>0.11929932728409767</v>
      </c>
      <c r="DG9">
        <v>4.1260661206413562</v>
      </c>
      <c r="DH9">
        <v>1856523181.1673698</v>
      </c>
      <c r="DI9">
        <v>0.10845393389463426</v>
      </c>
      <c r="DJ9">
        <v>1.8603149569020794</v>
      </c>
      <c r="DK9">
        <v>4117656191.2699838</v>
      </c>
      <c r="DL9">
        <v>9.4897192157804955E-2</v>
      </c>
      <c r="DM9">
        <v>144000000</v>
      </c>
      <c r="DN9">
        <v>0.13556741736829281</v>
      </c>
      <c r="DO9">
        <v>7660137400</v>
      </c>
      <c r="DP9">
        <v>702120800</v>
      </c>
      <c r="DQ9">
        <v>884</v>
      </c>
      <c r="DR9">
        <v>-7.3599009105838373E-2</v>
      </c>
      <c r="DS9">
        <v>0.31885719083931285</v>
      </c>
      <c r="DT9" s="9">
        <v>-0.15666666666666665</v>
      </c>
      <c r="DU9">
        <v>-0.22166666666666668</v>
      </c>
      <c r="DV9">
        <v>-0.3783333333333333</v>
      </c>
      <c r="DW9">
        <v>-2.1101000000000001</v>
      </c>
      <c r="DX9">
        <v>0.33826167471819546</v>
      </c>
      <c r="DY9">
        <v>-2.0086166103864733</v>
      </c>
      <c r="DZ9">
        <v>2635</v>
      </c>
      <c r="EA9">
        <v>-2.0041734071832722</v>
      </c>
      <c r="EB9">
        <v>2</v>
      </c>
      <c r="EC9">
        <v>4.0452626271095214E-2</v>
      </c>
      <c r="ED9">
        <v>0.51688935122787061</v>
      </c>
      <c r="EE9" s="10">
        <v>1.0384100000000001</v>
      </c>
      <c r="EF9">
        <v>1.07731</v>
      </c>
      <c r="EG9">
        <v>26.078261674718195</v>
      </c>
      <c r="EH9" t="s">
        <v>415</v>
      </c>
      <c r="EI9">
        <v>0</v>
      </c>
      <c r="EJ9">
        <v>0</v>
      </c>
      <c r="EK9" s="13">
        <v>45470</v>
      </c>
      <c r="EL9" s="14">
        <v>-0.17</v>
      </c>
      <c r="EM9" s="14">
        <v>-3.54</v>
      </c>
      <c r="EN9" s="14">
        <v>0.87</v>
      </c>
      <c r="EO9" s="14">
        <v>2.25</v>
      </c>
      <c r="EP9" s="14">
        <v>-3.89</v>
      </c>
    </row>
    <row r="10" spans="1:146" ht="216">
      <c r="A10" s="6"/>
      <c r="B10" s="6"/>
      <c r="C10" s="6" t="str">
        <f>"公司主要业务为锗矿开采、火法富集、湿法提纯、区熔精炼、精深加工及研究开发。公司目前材料级锗产品主要为区熔锗锭、二氧化锗；深加工方面，光伏级锗产品主要为太阳能锗衬底片，红外级锗产品主要为红外级锗单晶（光学元件）、锗镜片、镜头、红外热像仪，光纤级锗产品为光纤用四氯化锗，非锗半导体材料级产品主要为砷化镓单晶片、磷化铟单晶片。"&amp;CHAR(10)&amp;Basic_Fundamental_Information_Constructure(F10)&amp;CHAR(10)&amp;Basic_Fundamental_Information_Concatenate("材料级锗产品 1.24亿 40.06% 29.03% 15.76%
光纤级锗产品 5404.69万 17.39% 14.26% 17.84%
化合物半导体材料 5359.96万 17.25% 27.72% 34.95%
红外级锗产品 3838.32万 12.35% 17.93% 31.57%
光伏级锗产品 3279.03万 10.55% 8.68% 17.88%")</f>
        <v>公司主要业务为锗矿开采、火法富集、湿法提纯、区熔精炼、精深加工及研究开发。公司目前材料级锗产品主要为区熔锗锭、二氧化锗；深加工方面，光伏级锗产品主要为太阳能锗衬底片，红外级锗产品主要为红外级锗单晶（光学元件）、锗镜片、镜头、红外热像仪，光纤级锗产品为光纤用四氯化锗，非锗半导体材料级产品主要为砷化镓单晶片、磷化铟单晶片。
市值75.827232亿, 利润697.45万; PE1528; 平均PE-656.12; 平均PEG-59.77, PB5.4; ROIC2.08%; ROE-1.2467%; 股利率.1723%; 毛利16.67%; 净利-1.7133%; 上一年度营收增25.14%, 利润增111.18%; 当季营收增-10.27%, 利润增-21.21%; 过往5年营收增10.98%, 利润增-224.36%
Income profile:
材料级锗产品 1.24亿 40.06% 29.03% 15.76%
光纤级锗产品 5404.69万 17.39% 14.26% 17.84%
化合物半导体材料 5359.96万 17.25% 27.72% 34.95%
红外级锗产品 3838.32万 12.35% 17.93% 31.57%
光伏级锗产品 3279.03万 10.55% 8.68% 17.88%</v>
      </c>
      <c r="D10" t="s">
        <v>134</v>
      </c>
      <c r="E10" t="s">
        <v>135</v>
      </c>
      <c r="F10">
        <v>11.61</v>
      </c>
      <c r="G10">
        <v>2.29</v>
      </c>
      <c r="H10" t="s">
        <v>731</v>
      </c>
      <c r="I10">
        <v>7582723200</v>
      </c>
      <c r="J10">
        <v>1528</v>
      </c>
      <c r="K10">
        <v>5.4</v>
      </c>
      <c r="L10" t="s">
        <v>66</v>
      </c>
      <c r="M10" t="s">
        <v>732</v>
      </c>
      <c r="N10" t="s">
        <v>733</v>
      </c>
      <c r="O10" t="s">
        <v>734</v>
      </c>
      <c r="P10">
        <v>-10.32</v>
      </c>
      <c r="Q10" t="s">
        <v>735</v>
      </c>
      <c r="R10">
        <v>-11495333</v>
      </c>
      <c r="S10" s="5">
        <v>-0.21210000000000001</v>
      </c>
      <c r="T10" t="s">
        <v>736</v>
      </c>
      <c r="U10">
        <v>653035630</v>
      </c>
      <c r="V10">
        <v>653120000</v>
      </c>
      <c r="W10">
        <v>1.8</v>
      </c>
      <c r="X10">
        <v>0.05</v>
      </c>
      <c r="Y10">
        <v>-8.6999999999999993</v>
      </c>
      <c r="Z10" t="s">
        <v>125</v>
      </c>
      <c r="AA10" t="s">
        <v>737</v>
      </c>
      <c r="AB10" t="s">
        <v>738</v>
      </c>
      <c r="AC10" t="s">
        <v>739</v>
      </c>
      <c r="AD10" t="s">
        <v>5</v>
      </c>
      <c r="AE10">
        <v>7369458</v>
      </c>
      <c r="AF10" t="s">
        <v>422</v>
      </c>
      <c r="AG10">
        <v>1666.79</v>
      </c>
      <c r="AH10" t="s">
        <v>740</v>
      </c>
      <c r="AI10" t="s">
        <v>465</v>
      </c>
      <c r="AJ10" t="s">
        <v>741</v>
      </c>
      <c r="AK10" t="s">
        <v>742</v>
      </c>
      <c r="AL10" t="s">
        <v>743</v>
      </c>
      <c r="AM10" t="s">
        <v>5</v>
      </c>
      <c r="AN10" t="s">
        <v>744</v>
      </c>
      <c r="AO10" t="s">
        <v>745</v>
      </c>
      <c r="AP10" t="s">
        <v>746</v>
      </c>
      <c r="AQ10" t="s">
        <v>747</v>
      </c>
      <c r="AR10" t="s">
        <v>748</v>
      </c>
      <c r="AS10" t="s">
        <v>749</v>
      </c>
      <c r="AT10" t="s">
        <v>423</v>
      </c>
      <c r="AU10" t="s">
        <v>750</v>
      </c>
      <c r="AV10" t="s">
        <v>751</v>
      </c>
      <c r="AW10" t="s">
        <v>38</v>
      </c>
      <c r="AX10" t="s">
        <v>433</v>
      </c>
      <c r="AY10" t="s">
        <v>262</v>
      </c>
      <c r="AZ10" t="s">
        <v>136</v>
      </c>
      <c r="BA10" t="s">
        <v>138</v>
      </c>
      <c r="BB10" t="s">
        <v>40</v>
      </c>
      <c r="BC10" t="s">
        <v>752</v>
      </c>
      <c r="BD10" t="s">
        <v>266</v>
      </c>
      <c r="BE10" t="s">
        <v>137</v>
      </c>
      <c r="BF10" t="s">
        <v>140</v>
      </c>
      <c r="BG10" t="s">
        <v>141</v>
      </c>
      <c r="BH10" t="s">
        <v>735</v>
      </c>
      <c r="BI10" t="s">
        <v>485</v>
      </c>
      <c r="BJ10" t="s">
        <v>433</v>
      </c>
      <c r="BK10" t="s">
        <v>736</v>
      </c>
      <c r="BL10" t="s">
        <v>753</v>
      </c>
      <c r="BM10" t="s">
        <v>752</v>
      </c>
      <c r="BN10" t="s">
        <v>5</v>
      </c>
      <c r="BO10" t="s">
        <v>5</v>
      </c>
      <c r="BP10">
        <v>2.08</v>
      </c>
      <c r="BQ10">
        <v>-0.35</v>
      </c>
      <c r="BR10">
        <v>-4.34</v>
      </c>
      <c r="BS10">
        <v>0.95</v>
      </c>
      <c r="BT10" t="s">
        <v>754</v>
      </c>
      <c r="BU10" t="s">
        <v>306</v>
      </c>
      <c r="BV10">
        <v>18.899999999999999</v>
      </c>
      <c r="BW10">
        <v>11.53</v>
      </c>
      <c r="BX10">
        <v>19.579999999999998</v>
      </c>
      <c r="BY10">
        <v>1.42</v>
      </c>
      <c r="BZ10">
        <v>-10.63</v>
      </c>
      <c r="CA10">
        <v>4.07</v>
      </c>
      <c r="CB10">
        <v>6.91</v>
      </c>
      <c r="CC10">
        <v>18.11</v>
      </c>
      <c r="CD10" t="s">
        <v>139</v>
      </c>
      <c r="CE10" t="s">
        <v>318</v>
      </c>
      <c r="CF10" s="7">
        <v>-0.10273972602739725</v>
      </c>
      <c r="CG10" s="8">
        <v>-0.21214034902725787</v>
      </c>
      <c r="CH10" s="7">
        <v>0.25139665603637695</v>
      </c>
      <c r="CI10" s="7">
        <v>-3.4172661602497101E-2</v>
      </c>
      <c r="CJ10" s="7">
        <v>-0.17014925181865692</v>
      </c>
      <c r="CK10" s="7">
        <v>0.60287082195281982</v>
      </c>
      <c r="CL10" s="7">
        <v>-0.10107526928186417</v>
      </c>
      <c r="CM10" s="8">
        <v>1.1117963790893555</v>
      </c>
      <c r="CN10" s="8">
        <v>-5.4682884216308594</v>
      </c>
      <c r="CO10" s="8">
        <v>-0.3830903172492981</v>
      </c>
      <c r="CP10" s="8">
        <v>1.3826508522033691</v>
      </c>
      <c r="CQ10" s="8">
        <v>-7.8608465194702148</v>
      </c>
      <c r="CR10">
        <v>-656.11518560179979</v>
      </c>
      <c r="CS10">
        <v>-59.769602330155635</v>
      </c>
      <c r="CT10">
        <v>0.17226528854435832</v>
      </c>
      <c r="CU10" s="7">
        <v>0.10977405905723572</v>
      </c>
      <c r="CV10" s="8">
        <v>-2.2435556054115295</v>
      </c>
      <c r="CW10">
        <v>0.06</v>
      </c>
      <c r="CX10">
        <v>982.43275331784014</v>
      </c>
      <c r="CY10">
        <v>7301999.2215987649</v>
      </c>
      <c r="CZ10">
        <v>0.10977405905723572</v>
      </c>
      <c r="DA10">
        <v>315.73076871357478</v>
      </c>
      <c r="DB10">
        <v>22721013.948779479</v>
      </c>
      <c r="DC10">
        <v>0.10428535610437394</v>
      </c>
      <c r="DD10">
        <v>151.96751152582996</v>
      </c>
      <c r="DE10">
        <v>47205637.099484123</v>
      </c>
      <c r="DF10">
        <v>9.6601171970367439E-2</v>
      </c>
      <c r="DG10">
        <v>88.950852194412249</v>
      </c>
      <c r="DH10">
        <v>80648167.195981532</v>
      </c>
      <c r="DI10">
        <v>8.7819247245788587E-2</v>
      </c>
      <c r="DJ10">
        <v>43.403553253806614</v>
      </c>
      <c r="DK10">
        <v>165279629.48219785</v>
      </c>
      <c r="DL10">
        <v>7.6841841340064998E-2</v>
      </c>
      <c r="DM10">
        <v>6974500</v>
      </c>
      <c r="DN10">
        <v>0.10977405905723572</v>
      </c>
      <c r="DO10">
        <v>7173723200</v>
      </c>
      <c r="DP10">
        <v>299816820</v>
      </c>
      <c r="DQ10">
        <v>932</v>
      </c>
      <c r="DR10">
        <v>-0.21251378508463298</v>
      </c>
      <c r="DS10">
        <v>2.0314152563842716</v>
      </c>
      <c r="DT10" s="9">
        <v>-0.17333333333333337</v>
      </c>
      <c r="DU10">
        <v>-1.7983333333333336</v>
      </c>
      <c r="DV10">
        <v>-1.9716666666666669</v>
      </c>
      <c r="DW10">
        <v>9.3815571507454454</v>
      </c>
      <c r="DX10">
        <v>0.54710407239819059</v>
      </c>
      <c r="DY10">
        <v>9.1286244693689387</v>
      </c>
      <c r="DZ10">
        <v>4369</v>
      </c>
      <c r="EA10">
        <v>9.0186518066149475</v>
      </c>
      <c r="EB10">
        <v>9</v>
      </c>
      <c r="EC10">
        <v>0.45627143557079863</v>
      </c>
      <c r="ED10">
        <v>1.3535031847133758</v>
      </c>
      <c r="EE10" s="10">
        <v>-2.0840999999999998</v>
      </c>
      <c r="EF10">
        <v>-2.0794999999999999</v>
      </c>
      <c r="EG10">
        <v>21.337104072398191</v>
      </c>
      <c r="EH10" t="s">
        <v>437</v>
      </c>
      <c r="EI10">
        <v>1</v>
      </c>
      <c r="EJ10">
        <v>0</v>
      </c>
      <c r="EK10" s="13">
        <v>45470</v>
      </c>
      <c r="EL10" s="14">
        <v>-0.84</v>
      </c>
      <c r="EM10" s="14">
        <v>3.37</v>
      </c>
      <c r="EN10" s="14">
        <v>1.43</v>
      </c>
      <c r="EO10" s="14">
        <v>10.050000000000001</v>
      </c>
      <c r="EP10" s="14">
        <v>-0.46</v>
      </c>
    </row>
    <row r="11" spans="1:146" ht="96">
      <c r="C11" s="11" t="str">
        <f>""&amp;CHAR(10)&amp;Basic_Fundamental_Information_Constructure(C11)&amp;CHAR(10)&amp;Basic_Fundamental_Information_Concatenate("")</f>
        <v xml:space="preserve">
市值8.2799518亿, 利润-707.54万; PE; 平均PE-2.13; 平均PEG-.19, PB.819; ROIC2.475%; ROE-5.0533%; 股利率0%; 毛利20.14%; 净利-23.3533%; 上一年度营收增70.67%, 利润增97.06%; 当季营收增47.52%, 利润增67.17%; 过往5年营收增11.14%, 利润增-1769.06%
Income profile:
</v>
      </c>
      <c r="D11" t="s">
        <v>461</v>
      </c>
      <c r="E11" t="s">
        <v>462</v>
      </c>
      <c r="F11">
        <v>0.9</v>
      </c>
      <c r="G11">
        <v>4.6500000000000004</v>
      </c>
      <c r="H11" t="s">
        <v>755</v>
      </c>
      <c r="I11">
        <v>827995180</v>
      </c>
      <c r="K11">
        <v>0.81899999999999995</v>
      </c>
      <c r="L11" t="s">
        <v>66</v>
      </c>
      <c r="M11" t="s">
        <v>668</v>
      </c>
      <c r="N11" t="s">
        <v>756</v>
      </c>
      <c r="O11" t="s">
        <v>453</v>
      </c>
      <c r="P11" s="5">
        <v>47.01</v>
      </c>
      <c r="Q11" t="s">
        <v>452</v>
      </c>
      <c r="R11">
        <v>-3099234</v>
      </c>
      <c r="S11">
        <v>0.67169999999999996</v>
      </c>
      <c r="T11" t="s">
        <v>757</v>
      </c>
      <c r="U11">
        <v>833169710</v>
      </c>
      <c r="V11">
        <v>919994640</v>
      </c>
      <c r="W11">
        <v>1.35</v>
      </c>
      <c r="X11">
        <v>7.0000000000000007E-2</v>
      </c>
      <c r="Y11">
        <v>-1.86</v>
      </c>
      <c r="Z11" t="s">
        <v>296</v>
      </c>
      <c r="AA11" t="s">
        <v>38</v>
      </c>
      <c r="AB11" t="s">
        <v>758</v>
      </c>
      <c r="AC11" t="s">
        <v>759</v>
      </c>
      <c r="AD11" t="s">
        <v>5</v>
      </c>
      <c r="AE11">
        <v>1154097</v>
      </c>
      <c r="AF11" t="s">
        <v>760</v>
      </c>
      <c r="AG11">
        <v>3333.91</v>
      </c>
      <c r="AH11" t="s">
        <v>761</v>
      </c>
      <c r="AI11" t="s">
        <v>762</v>
      </c>
      <c r="AJ11" t="s">
        <v>763</v>
      </c>
      <c r="AK11" t="s">
        <v>764</v>
      </c>
      <c r="AL11" t="s">
        <v>765</v>
      </c>
      <c r="AM11" t="s">
        <v>5</v>
      </c>
      <c r="AN11" t="s">
        <v>766</v>
      </c>
      <c r="AO11" t="s">
        <v>767</v>
      </c>
      <c r="AP11" t="s">
        <v>5</v>
      </c>
      <c r="AQ11" t="s">
        <v>244</v>
      </c>
      <c r="AR11" t="s">
        <v>768</v>
      </c>
      <c r="AS11" t="s">
        <v>124</v>
      </c>
      <c r="AT11" t="s">
        <v>769</v>
      </c>
      <c r="AU11" t="s">
        <v>770</v>
      </c>
      <c r="AV11" t="s">
        <v>771</v>
      </c>
      <c r="AW11" t="s">
        <v>772</v>
      </c>
      <c r="AX11" t="s">
        <v>143</v>
      </c>
      <c r="AY11" t="s">
        <v>466</v>
      </c>
      <c r="AZ11" t="s">
        <v>412</v>
      </c>
      <c r="BA11" t="s">
        <v>467</v>
      </c>
      <c r="BB11" t="s">
        <v>468</v>
      </c>
      <c r="BC11" t="s">
        <v>463</v>
      </c>
      <c r="BD11" t="s">
        <v>469</v>
      </c>
      <c r="BE11" t="s">
        <v>470</v>
      </c>
      <c r="BF11" t="s">
        <v>471</v>
      </c>
      <c r="BG11" t="s">
        <v>472</v>
      </c>
      <c r="BH11" t="s">
        <v>452</v>
      </c>
      <c r="BI11" t="s">
        <v>319</v>
      </c>
      <c r="BJ11" t="s">
        <v>143</v>
      </c>
      <c r="BK11" t="s">
        <v>757</v>
      </c>
      <c r="BL11" t="s">
        <v>773</v>
      </c>
      <c r="BM11" t="s">
        <v>463</v>
      </c>
      <c r="BN11">
        <v>4.17</v>
      </c>
      <c r="BO11" t="s">
        <v>5</v>
      </c>
      <c r="BP11">
        <v>0.78</v>
      </c>
      <c r="BQ11">
        <v>4.74</v>
      </c>
      <c r="BR11">
        <v>-20.23</v>
      </c>
      <c r="BS11">
        <v>0.33</v>
      </c>
      <c r="BT11" t="s">
        <v>397</v>
      </c>
      <c r="BU11" t="s">
        <v>306</v>
      </c>
      <c r="BV11">
        <v>24.27</v>
      </c>
      <c r="BW11">
        <v>11.33</v>
      </c>
      <c r="BX11">
        <v>24.82</v>
      </c>
      <c r="BY11">
        <v>1.67</v>
      </c>
      <c r="BZ11">
        <v>-73.930000000000007</v>
      </c>
      <c r="CA11">
        <v>2.2000000000000002</v>
      </c>
      <c r="CB11">
        <v>7.14</v>
      </c>
      <c r="CC11" s="7">
        <v>-33.33</v>
      </c>
      <c r="CD11" s="8" t="s">
        <v>710</v>
      </c>
      <c r="CE11" s="7" t="s">
        <v>774</v>
      </c>
      <c r="CF11" s="7">
        <v>0.47524752475247523</v>
      </c>
      <c r="CG11" s="7">
        <v>0.67165653141222592</v>
      </c>
      <c r="CH11" s="7">
        <v>0.70670390129089355</v>
      </c>
      <c r="CI11" s="7">
        <v>-0.45259937644004822</v>
      </c>
      <c r="CJ11" s="8">
        <v>0.46966293454170227</v>
      </c>
      <c r="CK11" s="8">
        <v>-0.58176690340042114</v>
      </c>
      <c r="CL11" s="8">
        <v>0.41489362716674805</v>
      </c>
      <c r="CM11" s="8">
        <v>0.97064155340194702</v>
      </c>
      <c r="CN11" s="8">
        <v>-89.887245178222656</v>
      </c>
      <c r="CO11">
        <v>-0.91917449235916138</v>
      </c>
      <c r="CP11">
        <v>1.0399821996688843</v>
      </c>
      <c r="CQ11">
        <v>0.34299135208129883</v>
      </c>
      <c r="CR11" s="7">
        <v>-2.1341741260811085</v>
      </c>
      <c r="CS11" s="8">
        <v>-0.19161397179401468</v>
      </c>
      <c r="CT11">
        <v>0</v>
      </c>
      <c r="CU11">
        <v>0.11137883663177491</v>
      </c>
      <c r="CV11">
        <v>-17.690560913085939</v>
      </c>
      <c r="CW11">
        <v>0.06</v>
      </c>
      <c r="CX11" t="s">
        <v>775</v>
      </c>
      <c r="CY11" t="s">
        <v>411</v>
      </c>
      <c r="CZ11">
        <v>0.11137883663177491</v>
      </c>
      <c r="DA11" t="s">
        <v>775</v>
      </c>
      <c r="DB11" t="s">
        <v>295</v>
      </c>
      <c r="DC11">
        <v>0.10580989480018616</v>
      </c>
      <c r="DD11" t="s">
        <v>775</v>
      </c>
      <c r="DE11" t="s">
        <v>295</v>
      </c>
      <c r="DF11">
        <v>9.8013376235961916E-2</v>
      </c>
      <c r="DG11" t="s">
        <v>775</v>
      </c>
      <c r="DH11" t="s">
        <v>295</v>
      </c>
      <c r="DI11">
        <v>8.9103069305419932E-2</v>
      </c>
      <c r="DJ11" t="s">
        <v>775</v>
      </c>
      <c r="DK11" t="s">
        <v>295</v>
      </c>
      <c r="DL11">
        <v>7.7965185642242432E-2</v>
      </c>
      <c r="DM11">
        <v>-7075400</v>
      </c>
      <c r="DN11">
        <v>0.11137883663177491</v>
      </c>
      <c r="DO11">
        <v>-273004820</v>
      </c>
      <c r="DP11">
        <v>255148940</v>
      </c>
      <c r="DQ11" s="9">
        <v>999</v>
      </c>
      <c r="DR11">
        <v>0.36386868812070033</v>
      </c>
      <c r="DS11">
        <v>18.362217444498164</v>
      </c>
      <c r="DT11">
        <v>-0.14000000000000001</v>
      </c>
      <c r="DU11">
        <v>-2.0483333333333333</v>
      </c>
      <c r="DV11">
        <v>-2.1883333333333335</v>
      </c>
      <c r="DW11">
        <v>7.1764269829503338</v>
      </c>
      <c r="DX11">
        <v>0.44839363241678654</v>
      </c>
      <c r="DY11">
        <v>7.0367662598333549</v>
      </c>
      <c r="DZ11">
        <v>4523</v>
      </c>
      <c r="EA11">
        <v>7.0042234431550252</v>
      </c>
      <c r="EB11" s="10">
        <v>7</v>
      </c>
      <c r="EC11" s="10">
        <v>0.15652265104501042</v>
      </c>
      <c r="ED11">
        <v>0.75109133244515425</v>
      </c>
      <c r="EE11">
        <v>-4.1434100000000003</v>
      </c>
      <c r="EF11">
        <v>-4.0908100000000003</v>
      </c>
      <c r="EG11">
        <v>24.208393632416787</v>
      </c>
      <c r="EH11" s="13" t="s">
        <v>776</v>
      </c>
      <c r="EI11">
        <v>1</v>
      </c>
      <c r="EJ11">
        <v>0</v>
      </c>
      <c r="EK11">
        <v>45470</v>
      </c>
      <c r="EL11">
        <v>-5.38</v>
      </c>
      <c r="EM11">
        <v>-4.55</v>
      </c>
      <c r="EN11" s="14">
        <v>-4.76</v>
      </c>
      <c r="EO11" s="14">
        <v>-5</v>
      </c>
      <c r="EP11" s="14">
        <v>5.26</v>
      </c>
    </row>
    <row r="12" spans="1:146" ht="144">
      <c r="A12" s="6"/>
      <c r="B12" s="6"/>
      <c r="C12" s="6" t="str">
        <f>"公司专注于钨制品的开发、生产与销售，主要产品包括各种规格的氧化钨、钨粉、碳化钨粉、钨合金粉及钨硬质合金等。"&amp;CHAR(10)&amp;Basic_Fundamental_Information_Constructure(F12)&amp;CHAR(10)&amp;Basic_Fundamental_Information_Concatenate("碳化钨粉 6.37亿 70.75% 5.69亿 86.15% 68.52% 10.68%
硬质合金 1.18亿 13.06% 8957.98万 13.56% 28.29% 23.88%")</f>
        <v>公司专注于钨制品的开发、生产与销售，主要产品包括各种规格的氧化钨、钨粉、碳化钨粉、钨合金粉及钨硬质合金等。
市值14.61316亿, 利润-1.29亿; PE; 平均PE125.62; 平均PEG57.26, PB1.98; ROIC3.84%; ROE-2.0067%; 股利率0%; 毛利9.5733%; 净利-2.6767%; 上一年度营收增7.47%, 利润增-212.63%; 当季营收增19.07%, 利润增-1321.1%; 过往5年营收增2.19%, 利润增-119.03%
Income profile:
碳化钨粉 6.37亿 70.75% 5.69亿 86.15% 68.52% 10.68%
硬质合金 1.18亿 13.06% 8957.98万 13.56% 28.29% 23.88%</v>
      </c>
      <c r="D12" t="s">
        <v>146</v>
      </c>
      <c r="E12" t="s">
        <v>147</v>
      </c>
      <c r="F12">
        <v>5.29</v>
      </c>
      <c r="G12">
        <v>2.3199999999999998</v>
      </c>
      <c r="H12" t="s">
        <v>777</v>
      </c>
      <c r="I12">
        <v>1461316000</v>
      </c>
      <c r="K12">
        <v>1.98</v>
      </c>
      <c r="L12" t="s">
        <v>66</v>
      </c>
      <c r="M12" t="s">
        <v>778</v>
      </c>
      <c r="N12" t="s">
        <v>779</v>
      </c>
      <c r="O12" t="s">
        <v>413</v>
      </c>
      <c r="P12">
        <v>18.87</v>
      </c>
      <c r="Q12" t="s">
        <v>448</v>
      </c>
      <c r="R12">
        <v>-20739140</v>
      </c>
      <c r="S12" s="5">
        <v>-13.21</v>
      </c>
      <c r="T12" t="s">
        <v>780</v>
      </c>
      <c r="U12">
        <v>212385880</v>
      </c>
      <c r="V12">
        <v>276241220</v>
      </c>
      <c r="W12">
        <v>2.67</v>
      </c>
      <c r="X12">
        <v>0.22</v>
      </c>
      <c r="Y12">
        <v>-4.49</v>
      </c>
      <c r="Z12" t="s">
        <v>781</v>
      </c>
      <c r="AA12" t="s">
        <v>782</v>
      </c>
      <c r="AB12" t="s">
        <v>783</v>
      </c>
      <c r="AC12" t="s">
        <v>784</v>
      </c>
      <c r="AD12" t="s">
        <v>5</v>
      </c>
      <c r="AE12">
        <v>11507438</v>
      </c>
      <c r="AF12" t="s">
        <v>422</v>
      </c>
      <c r="AG12" t="s">
        <v>5</v>
      </c>
      <c r="AH12" t="s">
        <v>785</v>
      </c>
      <c r="AI12" t="s">
        <v>766</v>
      </c>
      <c r="AJ12" t="s">
        <v>786</v>
      </c>
      <c r="AK12" t="s">
        <v>5</v>
      </c>
      <c r="AL12" t="s">
        <v>787</v>
      </c>
      <c r="AM12" t="s">
        <v>5</v>
      </c>
      <c r="AN12" t="s">
        <v>788</v>
      </c>
      <c r="AO12" t="s">
        <v>524</v>
      </c>
      <c r="AP12" t="s">
        <v>789</v>
      </c>
      <c r="AQ12" t="s">
        <v>790</v>
      </c>
      <c r="AR12" t="s">
        <v>5</v>
      </c>
      <c r="AS12" t="s">
        <v>791</v>
      </c>
      <c r="AT12" t="s">
        <v>792</v>
      </c>
      <c r="AU12" t="s">
        <v>793</v>
      </c>
      <c r="AV12" t="s">
        <v>794</v>
      </c>
      <c r="AW12" t="s">
        <v>795</v>
      </c>
      <c r="AX12" t="s">
        <v>480</v>
      </c>
      <c r="AY12" t="s">
        <v>268</v>
      </c>
      <c r="AZ12" t="s">
        <v>148</v>
      </c>
      <c r="BA12" t="s">
        <v>150</v>
      </c>
      <c r="BB12" t="s">
        <v>151</v>
      </c>
      <c r="BC12" t="s">
        <v>481</v>
      </c>
      <c r="BD12" t="s">
        <v>269</v>
      </c>
      <c r="BE12" t="s">
        <v>149</v>
      </c>
      <c r="BF12" t="s">
        <v>152</v>
      </c>
      <c r="BG12" t="s">
        <v>21</v>
      </c>
      <c r="BH12" t="s">
        <v>448</v>
      </c>
      <c r="BI12" t="s">
        <v>796</v>
      </c>
      <c r="BJ12" t="s">
        <v>480</v>
      </c>
      <c r="BK12" t="s">
        <v>780</v>
      </c>
      <c r="BL12" t="s">
        <v>797</v>
      </c>
      <c r="BM12" t="s">
        <v>481</v>
      </c>
      <c r="BN12" t="s">
        <v>5</v>
      </c>
      <c r="BO12" t="s">
        <v>5</v>
      </c>
      <c r="BP12">
        <v>3.84</v>
      </c>
      <c r="BQ12">
        <v>-4.33</v>
      </c>
      <c r="BR12">
        <v>-4.17</v>
      </c>
      <c r="BS12">
        <v>2.48</v>
      </c>
      <c r="BT12" t="s">
        <v>397</v>
      </c>
      <c r="BU12" t="s">
        <v>559</v>
      </c>
      <c r="BV12">
        <v>5.97</v>
      </c>
      <c r="BW12">
        <v>9.91</v>
      </c>
      <c r="BX12">
        <v>12.84</v>
      </c>
      <c r="BY12">
        <v>-7.18</v>
      </c>
      <c r="BZ12">
        <v>-2.4700000000000002</v>
      </c>
      <c r="CA12">
        <v>1.62</v>
      </c>
      <c r="CB12">
        <v>2.3199999999999998</v>
      </c>
      <c r="CC12">
        <v>-12.56</v>
      </c>
      <c r="CD12" t="s">
        <v>798</v>
      </c>
      <c r="CE12" t="s">
        <v>799</v>
      </c>
      <c r="CF12" s="7">
        <v>0.19072164948453607</v>
      </c>
      <c r="CG12" s="8">
        <v>-13.210986811116344</v>
      </c>
      <c r="CH12" s="7">
        <v>7.4671410024166107E-2</v>
      </c>
      <c r="CI12" s="7">
        <v>9.8425194621086121E-2</v>
      </c>
      <c r="CJ12" s="7">
        <v>0.18139535188674927</v>
      </c>
      <c r="CK12" s="7">
        <v>-0.12837837636470795</v>
      </c>
      <c r="CL12" s="7">
        <v>-0.11641794443130493</v>
      </c>
      <c r="CM12" s="8">
        <v>-2.1263253688812256</v>
      </c>
      <c r="CN12" s="8">
        <v>-2.6671717166900635</v>
      </c>
      <c r="CO12" s="8">
        <v>-0.40480771660804749</v>
      </c>
      <c r="CP12" s="8">
        <v>-0.37680664658546448</v>
      </c>
      <c r="CQ12" s="8">
        <v>-0.37639251351356506</v>
      </c>
      <c r="CR12">
        <v>125.62049495176706</v>
      </c>
      <c r="CS12">
        <v>57.258656695379294</v>
      </c>
      <c r="CT12">
        <v>0</v>
      </c>
      <c r="CU12" s="7">
        <v>2.1939127147197722E-2</v>
      </c>
      <c r="CV12" s="8">
        <v>-1.1903007924556732</v>
      </c>
      <c r="CW12">
        <v>0.06</v>
      </c>
      <c r="CX12" t="e">
        <v>#VALUE!</v>
      </c>
      <c r="CY12" t="s">
        <v>411</v>
      </c>
      <c r="CZ12">
        <v>2.1939127147197722E-2</v>
      </c>
      <c r="DA12" t="e">
        <v>#VALUE!</v>
      </c>
      <c r="DB12" t="s">
        <v>295</v>
      </c>
      <c r="DC12">
        <v>2.0842170789837834E-2</v>
      </c>
      <c r="DD12" t="e">
        <v>#VALUE!</v>
      </c>
      <c r="DE12" t="s">
        <v>295</v>
      </c>
      <c r="DF12">
        <v>1.9306431889533994E-2</v>
      </c>
      <c r="DG12" t="e">
        <v>#VALUE!</v>
      </c>
      <c r="DH12" t="s">
        <v>295</v>
      </c>
      <c r="DI12">
        <v>1.7551301717758178E-2</v>
      </c>
      <c r="DJ12" t="e">
        <v>#VALUE!</v>
      </c>
      <c r="DK12" t="s">
        <v>295</v>
      </c>
      <c r="DL12">
        <v>1.5357389003038404E-2</v>
      </c>
      <c r="DM12">
        <v>-129000000</v>
      </c>
      <c r="DN12">
        <v>2.1939127147197722E-2</v>
      </c>
      <c r="DO12">
        <v>1948316000</v>
      </c>
      <c r="DP12">
        <v>363855580.00000012</v>
      </c>
      <c r="DQ12">
        <v>1312</v>
      </c>
      <c r="DR12">
        <v>0.16878252233733834</v>
      </c>
      <c r="DS12">
        <v>-12.020686018660671</v>
      </c>
      <c r="DT12" s="9">
        <v>-0.3066666666666667</v>
      </c>
      <c r="DU12">
        <v>-2.7149999999999999</v>
      </c>
      <c r="DV12">
        <v>-3.0216666666666665</v>
      </c>
      <c r="DW12">
        <v>-2.1255999999999999</v>
      </c>
      <c r="DX12">
        <v>0.27074347826087053</v>
      </c>
      <c r="DY12">
        <v>-2.012653380869565</v>
      </c>
      <c r="DZ12">
        <v>4913</v>
      </c>
      <c r="EA12">
        <v>-2.0004878113564195</v>
      </c>
      <c r="EB12">
        <v>2</v>
      </c>
      <c r="EC12">
        <v>9.2267547906137976E-2</v>
      </c>
      <c r="ED12">
        <v>0.91586621287004155</v>
      </c>
      <c r="EE12" s="10">
        <v>-3.0419999999999998</v>
      </c>
      <c r="EF12">
        <v>-3.0226999999999999</v>
      </c>
      <c r="EG12">
        <v>17.10074347826087</v>
      </c>
      <c r="EH12" t="s">
        <v>457</v>
      </c>
      <c r="EI12">
        <v>0</v>
      </c>
      <c r="EJ12">
        <v>0</v>
      </c>
      <c r="EK12" s="13">
        <v>45470</v>
      </c>
      <c r="EL12" s="14">
        <v>-0.97</v>
      </c>
      <c r="EM12" s="14">
        <v>-4.7</v>
      </c>
      <c r="EN12" s="14">
        <v>1.85</v>
      </c>
      <c r="EO12" s="14">
        <v>4.6399999999999997</v>
      </c>
      <c r="EP12" s="14">
        <v>-1.93</v>
      </c>
    </row>
    <row r="13" spans="1:146" ht="156">
      <c r="A13" s="6"/>
      <c r="B13" s="6"/>
      <c r="C13" s="6" t="str">
        <f>"公司主要业务为钒钛磁铁矿的开采、洗选和销售，主要产品为钒钛铁精矿、钛精矿。公司是国内重要的钛精矿供应商及龙头企业，钛金属回收率处于行业领先地位；钛精矿对市场销售，销售规模国内第一；"&amp;CHAR(10)&amp;Basic_Fundamental_Information_Constructure(F13)&amp;CHAR(10)&amp;Basic_Fundamental_Information_Concatenate("钛精矿 12.71亿 55.18% 60.57% 81.78%
钒钛铁精矿(61%) 10.20亿 44.27% 39.12% 65.84%
其他 1282.39万 0.56% 0.30% 40.54%")</f>
        <v>公司主要业务为钒钛磁铁矿的开采、洗选和销售，主要产品为钒钛铁精矿、钛精矿。公司是国内重要的钛精矿供应商及龙头企业，钛金属回收率处于行业领先地位；钛精矿对市场销售，销售规模国内第一；
市值109.2324亿, 利润9.36亿; PE11.68; 平均PE12.66; 平均PEG1.23, PB1.75; ROIC20.9833%; ROE22.03%; 股利率1.8355%; 毛利70.6133%; 净利55.87%; 上一年度营收增-7.01%, 利润增-14.52%; 当季营收增0%, 利润增-.75%; 过往5年营收增10.28%, 利润增21.5%
Income profile:
钛精矿 12.71亿 55.18% 60.57% 81.78%
钒钛铁精矿(61%) 10.20亿 44.27% 39.12% 65.84%
其他 1282.39万 0.56% 0.30% 40.54%</v>
      </c>
      <c r="D13" t="s">
        <v>154</v>
      </c>
      <c r="E13" t="s">
        <v>155</v>
      </c>
      <c r="F13">
        <v>27.24</v>
      </c>
      <c r="G13">
        <v>1.98</v>
      </c>
      <c r="H13" t="s">
        <v>800</v>
      </c>
      <c r="I13">
        <v>10923240000</v>
      </c>
      <c r="J13">
        <v>11.68</v>
      </c>
      <c r="K13">
        <v>1.75</v>
      </c>
      <c r="L13" t="s">
        <v>66</v>
      </c>
      <c r="M13" t="s">
        <v>801</v>
      </c>
      <c r="N13" t="s">
        <v>802</v>
      </c>
      <c r="O13" t="s">
        <v>412</v>
      </c>
      <c r="P13">
        <v>0.03</v>
      </c>
      <c r="Q13" t="s">
        <v>803</v>
      </c>
      <c r="R13">
        <v>230267520</v>
      </c>
      <c r="S13" s="5">
        <v>-5.7299999999999999E-3</v>
      </c>
      <c r="T13" t="s">
        <v>804</v>
      </c>
      <c r="U13">
        <v>299000000</v>
      </c>
      <c r="V13">
        <v>401000000</v>
      </c>
      <c r="W13">
        <v>1.19</v>
      </c>
      <c r="X13">
        <v>0.06</v>
      </c>
      <c r="Y13">
        <v>51.7</v>
      </c>
      <c r="Z13" t="s">
        <v>272</v>
      </c>
      <c r="AA13" t="s">
        <v>453</v>
      </c>
      <c r="AB13" t="s">
        <v>805</v>
      </c>
      <c r="AC13" t="s">
        <v>806</v>
      </c>
      <c r="AD13" t="s">
        <v>5</v>
      </c>
      <c r="AE13">
        <v>-8677133</v>
      </c>
      <c r="AF13" t="s">
        <v>807</v>
      </c>
      <c r="AG13" t="s">
        <v>808</v>
      </c>
      <c r="AH13" t="s">
        <v>809</v>
      </c>
      <c r="AI13" t="s">
        <v>810</v>
      </c>
      <c r="AJ13" t="s">
        <v>811</v>
      </c>
      <c r="AK13" t="s">
        <v>526</v>
      </c>
      <c r="AL13" t="s">
        <v>812</v>
      </c>
      <c r="AM13" t="s">
        <v>5</v>
      </c>
      <c r="AN13" t="s">
        <v>284</v>
      </c>
      <c r="AO13" t="s">
        <v>308</v>
      </c>
      <c r="AP13" t="s">
        <v>813</v>
      </c>
      <c r="AQ13" t="s">
        <v>814</v>
      </c>
      <c r="AR13" t="s">
        <v>5</v>
      </c>
      <c r="AS13" t="s">
        <v>815</v>
      </c>
      <c r="AT13" t="s">
        <v>5</v>
      </c>
      <c r="AU13" t="s">
        <v>816</v>
      </c>
      <c r="AV13" t="s">
        <v>817</v>
      </c>
      <c r="AW13" t="s">
        <v>407</v>
      </c>
      <c r="AX13" t="s">
        <v>482</v>
      </c>
      <c r="AY13" t="s">
        <v>270</v>
      </c>
      <c r="AZ13" t="s">
        <v>156</v>
      </c>
      <c r="BA13" t="s">
        <v>158</v>
      </c>
      <c r="BB13" t="s">
        <v>159</v>
      </c>
      <c r="BC13" t="s">
        <v>96</v>
      </c>
      <c r="BD13" t="s">
        <v>271</v>
      </c>
      <c r="BE13" t="s">
        <v>157</v>
      </c>
      <c r="BF13" t="s">
        <v>145</v>
      </c>
      <c r="BG13" t="s">
        <v>160</v>
      </c>
      <c r="BH13" t="s">
        <v>803</v>
      </c>
      <c r="BI13" t="s">
        <v>412</v>
      </c>
      <c r="BJ13" t="s">
        <v>482</v>
      </c>
      <c r="BK13" t="s">
        <v>804</v>
      </c>
      <c r="BL13" t="s">
        <v>60</v>
      </c>
      <c r="BM13" t="s">
        <v>96</v>
      </c>
      <c r="BN13">
        <v>11.53</v>
      </c>
      <c r="BO13">
        <v>19.739999999999998</v>
      </c>
      <c r="BP13">
        <v>31.68</v>
      </c>
      <c r="BQ13">
        <v>12.71</v>
      </c>
      <c r="BR13">
        <v>21.3</v>
      </c>
      <c r="BS13">
        <v>32.08</v>
      </c>
      <c r="BT13" t="s">
        <v>404</v>
      </c>
      <c r="BU13" t="s">
        <v>306</v>
      </c>
      <c r="BV13">
        <v>66.59</v>
      </c>
      <c r="BW13">
        <v>70.75</v>
      </c>
      <c r="BX13">
        <v>74.5</v>
      </c>
      <c r="BY13">
        <v>50.45</v>
      </c>
      <c r="BZ13">
        <v>54.85</v>
      </c>
      <c r="CA13">
        <v>62.31</v>
      </c>
      <c r="CB13">
        <v>-2.23</v>
      </c>
      <c r="CC13">
        <v>-13.28</v>
      </c>
      <c r="CD13" t="s">
        <v>818</v>
      </c>
      <c r="CE13" t="s">
        <v>819</v>
      </c>
      <c r="CF13" s="7">
        <v>0</v>
      </c>
      <c r="CG13" s="8">
        <v>-7.4675862068964245E-3</v>
      </c>
      <c r="CH13" s="7">
        <v>-7.0140279829502106E-2</v>
      </c>
      <c r="CI13" s="7">
        <v>-0.1333044022321701</v>
      </c>
      <c r="CJ13" s="7">
        <v>0.4077017605304718</v>
      </c>
      <c r="CK13" s="7">
        <v>0.1898181289434433</v>
      </c>
      <c r="CL13" s="7">
        <v>0.119706891477108</v>
      </c>
      <c r="CM13" s="8">
        <v>-0.14520552754402161</v>
      </c>
      <c r="CN13" s="8">
        <v>-0.23693378269672394</v>
      </c>
      <c r="CO13" s="8">
        <v>1.0470757484436035</v>
      </c>
      <c r="CP13" s="8">
        <v>0.35067436099052429</v>
      </c>
      <c r="CQ13" s="8">
        <v>5.9183672070503235E-2</v>
      </c>
      <c r="CR13">
        <v>12.662179289026275</v>
      </c>
      <c r="CS13">
        <v>1.2322518939836815</v>
      </c>
      <c r="CT13">
        <v>1.8355359765051396</v>
      </c>
      <c r="CU13" s="7">
        <v>0.10275641977787017</v>
      </c>
      <c r="CV13" s="8">
        <v>0.21495889425277709</v>
      </c>
      <c r="CW13">
        <v>0.06</v>
      </c>
      <c r="CX13">
        <v>5.8816043205474182</v>
      </c>
      <c r="CY13">
        <v>973754725.38876081</v>
      </c>
      <c r="CZ13">
        <v>0.10275641977787017</v>
      </c>
      <c r="DA13">
        <v>1.9014331016322696</v>
      </c>
      <c r="DB13">
        <v>3012064949.8967371</v>
      </c>
      <c r="DC13">
        <v>9.7618598788976663E-2</v>
      </c>
      <c r="DD13">
        <v>0.92256190945169803</v>
      </c>
      <c r="DE13">
        <v>6207973623.5846157</v>
      </c>
      <c r="DF13">
        <v>9.0425649404525757E-2</v>
      </c>
      <c r="DG13">
        <v>0.54497845631454145</v>
      </c>
      <c r="DH13">
        <v>10509112669.757442</v>
      </c>
      <c r="DI13">
        <v>8.2205135822296146E-2</v>
      </c>
      <c r="DJ13">
        <v>0.27145752418180935</v>
      </c>
      <c r="DK13">
        <v>21098107401.009693</v>
      </c>
      <c r="DL13">
        <v>7.1929493844509113E-2</v>
      </c>
      <c r="DM13">
        <v>936000000</v>
      </c>
      <c r="DN13">
        <v>0.10275641977787017</v>
      </c>
      <c r="DO13">
        <v>5727240000</v>
      </c>
      <c r="DP13">
        <v>2593953400</v>
      </c>
      <c r="DQ13">
        <v>1436</v>
      </c>
      <c r="DR13">
        <v>-0.10275641977787017</v>
      </c>
      <c r="DS13">
        <v>-0.2224264804596735</v>
      </c>
      <c r="DT13" s="9">
        <v>-0.19000000000000003</v>
      </c>
      <c r="DU13">
        <v>0.23333333333333331</v>
      </c>
      <c r="DV13">
        <v>4.3333333333333279E-2</v>
      </c>
      <c r="DW13">
        <v>-2.1328</v>
      </c>
      <c r="DX13">
        <v>0.43947607122372179</v>
      </c>
      <c r="DY13">
        <v>-2.0211784222585103</v>
      </c>
      <c r="DZ13">
        <v>1610</v>
      </c>
      <c r="EA13">
        <v>-2.0145057686702126</v>
      </c>
      <c r="EB13">
        <v>2</v>
      </c>
      <c r="EC13">
        <v>1.268852867830424E-2</v>
      </c>
      <c r="ED13">
        <v>7.9563840399002508E-2</v>
      </c>
      <c r="EE13" s="10">
        <v>-2.1004999999999998</v>
      </c>
      <c r="EF13">
        <v>-2.0649999999999999</v>
      </c>
      <c r="EG13">
        <v>28.159476071223722</v>
      </c>
      <c r="EH13" t="s">
        <v>437</v>
      </c>
      <c r="EI13">
        <v>0</v>
      </c>
      <c r="EJ13">
        <v>0</v>
      </c>
      <c r="EK13" s="13">
        <v>45470</v>
      </c>
      <c r="EL13" s="14">
        <v>-0.28000000000000003</v>
      </c>
      <c r="EM13" s="14">
        <v>-3.84</v>
      </c>
      <c r="EN13" s="14">
        <v>1.49</v>
      </c>
      <c r="EO13" s="14">
        <v>2.79</v>
      </c>
      <c r="EP13" s="14">
        <v>-3.55</v>
      </c>
    </row>
    <row r="14" spans="1:146" ht="96">
      <c r="C14" s="6" t="str">
        <f>""&amp;CHAR(10)&amp;Basic_Fundamental_Information_Constructure(F14)&amp;CHAR(10)&amp;Basic_Fundamental_Information_Concatenate("")</f>
        <v xml:space="preserve">
市值29.343003亿, 利润340.68万; PE612.2; 平均PE-932.01; 平均PEG-70.57, PB2.68; ROIC0%; ROE-5.3467%; 股利率0%; 毛利14.8367%; 净利-7.0933%; 上一年度营收增5.63%, 利润增3.62%; 当季营收增-.52%, 利润增292.36%; 过往5年营收增13.21%, 利润增-243.29%
Income profile:
</v>
      </c>
      <c r="D14" t="s">
        <v>820</v>
      </c>
      <c r="E14" t="s">
        <v>821</v>
      </c>
      <c r="F14">
        <v>4.25</v>
      </c>
      <c r="G14">
        <v>1.92</v>
      </c>
      <c r="H14" t="s">
        <v>822</v>
      </c>
      <c r="I14">
        <v>2934300300</v>
      </c>
      <c r="J14">
        <v>612.20000000000005</v>
      </c>
      <c r="K14">
        <v>2.68</v>
      </c>
      <c r="L14" t="s">
        <v>66</v>
      </c>
      <c r="M14" t="s">
        <v>823</v>
      </c>
      <c r="N14" t="s">
        <v>824</v>
      </c>
      <c r="O14" t="s">
        <v>825</v>
      </c>
      <c r="P14" s="5">
        <v>-0.3</v>
      </c>
      <c r="Q14" t="s">
        <v>826</v>
      </c>
      <c r="R14">
        <v>911986</v>
      </c>
      <c r="S14">
        <v>2.923</v>
      </c>
      <c r="T14" t="s">
        <v>827</v>
      </c>
      <c r="U14">
        <v>685017980</v>
      </c>
      <c r="V14">
        <v>690423600</v>
      </c>
      <c r="W14">
        <v>2.25</v>
      </c>
      <c r="X14">
        <v>0.14000000000000001</v>
      </c>
      <c r="Y14">
        <v>-0.56999999999999995</v>
      </c>
      <c r="Z14" t="s">
        <v>828</v>
      </c>
      <c r="AA14" t="s">
        <v>61</v>
      </c>
      <c r="AB14" t="s">
        <v>829</v>
      </c>
      <c r="AC14" t="s">
        <v>830</v>
      </c>
      <c r="AD14" t="s">
        <v>5</v>
      </c>
      <c r="AE14">
        <v>4582389</v>
      </c>
      <c r="AF14" t="s">
        <v>831</v>
      </c>
      <c r="AG14" t="s">
        <v>832</v>
      </c>
      <c r="AH14" t="s">
        <v>833</v>
      </c>
      <c r="AI14" t="s">
        <v>834</v>
      </c>
      <c r="AJ14" t="s">
        <v>835</v>
      </c>
      <c r="AK14" t="s">
        <v>836</v>
      </c>
      <c r="AL14" t="s">
        <v>837</v>
      </c>
      <c r="AM14" t="s">
        <v>5</v>
      </c>
      <c r="AN14" t="s">
        <v>838</v>
      </c>
      <c r="AO14" t="s">
        <v>839</v>
      </c>
      <c r="AP14" t="s">
        <v>474</v>
      </c>
      <c r="AQ14" t="s">
        <v>576</v>
      </c>
      <c r="AR14" t="s">
        <v>5</v>
      </c>
      <c r="AS14" t="s">
        <v>840</v>
      </c>
      <c r="AT14" t="s">
        <v>841</v>
      </c>
      <c r="AU14" t="s">
        <v>842</v>
      </c>
      <c r="AV14" t="s">
        <v>843</v>
      </c>
      <c r="AW14" t="s">
        <v>844</v>
      </c>
      <c r="AX14" t="s">
        <v>486</v>
      </c>
      <c r="AY14" t="s">
        <v>845</v>
      </c>
      <c r="AZ14" t="s">
        <v>97</v>
      </c>
      <c r="BA14" t="s">
        <v>142</v>
      </c>
      <c r="BB14" t="s">
        <v>441</v>
      </c>
      <c r="BC14" t="s">
        <v>846</v>
      </c>
      <c r="BD14" t="s">
        <v>847</v>
      </c>
      <c r="BE14" t="s">
        <v>848</v>
      </c>
      <c r="BF14" t="s">
        <v>22</v>
      </c>
      <c r="BG14" t="s">
        <v>849</v>
      </c>
      <c r="BH14" t="s">
        <v>826</v>
      </c>
      <c r="BI14" t="s">
        <v>850</v>
      </c>
      <c r="BJ14" t="s">
        <v>486</v>
      </c>
      <c r="BK14" t="s">
        <v>827</v>
      </c>
      <c r="BL14" t="s">
        <v>851</v>
      </c>
      <c r="BM14" t="s">
        <v>846</v>
      </c>
      <c r="BN14" t="s">
        <v>5</v>
      </c>
      <c r="BO14" t="s">
        <v>5</v>
      </c>
      <c r="BP14" t="s">
        <v>5</v>
      </c>
      <c r="BQ14">
        <v>0.47</v>
      </c>
      <c r="BR14">
        <v>0.3</v>
      </c>
      <c r="BS14">
        <v>-16.809999999999999</v>
      </c>
      <c r="BT14" t="s">
        <v>397</v>
      </c>
      <c r="BU14" t="s">
        <v>306</v>
      </c>
      <c r="BV14">
        <v>13.75</v>
      </c>
      <c r="BW14">
        <v>14.59</v>
      </c>
      <c r="BX14">
        <v>16.170000000000002</v>
      </c>
      <c r="BY14">
        <v>-0.61</v>
      </c>
      <c r="BZ14">
        <v>-0.54</v>
      </c>
      <c r="CA14">
        <v>-20.13</v>
      </c>
      <c r="CB14">
        <v>-0.7</v>
      </c>
      <c r="CC14" s="7">
        <v>-14.31</v>
      </c>
      <c r="CD14" s="8" t="s">
        <v>852</v>
      </c>
      <c r="CE14" s="7" t="s">
        <v>834</v>
      </c>
      <c r="CF14" s="7">
        <v>-5.235602094240838E-3</v>
      </c>
      <c r="CG14" s="7">
        <v>2.9236152710398655</v>
      </c>
      <c r="CH14" s="7">
        <v>5.6311920285224915E-2</v>
      </c>
      <c r="CI14" s="7">
        <v>0.51028037071228027</v>
      </c>
      <c r="CJ14" s="8">
        <v>0.13227513432502747</v>
      </c>
      <c r="CK14" s="8">
        <v>-7.8048780560493469E-2</v>
      </c>
      <c r="CL14" s="8">
        <v>3.9553754031658173E-2</v>
      </c>
      <c r="CM14" s="8">
        <v>3.6162901669740677E-2</v>
      </c>
      <c r="CN14" s="8">
        <v>1.0165221691131592</v>
      </c>
      <c r="CO14">
        <v>-13.27470588684082</v>
      </c>
      <c r="CP14">
        <v>-0.84259998798370361</v>
      </c>
      <c r="CQ14">
        <v>0.90026730298995972</v>
      </c>
      <c r="CR14" s="7">
        <v>-932.00716773776878</v>
      </c>
      <c r="CS14" s="8">
        <v>-70.566786970523509</v>
      </c>
      <c r="CT14">
        <v>0</v>
      </c>
      <c r="CU14">
        <v>0.13207447975873948</v>
      </c>
      <c r="CV14">
        <v>-2.4328707002103327</v>
      </c>
      <c r="CW14">
        <v>0.06</v>
      </c>
      <c r="CX14">
        <v>906.51380188215433</v>
      </c>
      <c r="CY14">
        <v>3638444.6581528992</v>
      </c>
      <c r="CZ14">
        <v>0.13207447975873948</v>
      </c>
      <c r="DA14">
        <v>285.9208170826787</v>
      </c>
      <c r="DB14">
        <v>11535712.347402262</v>
      </c>
      <c r="DC14">
        <v>0.12547075577080249</v>
      </c>
      <c r="DD14">
        <v>134.13452004010813</v>
      </c>
      <c r="DE14">
        <v>24589496.417579614</v>
      </c>
      <c r="DF14">
        <v>0.11622554218769074</v>
      </c>
      <c r="DG14">
        <v>76.212538124306676</v>
      </c>
      <c r="DH14">
        <v>43277659.833612919</v>
      </c>
      <c r="DI14">
        <v>0.10565958380699159</v>
      </c>
      <c r="DJ14">
        <v>34.741913747434907</v>
      </c>
      <c r="DK14">
        <v>94937208.237226799</v>
      </c>
      <c r="DL14">
        <v>9.2452135831117638E-2</v>
      </c>
      <c r="DM14">
        <v>3406800</v>
      </c>
      <c r="DN14">
        <v>0.13207447975873948</v>
      </c>
      <c r="DO14">
        <v>3298300300</v>
      </c>
      <c r="DP14">
        <v>64119260</v>
      </c>
      <c r="DQ14" s="9">
        <v>1808</v>
      </c>
      <c r="DR14">
        <v>-0.13731008185298033</v>
      </c>
      <c r="DS14">
        <v>5.3564859712501978</v>
      </c>
      <c r="DT14">
        <v>-0.28999999999999998</v>
      </c>
      <c r="DU14">
        <v>-0.8566666666666668</v>
      </c>
      <c r="DV14">
        <v>-1.1466666666666667</v>
      </c>
      <c r="DW14">
        <v>-2.1431</v>
      </c>
      <c r="DX14">
        <v>0.32753610223642193</v>
      </c>
      <c r="DY14">
        <v>-2.0254054162300319</v>
      </c>
      <c r="DZ14">
        <v>3708</v>
      </c>
      <c r="EA14">
        <v>-2.0069703314196681</v>
      </c>
      <c r="EB14" s="10">
        <v>2</v>
      </c>
      <c r="EC14" s="10">
        <v>8.0485081912031978E-2</v>
      </c>
      <c r="ED14">
        <v>0.45334487407440882</v>
      </c>
      <c r="EE14">
        <v>-4.0438099999999997</v>
      </c>
      <c r="EF14">
        <v>-4.06691</v>
      </c>
      <c r="EG14">
        <v>15.177536102236422</v>
      </c>
      <c r="EH14" s="13" t="s">
        <v>776</v>
      </c>
      <c r="EI14">
        <v>0</v>
      </c>
      <c r="EJ14">
        <v>0</v>
      </c>
      <c r="EK14">
        <v>45470</v>
      </c>
      <c r="EL14">
        <v>-1.1399999999999999</v>
      </c>
      <c r="EM14">
        <v>-5.29</v>
      </c>
      <c r="EN14" s="14">
        <v>0.49</v>
      </c>
      <c r="EO14" s="14">
        <v>4.3499999999999996</v>
      </c>
      <c r="EP14" s="14">
        <v>-2.31</v>
      </c>
    </row>
    <row r="15" spans="1:146" ht="132">
      <c r="A15" s="6"/>
      <c r="B15" s="6"/>
      <c r="C15" s="6" t="str">
        <f>"公司的主营业务为贵金属二次资源综合利用及相关产品的研发、生产与销售。主要产品为铂、银、钯等贵金属及其系列深加工产品，并为客户提供贵金属回收服务。"&amp;CHAR(10)&amp;Basic_Fundamental_Information_Constructure(F15)&amp;CHAR(10)&amp;Basic_Fundamental_Information_Concatenate("贸易 10.72亿 62.60% 10.49% 1.07%
贵金属回收 6.38亿 37.27% 90.76% 15.61%")</f>
        <v>公司的主营业务为贵金属二次资源综合利用及相关产品的研发、生产与销售。主要产品为铂、银、钯等贵金属及其系列深加工产品，并为客户提供贵金属回收服务。
市值25.250667亿, 利润1976.58万; PE32.27; 平均PE23.34; 平均PEG.86, PB1.72; ROIC13.6233%; ROE15.4%; 股利率1.3465%; 毛利10.2%; 净利6.9133%; 上一年度营收增-72.71%, 利润增-86.46%; 当季营收增141.86%, 利润增1297.31%; 过往5年营收增27.01%, 利润增18.71%
Income profile:
贸易 10.72亿 62.60% 10.49% 1.07%
贵金属回收 6.38亿 37.27% 90.76% 15.61%</v>
      </c>
      <c r="D15" t="s">
        <v>162</v>
      </c>
      <c r="E15" t="s">
        <v>163</v>
      </c>
      <c r="F15">
        <v>22.28</v>
      </c>
      <c r="G15">
        <v>-0.4</v>
      </c>
      <c r="H15" t="s">
        <v>853</v>
      </c>
      <c r="I15">
        <v>2525066700</v>
      </c>
      <c r="J15">
        <v>32.270000000000003</v>
      </c>
      <c r="K15">
        <v>1.72</v>
      </c>
      <c r="L15" t="s">
        <v>66</v>
      </c>
      <c r="M15" t="s">
        <v>475</v>
      </c>
      <c r="N15" t="s">
        <v>854</v>
      </c>
      <c r="O15" t="s">
        <v>464</v>
      </c>
      <c r="P15">
        <v>-29.48</v>
      </c>
      <c r="Q15" t="s">
        <v>157</v>
      </c>
      <c r="R15">
        <v>22418430</v>
      </c>
      <c r="S15" s="5">
        <v>-0.54090000000000005</v>
      </c>
      <c r="T15" t="s">
        <v>855</v>
      </c>
      <c r="U15">
        <v>58339709</v>
      </c>
      <c r="V15">
        <v>113333334</v>
      </c>
      <c r="W15">
        <v>1.23</v>
      </c>
      <c r="X15">
        <v>0.16</v>
      </c>
      <c r="Y15">
        <v>7.15</v>
      </c>
      <c r="Z15" t="s">
        <v>530</v>
      </c>
      <c r="AA15" t="s">
        <v>401</v>
      </c>
      <c r="AB15" t="s">
        <v>856</v>
      </c>
      <c r="AC15" t="s">
        <v>857</v>
      </c>
      <c r="AD15" t="s">
        <v>5</v>
      </c>
      <c r="AE15">
        <v>1487833</v>
      </c>
      <c r="AF15" t="s">
        <v>858</v>
      </c>
      <c r="AG15" t="s">
        <v>859</v>
      </c>
      <c r="AH15" t="s">
        <v>860</v>
      </c>
      <c r="AI15" t="s">
        <v>861</v>
      </c>
      <c r="AJ15" t="s">
        <v>862</v>
      </c>
      <c r="AK15" t="s">
        <v>863</v>
      </c>
      <c r="AL15" t="s">
        <v>864</v>
      </c>
      <c r="AM15" t="s">
        <v>5</v>
      </c>
      <c r="AN15" t="s">
        <v>317</v>
      </c>
      <c r="AO15" t="s">
        <v>274</v>
      </c>
      <c r="AP15" t="s">
        <v>5</v>
      </c>
      <c r="AQ15" t="s">
        <v>865</v>
      </c>
      <c r="AR15" t="s">
        <v>5</v>
      </c>
      <c r="AS15" t="s">
        <v>866</v>
      </c>
      <c r="AT15" t="s">
        <v>5</v>
      </c>
      <c r="AU15" t="s">
        <v>867</v>
      </c>
      <c r="AV15" t="s">
        <v>868</v>
      </c>
      <c r="AW15" t="s">
        <v>869</v>
      </c>
      <c r="AX15" t="s">
        <v>484</v>
      </c>
      <c r="AY15" t="s">
        <v>273</v>
      </c>
      <c r="AZ15" t="s">
        <v>164</v>
      </c>
      <c r="BA15" t="s">
        <v>165</v>
      </c>
      <c r="BB15" t="s">
        <v>166</v>
      </c>
      <c r="BC15" t="s">
        <v>485</v>
      </c>
      <c r="BD15" t="s">
        <v>274</v>
      </c>
      <c r="BE15" t="s">
        <v>94</v>
      </c>
      <c r="BF15" t="s">
        <v>167</v>
      </c>
      <c r="BG15" t="s">
        <v>168</v>
      </c>
      <c r="BH15" t="s">
        <v>870</v>
      </c>
      <c r="BI15" t="s">
        <v>465</v>
      </c>
      <c r="BJ15" t="s">
        <v>484</v>
      </c>
      <c r="BK15" t="s">
        <v>456</v>
      </c>
      <c r="BL15" t="s">
        <v>871</v>
      </c>
      <c r="BM15" t="s">
        <v>485</v>
      </c>
      <c r="BN15">
        <v>6.28</v>
      </c>
      <c r="BO15">
        <v>9.8800000000000008</v>
      </c>
      <c r="BP15">
        <v>24.71</v>
      </c>
      <c r="BQ15">
        <v>7.22</v>
      </c>
      <c r="BR15">
        <v>11.01</v>
      </c>
      <c r="BS15">
        <v>27.97</v>
      </c>
      <c r="BT15" t="s">
        <v>510</v>
      </c>
      <c r="BU15" t="s">
        <v>306</v>
      </c>
      <c r="BV15">
        <v>8</v>
      </c>
      <c r="BW15">
        <v>8.25</v>
      </c>
      <c r="BX15">
        <v>14.35</v>
      </c>
      <c r="BY15">
        <v>4.1100000000000003</v>
      </c>
      <c r="BZ15">
        <v>5.61</v>
      </c>
      <c r="CA15">
        <v>11.02</v>
      </c>
      <c r="CB15">
        <v>-2.96</v>
      </c>
      <c r="CC15">
        <v>-12.59</v>
      </c>
      <c r="CD15" t="s">
        <v>872</v>
      </c>
      <c r="CE15" t="s">
        <v>873</v>
      </c>
      <c r="CF15" s="7">
        <v>1.4186046511627908</v>
      </c>
      <c r="CG15" s="8">
        <v>12.973098696859646</v>
      </c>
      <c r="CH15" s="7">
        <v>-0.727131187915802</v>
      </c>
      <c r="CI15" s="7">
        <v>0.14841306209564209</v>
      </c>
      <c r="CJ15" s="7">
        <v>1.0789961814880371</v>
      </c>
      <c r="CK15" s="7">
        <v>0.6553846001625061</v>
      </c>
      <c r="CL15" s="7">
        <v>0.19485294818878174</v>
      </c>
      <c r="CM15" s="8">
        <v>-0.86461782455444336</v>
      </c>
      <c r="CN15" s="8">
        <v>-0.4065040647983551</v>
      </c>
      <c r="CO15" s="8">
        <v>1.0330578088760376</v>
      </c>
      <c r="CP15" s="8">
        <v>0.78991711139678955</v>
      </c>
      <c r="CQ15" s="8">
        <v>0.38389170169830322</v>
      </c>
      <c r="CR15">
        <v>23.336487706462773</v>
      </c>
      <c r="CS15">
        <v>0.8639843788925079</v>
      </c>
      <c r="CT15">
        <v>1.3464991023339317</v>
      </c>
      <c r="CU15" s="7">
        <v>0.27010312080383303</v>
      </c>
      <c r="CV15" s="8">
        <v>0.18714894652366637</v>
      </c>
      <c r="CW15">
        <v>0.06</v>
      </c>
      <c r="CX15">
        <v>56.117622373907281</v>
      </c>
      <c r="CY15">
        <v>23683588.929419242</v>
      </c>
      <c r="CZ15">
        <v>0.27010312080383303</v>
      </c>
      <c r="DA15">
        <v>15.796092355689918</v>
      </c>
      <c r="DB15">
        <v>84138954.75365819</v>
      </c>
      <c r="DC15">
        <v>0.25659796476364138</v>
      </c>
      <c r="DD15">
        <v>6.2922849150710842</v>
      </c>
      <c r="DE15">
        <v>211221633.78467828</v>
      </c>
      <c r="DF15">
        <v>0.23769074630737308</v>
      </c>
      <c r="DG15">
        <v>2.9257384751654545</v>
      </c>
      <c r="DH15">
        <v>454267088.9013207</v>
      </c>
      <c r="DI15">
        <v>0.21608249664306645</v>
      </c>
      <c r="DJ15">
        <v>0.81505093472697332</v>
      </c>
      <c r="DK15">
        <v>1630654776.7412994</v>
      </c>
      <c r="DL15">
        <v>0.1890721845626831</v>
      </c>
      <c r="DM15">
        <v>19765800</v>
      </c>
      <c r="DN15">
        <v>0.27010312080383303</v>
      </c>
      <c r="DO15">
        <v>1329066700</v>
      </c>
      <c r="DP15">
        <v>972031170</v>
      </c>
      <c r="DQ15">
        <v>2475</v>
      </c>
      <c r="DR15">
        <v>1.1485015303589576</v>
      </c>
      <c r="DS15">
        <v>12.785949750335979</v>
      </c>
      <c r="DT15" s="9">
        <v>-0.17333333333333334</v>
      </c>
      <c r="DU15">
        <v>0.33666666666666667</v>
      </c>
      <c r="DV15">
        <v>0.16333333333333333</v>
      </c>
      <c r="DW15">
        <v>-8.2351072279586965</v>
      </c>
      <c r="DX15">
        <v>0.49850914138784957</v>
      </c>
      <c r="DY15">
        <v>-8.0161069943215288</v>
      </c>
      <c r="DZ15">
        <v>3774</v>
      </c>
      <c r="EA15">
        <v>-8.0042111437208536</v>
      </c>
      <c r="EB15">
        <v>8</v>
      </c>
      <c r="EC15">
        <v>2.6824411606915226E-2</v>
      </c>
      <c r="ED15">
        <v>0.39154499769679413</v>
      </c>
      <c r="EE15" s="10">
        <v>2.0699000000000001</v>
      </c>
      <c r="EF15">
        <v>2.0480999999999998</v>
      </c>
      <c r="EG15">
        <v>43.06850914138785</v>
      </c>
      <c r="EH15" t="s">
        <v>454</v>
      </c>
      <c r="EI15">
        <v>0</v>
      </c>
      <c r="EJ15">
        <v>0</v>
      </c>
      <c r="EK15" s="13">
        <v>45470</v>
      </c>
      <c r="EL15" s="14">
        <v>-0.85</v>
      </c>
      <c r="EM15" s="14">
        <v>-5.0599999999999996</v>
      </c>
      <c r="EN15" s="14">
        <v>-0.23</v>
      </c>
      <c r="EO15" s="14">
        <v>20.02</v>
      </c>
      <c r="EP15" s="14">
        <v>-2.1800000000000002</v>
      </c>
    </row>
    <row r="16" spans="1:146" ht="150.75" customHeight="1">
      <c r="A16" s="6" t="s">
        <v>248</v>
      </c>
      <c r="B16" s="6" t="s">
        <v>247</v>
      </c>
      <c r="C16" s="6" t="str">
        <f>"公司的主要生产经营稀土原料产品、稀土功能材料产品及部分稀土终端应用产品。公司的主要产品是稀土精矿、碳酸稀土、稀土氧化物、稀土盐类、稀土磁性材料、抛光材料、贮氢材料、发光材料、镍氢动力电池、稀土永磁磁共振仪。可生产各类稀土产品 11 个大类、50 余种、近千个规格。"&amp;CHAR(10)&amp;Basic_Fundamental_Information_Constructure(F16)&amp;CHAR(10)&amp;Basic_Fundamental_Information_Concatenate("稀土产品 186.33亿 61.27% 利润占比87.26% 39.64%
贸易业务 89.78亿 29.53% 利润占比4.72% 4.45%
其他 14.87亿 4.89% 利润占比1.00% 5.67%
环保产品及服务 8.71亿 2.86% 利润占比5.54% 53.87%
其他业务 3.47亿 1.14% 利润占比1.36% 33.14%
稀土应用产品 9175.85万 0.30% 利润占比0.12% 11.23%")</f>
        <v>公司的主要生产经营稀土原料产品、稀土功能材料产品及部分稀土终端应用产品。公司的主要产品是稀土精矿、碳酸稀土、稀土氧化物、稀土盐类、稀土磁性材料、抛光材料、贮氢材料、发光材料、镍氢动力电池、稀土永磁磁共振仪。可生产各类稀土产品 11 个大类、50 余种、近千个规格。
市值623.59886亿, 利润-2.13亿; PE41.55; 平均PE21.61; 平均PEG1.33, PB2.88; ROIC16.22%; ROE26.0367%; 股利率.4058%; 毛利23.4167%; 净利14.4467%; 上一年度营收增-99.59%, 利润增-103.56%; 当季营收增18612.9%, 利润增299.31%; 过往5年营收增-16.29%, 利润增-103.56%
Income profile:
稀土产品 186.33亿 61.27% 利润占比87.26% 39.64%
贸易业务 89.78亿 29.53% 利润占比4.72% 4.45%
其他 14.87亿 4.89% 利润占比1.00% 5.67%
环保产品及服务 8.71亿 2.86% 利润占比5.54% 53.87%
其他业务 3.47亿 1.14% 利润占比1.36% 33.14%
稀土应用产品 9175.85万 0.30% 利润占比0.12% 11.23%</v>
      </c>
      <c r="D16" t="s">
        <v>169</v>
      </c>
      <c r="E16" t="s">
        <v>170</v>
      </c>
      <c r="F16">
        <v>17.25</v>
      </c>
      <c r="G16">
        <v>1.59</v>
      </c>
      <c r="H16" t="s">
        <v>874</v>
      </c>
      <c r="I16">
        <v>62359886000</v>
      </c>
      <c r="J16">
        <v>41.55</v>
      </c>
      <c r="K16">
        <v>2.88</v>
      </c>
      <c r="L16" t="s">
        <v>66</v>
      </c>
      <c r="M16" t="s">
        <v>875</v>
      </c>
      <c r="N16" t="s">
        <v>876</v>
      </c>
      <c r="O16" t="s">
        <v>877</v>
      </c>
      <c r="P16">
        <v>-37.590000000000003</v>
      </c>
      <c r="Q16" t="s">
        <v>878</v>
      </c>
      <c r="R16">
        <v>52052040</v>
      </c>
      <c r="S16" s="5">
        <v>-0.94350000000000001</v>
      </c>
      <c r="T16" t="s">
        <v>879</v>
      </c>
      <c r="U16">
        <v>3615065800</v>
      </c>
      <c r="V16">
        <v>3615065800</v>
      </c>
      <c r="W16">
        <v>1.55</v>
      </c>
      <c r="X16" t="s">
        <v>5</v>
      </c>
      <c r="Y16">
        <v>2.15</v>
      </c>
      <c r="Z16" t="s">
        <v>5</v>
      </c>
      <c r="AA16" t="s">
        <v>5</v>
      </c>
      <c r="AB16" t="s">
        <v>5</v>
      </c>
      <c r="AC16" t="s">
        <v>5</v>
      </c>
      <c r="AD16" t="s">
        <v>5</v>
      </c>
      <c r="AE16">
        <v>45819374</v>
      </c>
      <c r="AF16" t="s">
        <v>880</v>
      </c>
      <c r="AG16" t="s">
        <v>881</v>
      </c>
      <c r="AH16" t="s">
        <v>882</v>
      </c>
      <c r="AI16" t="s">
        <v>883</v>
      </c>
      <c r="AJ16" t="s">
        <v>884</v>
      </c>
      <c r="AK16" t="s">
        <v>5</v>
      </c>
      <c r="AL16" t="s">
        <v>885</v>
      </c>
      <c r="AM16" t="s">
        <v>5</v>
      </c>
      <c r="AN16" t="s">
        <v>886</v>
      </c>
      <c r="AO16" t="s">
        <v>5</v>
      </c>
      <c r="AP16" t="s">
        <v>887</v>
      </c>
      <c r="AQ16" t="s">
        <v>507</v>
      </c>
      <c r="AR16" t="s">
        <v>5</v>
      </c>
      <c r="AS16" t="s">
        <v>5</v>
      </c>
      <c r="AT16" t="s">
        <v>5</v>
      </c>
      <c r="AU16" t="s">
        <v>888</v>
      </c>
      <c r="AV16" t="s">
        <v>889</v>
      </c>
      <c r="AW16" t="s">
        <v>890</v>
      </c>
      <c r="AX16" t="s">
        <v>490</v>
      </c>
      <c r="AY16" t="s">
        <v>5</v>
      </c>
      <c r="AZ16" t="s">
        <v>241</v>
      </c>
      <c r="BA16" t="s">
        <v>171</v>
      </c>
      <c r="BB16" t="s">
        <v>172</v>
      </c>
      <c r="BC16" t="s">
        <v>491</v>
      </c>
      <c r="BD16" t="s">
        <v>5</v>
      </c>
      <c r="BE16" t="s">
        <v>5</v>
      </c>
      <c r="BF16" t="s">
        <v>5</v>
      </c>
      <c r="BG16" t="s">
        <v>5</v>
      </c>
      <c r="BH16" t="s">
        <v>891</v>
      </c>
      <c r="BI16" t="s">
        <v>892</v>
      </c>
      <c r="BJ16" t="s">
        <v>490</v>
      </c>
      <c r="BK16" t="s">
        <v>893</v>
      </c>
      <c r="BL16" t="s">
        <v>894</v>
      </c>
      <c r="BM16" t="s">
        <v>491</v>
      </c>
      <c r="BN16">
        <v>5.13</v>
      </c>
      <c r="BO16">
        <v>21.57</v>
      </c>
      <c r="BP16">
        <v>21.96</v>
      </c>
      <c r="BQ16">
        <v>6.81</v>
      </c>
      <c r="BR16">
        <v>34.020000000000003</v>
      </c>
      <c r="BS16">
        <v>37.28</v>
      </c>
      <c r="BT16" t="s">
        <v>895</v>
      </c>
      <c r="BU16" t="s">
        <v>307</v>
      </c>
      <c r="BV16">
        <v>14.62</v>
      </c>
      <c r="BW16">
        <v>27.79</v>
      </c>
      <c r="BX16">
        <v>27.84</v>
      </c>
      <c r="BY16">
        <v>7.83</v>
      </c>
      <c r="BZ16">
        <v>17.059999999999999</v>
      </c>
      <c r="CA16">
        <v>18.45</v>
      </c>
      <c r="CB16">
        <v>0.28999999999999998</v>
      </c>
      <c r="CC16">
        <v>-10.25</v>
      </c>
      <c r="CD16" t="s">
        <v>896</v>
      </c>
      <c r="CE16" t="s">
        <v>897</v>
      </c>
      <c r="CF16" s="7">
        <v>186.12895724808064</v>
      </c>
      <c r="CG16" s="8">
        <v>2.9931015733589623</v>
      </c>
      <c r="CH16" s="7">
        <v>-0.99586683511734009</v>
      </c>
      <c r="CI16" s="7" t="s">
        <v>5</v>
      </c>
      <c r="CJ16" s="7" t="s">
        <v>5</v>
      </c>
      <c r="CK16" s="7">
        <v>0.21064561605453491</v>
      </c>
      <c r="CL16" s="7">
        <v>0.29645279049873352</v>
      </c>
      <c r="CM16" s="8">
        <v>-1.0355949401855469</v>
      </c>
      <c r="CN16" s="8" t="s">
        <v>5</v>
      </c>
      <c r="CO16" s="8" t="s">
        <v>5</v>
      </c>
      <c r="CP16" s="8" t="s">
        <v>5</v>
      </c>
      <c r="CQ16" s="8" t="s">
        <v>5</v>
      </c>
      <c r="CR16">
        <v>21.611466297002252</v>
      </c>
      <c r="CS16">
        <v>1.3264849998900401</v>
      </c>
      <c r="CT16">
        <v>0.40579710144927533</v>
      </c>
      <c r="CU16" s="7">
        <v>-0.16292280952135721</v>
      </c>
      <c r="CV16" s="8">
        <v>-1.0355949401855469</v>
      </c>
      <c r="CW16">
        <v>0.06</v>
      </c>
      <c r="CX16" t="e">
        <v>#VALUE!</v>
      </c>
      <c r="CY16" t="s">
        <v>295</v>
      </c>
      <c r="CZ16">
        <v>-0.16292280952135721</v>
      </c>
      <c r="DA16" t="e">
        <v>#VALUE!</v>
      </c>
      <c r="DB16" t="s">
        <v>295</v>
      </c>
      <c r="DC16">
        <v>-0.15477666904528933</v>
      </c>
      <c r="DD16" t="e">
        <v>#VALUE!</v>
      </c>
      <c r="DE16" t="s">
        <v>295</v>
      </c>
      <c r="DF16">
        <v>-0.14337207237879435</v>
      </c>
      <c r="DG16" t="e">
        <v>#VALUE!</v>
      </c>
      <c r="DH16" t="s">
        <v>295</v>
      </c>
      <c r="DI16">
        <v>-0.13033824761708576</v>
      </c>
      <c r="DJ16" t="e">
        <v>#VALUE!</v>
      </c>
      <c r="DK16" t="s">
        <v>295</v>
      </c>
      <c r="DL16">
        <v>-0.11404596666495004</v>
      </c>
      <c r="DM16">
        <v>-213000000</v>
      </c>
      <c r="DN16">
        <v>-0.16292280952135721</v>
      </c>
      <c r="DO16">
        <v>48904886000</v>
      </c>
      <c r="DP16">
        <v>30186379000</v>
      </c>
      <c r="DQ16">
        <v>2928</v>
      </c>
      <c r="DR16">
        <v>186.29188005760199</v>
      </c>
      <c r="DS16">
        <v>4.0286965135445092</v>
      </c>
      <c r="DT16" s="9">
        <v>-1.1599999999999999</v>
      </c>
      <c r="DU16">
        <v>-3.57</v>
      </c>
      <c r="DV16">
        <v>-4.7299999999999995</v>
      </c>
      <c r="DW16">
        <v>-2.1025</v>
      </c>
      <c r="DX16">
        <v>0.3666857962697273</v>
      </c>
      <c r="DY16">
        <v>-2.0232352941176472</v>
      </c>
      <c r="DZ16">
        <v>3963</v>
      </c>
      <c r="EA16">
        <v>-2.0052154368596753</v>
      </c>
      <c r="EB16">
        <v>2</v>
      </c>
      <c r="EC16">
        <v>4.3705981783236147E-2</v>
      </c>
      <c r="ED16">
        <v>0.19280423609440248</v>
      </c>
      <c r="EE16" s="10">
        <v>3.6010000000000007E-2</v>
      </c>
      <c r="EF16">
        <v>7.0609999999999992E-2</v>
      </c>
      <c r="EG16">
        <v>14.226685796269727</v>
      </c>
      <c r="EH16">
        <v>-1</v>
      </c>
      <c r="EI16">
        <v>0</v>
      </c>
      <c r="EJ16">
        <v>0</v>
      </c>
      <c r="EK16" s="13">
        <v>45470</v>
      </c>
      <c r="EL16" s="14">
        <v>-0.95</v>
      </c>
      <c r="EM16" s="14">
        <v>-3.21</v>
      </c>
      <c r="EN16" s="14">
        <v>0.33</v>
      </c>
      <c r="EO16" s="14">
        <v>4.95</v>
      </c>
      <c r="EP16" s="14">
        <v>-3.46</v>
      </c>
    </row>
    <row r="17" spans="1:146" ht="144">
      <c r="A17" s="6"/>
      <c r="B17" s="6"/>
      <c r="C17" s="6" t="str">
        <f>"公司主要从事稀土矿开采、冶炼分离、深加工以及有色金属贸易业务，生产产品包括稀土精矿、混合稀土、稀土氧化物、稀土金属、钨精矿等。"&amp;CHAR(10)&amp;Basic_Fundamental_Information_Constructure(F17)&amp;CHAR(10)&amp;Basic_Fundamental_Information_Concatenate("其他 27.77亿 62.34% 20.99% 1.75%
稀土及相关产品 16.29亿 36.57% 70.76% 10.05%
钨及相关产品 4862.76万 1.09% 8.25% 39.26%")</f>
        <v>公司主要从事稀土矿开采、冶炼分离、深加工以及有色金属贸易业务，生产产品包括稀土精矿、混合稀土、稀土氧化物、稀土金属、钨精矿等。
市值87.574267亿, 利润2.15亿; PE; 平均PE39.18; 平均PEG.89, PB2.61; ROIC4.77%; ROE6.7567%; 股利率0%; 毛利3.33%; 净利.9867%; 上一年度营收增-86.55%, 利润增-7.33%; 当季营收增130.05%, 利润增-622.04%; 过往5年营收增43.93%, 利润增-7.33%
Income profile:
其他 27.77亿 62.34% 20.99% 1.75%
稀土及相关产品 16.29亿 36.57% 70.76% 10.05%
钨及相关产品 4862.76万 1.09% 8.25% 39.26%</v>
      </c>
      <c r="D17" t="s">
        <v>175</v>
      </c>
      <c r="E17" t="s">
        <v>176</v>
      </c>
      <c r="F17">
        <v>26.03</v>
      </c>
      <c r="G17">
        <v>2.68</v>
      </c>
      <c r="H17" t="s">
        <v>898</v>
      </c>
      <c r="I17">
        <v>8757426700</v>
      </c>
      <c r="K17">
        <v>2.61</v>
      </c>
      <c r="L17" t="s">
        <v>66</v>
      </c>
      <c r="M17" t="s">
        <v>899</v>
      </c>
      <c r="N17" t="s">
        <v>900</v>
      </c>
      <c r="O17" t="s">
        <v>901</v>
      </c>
      <c r="P17">
        <v>-71.73</v>
      </c>
      <c r="Q17" t="s">
        <v>902</v>
      </c>
      <c r="R17">
        <v>-303953720</v>
      </c>
      <c r="S17" s="5">
        <v>-54.71</v>
      </c>
      <c r="T17" t="s">
        <v>487</v>
      </c>
      <c r="U17">
        <v>329489740</v>
      </c>
      <c r="V17">
        <v>336435910</v>
      </c>
      <c r="W17">
        <v>2.3199999999999998</v>
      </c>
      <c r="X17" t="s">
        <v>5</v>
      </c>
      <c r="Y17">
        <v>-18.37</v>
      </c>
      <c r="Z17" t="s">
        <v>5</v>
      </c>
      <c r="AA17" t="s">
        <v>5</v>
      </c>
      <c r="AB17" t="s">
        <v>5</v>
      </c>
      <c r="AC17" t="s">
        <v>5</v>
      </c>
      <c r="AD17" t="s">
        <v>5</v>
      </c>
      <c r="AE17">
        <v>24072704</v>
      </c>
      <c r="AF17" t="s">
        <v>903</v>
      </c>
      <c r="AG17" t="s">
        <v>904</v>
      </c>
      <c r="AH17" t="s">
        <v>905</v>
      </c>
      <c r="AI17" t="s">
        <v>906</v>
      </c>
      <c r="AJ17" t="s">
        <v>907</v>
      </c>
      <c r="AK17" t="s">
        <v>5</v>
      </c>
      <c r="AL17" t="s">
        <v>908</v>
      </c>
      <c r="AM17" t="s">
        <v>5</v>
      </c>
      <c r="AN17" t="s">
        <v>909</v>
      </c>
      <c r="AO17" t="s">
        <v>5</v>
      </c>
      <c r="AP17" t="s">
        <v>447</v>
      </c>
      <c r="AQ17" t="s">
        <v>517</v>
      </c>
      <c r="AR17" t="s">
        <v>5</v>
      </c>
      <c r="AS17" t="s">
        <v>5</v>
      </c>
      <c r="AT17" t="s">
        <v>5</v>
      </c>
      <c r="AU17" t="s">
        <v>910</v>
      </c>
      <c r="AV17" t="s">
        <v>911</v>
      </c>
      <c r="AW17" t="s">
        <v>912</v>
      </c>
      <c r="AX17" t="s">
        <v>492</v>
      </c>
      <c r="AY17" t="s">
        <v>5</v>
      </c>
      <c r="AZ17" t="s">
        <v>275</v>
      </c>
      <c r="BA17" t="s">
        <v>177</v>
      </c>
      <c r="BB17" t="s">
        <v>178</v>
      </c>
      <c r="BC17" t="s">
        <v>60</v>
      </c>
      <c r="BD17" t="s">
        <v>5</v>
      </c>
      <c r="BE17" t="s">
        <v>5</v>
      </c>
      <c r="BF17" t="s">
        <v>5</v>
      </c>
      <c r="BG17" t="s">
        <v>5</v>
      </c>
      <c r="BH17" t="s">
        <v>913</v>
      </c>
      <c r="BI17" t="s">
        <v>440</v>
      </c>
      <c r="BJ17" t="s">
        <v>492</v>
      </c>
      <c r="BK17" t="s">
        <v>459</v>
      </c>
      <c r="BL17" t="s">
        <v>914</v>
      </c>
      <c r="BM17" t="s">
        <v>60</v>
      </c>
      <c r="BN17">
        <v>3.31</v>
      </c>
      <c r="BO17">
        <v>5.52</v>
      </c>
      <c r="BP17">
        <v>5.48</v>
      </c>
      <c r="BQ17">
        <v>4.9400000000000004</v>
      </c>
      <c r="BR17">
        <v>7.51</v>
      </c>
      <c r="BS17">
        <v>7.82</v>
      </c>
      <c r="BT17" t="s">
        <v>397</v>
      </c>
      <c r="BU17" t="s">
        <v>307</v>
      </c>
      <c r="BV17">
        <v>3.23</v>
      </c>
      <c r="BW17">
        <v>3.28</v>
      </c>
      <c r="BX17">
        <v>3.48</v>
      </c>
      <c r="BY17">
        <v>1.03</v>
      </c>
      <c r="BZ17">
        <v>0.93</v>
      </c>
      <c r="CA17">
        <v>1</v>
      </c>
      <c r="CB17">
        <v>-4.79</v>
      </c>
      <c r="CC17">
        <v>-7.14</v>
      </c>
      <c r="CD17" t="s">
        <v>915</v>
      </c>
      <c r="CE17" t="s">
        <v>916</v>
      </c>
      <c r="CF17" s="7">
        <v>1.3005249343832022</v>
      </c>
      <c r="CG17" s="8">
        <v>-6.2203749280801039</v>
      </c>
      <c r="CH17" s="7">
        <v>-0.86550909280776978</v>
      </c>
      <c r="CI17" s="7" t="s">
        <v>5</v>
      </c>
      <c r="CJ17" s="7" t="s">
        <v>5</v>
      </c>
      <c r="CK17" s="7">
        <v>1.3133730888366699</v>
      </c>
      <c r="CL17" s="7">
        <v>0.87017840147018433</v>
      </c>
      <c r="CM17" s="8">
        <v>-7.3275864124298096E-2</v>
      </c>
      <c r="CN17" s="8" t="s">
        <v>5</v>
      </c>
      <c r="CO17" s="8" t="s">
        <v>5</v>
      </c>
      <c r="CP17" s="8" t="s">
        <v>5</v>
      </c>
      <c r="CQ17" s="8" t="s">
        <v>5</v>
      </c>
      <c r="CR17">
        <v>39.183117225950781</v>
      </c>
      <c r="CS17">
        <v>0.89184803084404585</v>
      </c>
      <c r="CT17">
        <v>0</v>
      </c>
      <c r="CU17" s="7">
        <v>0.43934746583302814</v>
      </c>
      <c r="CV17" s="8">
        <v>-7.3275864124298096E-2</v>
      </c>
      <c r="CW17">
        <v>0.06</v>
      </c>
      <c r="CX17">
        <v>30.267631442793906</v>
      </c>
      <c r="CY17">
        <v>291943118.06990665</v>
      </c>
      <c r="CZ17">
        <v>0.43934746583302814</v>
      </c>
      <c r="DA17">
        <v>7.4511062714819465</v>
      </c>
      <c r="DB17">
        <v>1185921442.8091264</v>
      </c>
      <c r="DC17">
        <v>0.4173800925413767</v>
      </c>
      <c r="DD17">
        <v>2.4136912902375673</v>
      </c>
      <c r="DE17">
        <v>3660959765.542459</v>
      </c>
      <c r="DF17">
        <v>0.38662576993306474</v>
      </c>
      <c r="DG17">
        <v>0.85635933181055468</v>
      </c>
      <c r="DH17">
        <v>10318596845.69282</v>
      </c>
      <c r="DI17">
        <v>0.35147797266642256</v>
      </c>
      <c r="DJ17">
        <v>0.11874271606972599</v>
      </c>
      <c r="DK17">
        <v>74416578906.711472</v>
      </c>
      <c r="DL17">
        <v>0.30754322608311968</v>
      </c>
      <c r="DM17">
        <v>215000000</v>
      </c>
      <c r="DN17">
        <v>0.43934746583302814</v>
      </c>
      <c r="DO17">
        <v>8836426700</v>
      </c>
      <c r="DP17">
        <v>4589485800</v>
      </c>
      <c r="DQ17">
        <v>3048</v>
      </c>
      <c r="DR17">
        <v>0.86117746855017407</v>
      </c>
      <c r="DS17">
        <v>-6.1470990639558059</v>
      </c>
      <c r="DT17" s="9">
        <v>-1.1599999999999999</v>
      </c>
      <c r="DU17">
        <v>-2.6949999999999998</v>
      </c>
      <c r="DV17">
        <v>-3.8549999999999995</v>
      </c>
      <c r="DW17">
        <v>-8.670868347338935</v>
      </c>
      <c r="DX17">
        <v>0.39781924606418373</v>
      </c>
      <c r="DY17">
        <v>-8.1729627715192503</v>
      </c>
      <c r="DZ17">
        <v>4131</v>
      </c>
      <c r="EA17">
        <v>-8.033137094582651</v>
      </c>
      <c r="EB17">
        <v>8</v>
      </c>
      <c r="EC17">
        <v>6.6560076776584279E-2</v>
      </c>
      <c r="ED17">
        <v>0.25816566370694499</v>
      </c>
      <c r="EE17" s="10">
        <v>2.05951</v>
      </c>
      <c r="EF17">
        <v>2.0756100000000002</v>
      </c>
      <c r="EG17">
        <v>14.257819246064184</v>
      </c>
      <c r="EH17" t="s">
        <v>628</v>
      </c>
      <c r="EI17">
        <v>0</v>
      </c>
      <c r="EJ17">
        <v>0</v>
      </c>
      <c r="EK17" s="13">
        <v>45470</v>
      </c>
      <c r="EL17" s="14">
        <v>0.3</v>
      </c>
      <c r="EM17" s="14">
        <v>-2.86</v>
      </c>
      <c r="EN17" s="14">
        <v>0.78</v>
      </c>
      <c r="EO17" s="14">
        <v>0.31</v>
      </c>
      <c r="EP17" s="14">
        <v>-1.61</v>
      </c>
    </row>
    <row r="18" spans="1:146" ht="132">
      <c r="A18" s="6"/>
      <c r="B18" s="6"/>
      <c r="C18" s="6" t="str">
        <f>"公司的主营业务包括贵金属回收加工、配售电管理、贸易业务。主要的产品有氨系列产品、氯碱系列产品、焦炭及深加工等。"&amp;CHAR(10)&amp;Basic_Fundamental_Information_Constructure(F18)&amp;CHAR(10)&amp;Basic_Fundamental_Information_Concatenate("铂网 2.61亿 93.23% 85.56% 15.45%
其他业务 1895.09万 6.77% 14.44% 35.92%")</f>
        <v>公司的主营业务包括贵金属回收加工、配售电管理、贸易业务。主要的产品有氨系列产品、氯碱系列产品、焦炭及深加工等。
市值13.785974亿, 利润21.25亿; PE; 平均PE4.1; 平均PEG0, PB6.27; ROIC0%; ROE-16.4833%; 股利率0%; 毛利5.6333%; 净利-33.6967%; 上一年度营收增22016.77%, 利润增5885.62%; 当季营收增-99.77%, 利润增-106.88%; 过往5年营收增4390.89%, 利润增1164.83%
Income profile:
铂网 2.61亿 93.23% 85.56% 15.45%
其他业务 1895.09万 6.77% 14.44% 35.92%</v>
      </c>
      <c r="D18" t="s">
        <v>179</v>
      </c>
      <c r="E18" t="s">
        <v>180</v>
      </c>
      <c r="F18">
        <v>2.68</v>
      </c>
      <c r="G18">
        <v>2.29</v>
      </c>
      <c r="H18" t="s">
        <v>917</v>
      </c>
      <c r="I18">
        <v>1378597400</v>
      </c>
      <c r="K18">
        <v>6.27</v>
      </c>
      <c r="L18" t="s">
        <v>66</v>
      </c>
      <c r="M18" t="s">
        <v>514</v>
      </c>
      <c r="N18" t="s">
        <v>59</v>
      </c>
      <c r="O18" t="s">
        <v>918</v>
      </c>
      <c r="P18">
        <v>-51.95</v>
      </c>
      <c r="Q18" t="s">
        <v>919</v>
      </c>
      <c r="R18">
        <v>-25868125</v>
      </c>
      <c r="S18" s="5">
        <v>9.6500000000000002E-2</v>
      </c>
      <c r="T18" t="s">
        <v>920</v>
      </c>
      <c r="U18">
        <v>514402030</v>
      </c>
      <c r="V18">
        <v>514402030</v>
      </c>
      <c r="W18">
        <v>4.51</v>
      </c>
      <c r="X18">
        <v>0.04</v>
      </c>
      <c r="Y18">
        <v>-61.83</v>
      </c>
      <c r="Z18" t="s">
        <v>921</v>
      </c>
      <c r="AA18" t="s">
        <v>922</v>
      </c>
      <c r="AB18" t="s">
        <v>923</v>
      </c>
      <c r="AC18" t="s">
        <v>924</v>
      </c>
      <c r="AD18" t="s">
        <v>5</v>
      </c>
      <c r="AE18">
        <v>5290717</v>
      </c>
      <c r="AF18" t="s">
        <v>422</v>
      </c>
      <c r="AG18">
        <v>0.5</v>
      </c>
      <c r="AH18" t="s">
        <v>925</v>
      </c>
      <c r="AI18" t="s">
        <v>926</v>
      </c>
      <c r="AJ18" t="s">
        <v>927</v>
      </c>
      <c r="AK18" t="s">
        <v>928</v>
      </c>
      <c r="AL18" t="s">
        <v>929</v>
      </c>
      <c r="AM18" t="s">
        <v>5</v>
      </c>
      <c r="AN18">
        <v>0</v>
      </c>
      <c r="AO18" t="s">
        <v>930</v>
      </c>
      <c r="AP18" t="s">
        <v>5</v>
      </c>
      <c r="AQ18" t="s">
        <v>257</v>
      </c>
      <c r="AR18" t="s">
        <v>931</v>
      </c>
      <c r="AS18" t="s">
        <v>932</v>
      </c>
      <c r="AT18" t="s">
        <v>933</v>
      </c>
      <c r="AU18" t="s">
        <v>934</v>
      </c>
      <c r="AV18" t="s">
        <v>935</v>
      </c>
      <c r="AW18" t="s">
        <v>936</v>
      </c>
      <c r="AX18" t="s">
        <v>410</v>
      </c>
      <c r="AY18" t="s">
        <v>276</v>
      </c>
      <c r="AZ18" t="s">
        <v>181</v>
      </c>
      <c r="BA18" t="s">
        <v>182</v>
      </c>
      <c r="BB18" t="s">
        <v>89</v>
      </c>
      <c r="BC18" t="s">
        <v>937</v>
      </c>
      <c r="BD18" t="s">
        <v>277</v>
      </c>
      <c r="BE18" t="s">
        <v>278</v>
      </c>
      <c r="BF18" t="s">
        <v>183</v>
      </c>
      <c r="BG18" t="s">
        <v>184</v>
      </c>
      <c r="BH18" t="s">
        <v>555</v>
      </c>
      <c r="BI18" t="s">
        <v>938</v>
      </c>
      <c r="BJ18" t="s">
        <v>410</v>
      </c>
      <c r="BK18" t="s">
        <v>939</v>
      </c>
      <c r="BL18" t="s">
        <v>940</v>
      </c>
      <c r="BM18" t="s">
        <v>937</v>
      </c>
      <c r="BN18" t="s">
        <v>5</v>
      </c>
      <c r="BO18" t="s">
        <v>5</v>
      </c>
      <c r="BP18" t="s">
        <v>5</v>
      </c>
      <c r="BQ18">
        <v>-32.58</v>
      </c>
      <c r="BR18">
        <v>-8.01</v>
      </c>
      <c r="BS18">
        <v>-8.86</v>
      </c>
      <c r="BT18" t="s">
        <v>397</v>
      </c>
      <c r="BU18" t="s">
        <v>306</v>
      </c>
      <c r="BV18">
        <v>-10.18</v>
      </c>
      <c r="BW18">
        <v>10.24</v>
      </c>
      <c r="BX18">
        <v>16.84</v>
      </c>
      <c r="BY18">
        <v>-73.8</v>
      </c>
      <c r="BZ18">
        <v>-11.31</v>
      </c>
      <c r="CA18">
        <v>-15.98</v>
      </c>
      <c r="CB18">
        <v>2.29</v>
      </c>
      <c r="CC18">
        <v>-21.41</v>
      </c>
      <c r="CD18" t="s">
        <v>941</v>
      </c>
      <c r="CE18" t="s">
        <v>624</v>
      </c>
      <c r="CF18" s="7">
        <v>-0.99766236799463592</v>
      </c>
      <c r="CG18" s="8">
        <v>-1.068798204787234</v>
      </c>
      <c r="CH18" s="7">
        <v>220.16769409179687</v>
      </c>
      <c r="CI18" s="7">
        <v>0.17142857611179352</v>
      </c>
      <c r="CJ18" s="7">
        <v>-0.28020566701889038</v>
      </c>
      <c r="CK18" s="7">
        <v>-0.2822878360748291</v>
      </c>
      <c r="CL18" s="7">
        <v>-0.23229461908340454</v>
      </c>
      <c r="CM18" s="8">
        <v>58.856189727783203</v>
      </c>
      <c r="CN18" s="8">
        <v>0.17878511548042297</v>
      </c>
      <c r="CO18" s="8">
        <v>-2.0751118659973145</v>
      </c>
      <c r="CP18" s="8">
        <v>-0.13811713457107544</v>
      </c>
      <c r="CQ18" s="8">
        <v>1.4197131395339966</v>
      </c>
      <c r="CR18">
        <v>4.098062770394943</v>
      </c>
      <c r="CS18">
        <v>9.3331098223837518E-4</v>
      </c>
      <c r="CT18">
        <v>0</v>
      </c>
      <c r="CU18" s="7">
        <v>43.908866909146312</v>
      </c>
      <c r="CV18" s="8">
        <v>11.648291796445847</v>
      </c>
      <c r="CW18">
        <v>0.06</v>
      </c>
      <c r="CX18">
        <v>2.0999738641204409E-2</v>
      </c>
      <c r="CY18">
        <v>90029568096.165955</v>
      </c>
      <c r="CZ18">
        <v>43.908866909146312</v>
      </c>
      <c r="DA18">
        <v>1.3260427592650022E-5</v>
      </c>
      <c r="DB18">
        <v>142574391873148.84</v>
      </c>
      <c r="DC18">
        <v>41.713423563688991</v>
      </c>
      <c r="DD18">
        <v>3.1660291913188786E-10</v>
      </c>
      <c r="DE18">
        <v>5.9715096916476324E+18</v>
      </c>
      <c r="DF18">
        <v>38.639802880048755</v>
      </c>
      <c r="DG18">
        <v>4.0835256583251622E-16</v>
      </c>
      <c r="DH18">
        <v>4.6298163846371402E+24</v>
      </c>
      <c r="DI18">
        <v>35.127093527317051</v>
      </c>
      <c r="DJ18">
        <v>2.5674601292018086E-30</v>
      </c>
      <c r="DK18">
        <v>7.3636874765714991E+38</v>
      </c>
      <c r="DL18">
        <v>30.736206836402417</v>
      </c>
      <c r="DM18">
        <v>2125000000</v>
      </c>
      <c r="DN18">
        <v>43.908866909146312</v>
      </c>
      <c r="DO18">
        <v>1890597400</v>
      </c>
      <c r="DP18">
        <v>-22402730</v>
      </c>
      <c r="DQ18">
        <v>3064</v>
      </c>
      <c r="DR18">
        <v>-44.906529277140947</v>
      </c>
      <c r="DS18">
        <v>-12.71709000123308</v>
      </c>
      <c r="DT18" s="9">
        <v>-0.34</v>
      </c>
      <c r="DU18">
        <v>-1.3483333333333334</v>
      </c>
      <c r="DV18">
        <v>-1.6883333333333335</v>
      </c>
      <c r="DW18">
        <v>-3.0611845238095237</v>
      </c>
      <c r="DX18">
        <v>0.43242808219178175</v>
      </c>
      <c r="DY18">
        <v>-3.0172802277193411</v>
      </c>
      <c r="DZ18">
        <v>4422</v>
      </c>
      <c r="EA18">
        <v>-3.0023265746909797</v>
      </c>
      <c r="EB18">
        <v>3</v>
      </c>
      <c r="EC18">
        <v>0.16032012937429505</v>
      </c>
      <c r="ED18">
        <v>0.56764939282996218</v>
      </c>
      <c r="EE18" s="10">
        <v>-2.0823999999999998</v>
      </c>
      <c r="EF18">
        <v>-2.0649999999999999</v>
      </c>
      <c r="EG18">
        <v>15.282428082191782</v>
      </c>
      <c r="EH18" t="s">
        <v>437</v>
      </c>
      <c r="EI18">
        <v>0</v>
      </c>
      <c r="EJ18">
        <v>0</v>
      </c>
      <c r="EK18" s="13">
        <v>45470</v>
      </c>
      <c r="EL18" s="14">
        <v>-3.81</v>
      </c>
      <c r="EM18" s="14">
        <v>-3.96</v>
      </c>
      <c r="EN18" s="14">
        <v>4.13</v>
      </c>
      <c r="EO18" s="14">
        <v>1.32</v>
      </c>
      <c r="EP18" s="14">
        <v>-1.74</v>
      </c>
    </row>
    <row r="19" spans="1:146" ht="96">
      <c r="C19" s="6" t="str">
        <f>""&amp;CHAR(10)&amp;Basic_Fundamental_Information_Constructure(F19)&amp;CHAR(10)&amp;Basic_Fundamental_Information_Concatenate("")</f>
        <v xml:space="preserve">
市值126.703266亿, 利润-1.96亿; PE32.1; 平均PE447.71; 平均PEG3.48, PB3.49; ROIC7.5467%; ROE9.6767%; 股利率0%; 毛利22.4867%; 净利12.1067%; 上一年度营收增-81.68%, 利润增-189.5%; 当季营收增534.21%, 利润增4383.76%; 过往5年营收增128.5%, 利润增98.97%
Income profile:
</v>
      </c>
      <c r="D19" s="5" t="s">
        <v>421</v>
      </c>
      <c r="E19" t="s">
        <v>493</v>
      </c>
      <c r="F19">
        <v>20.03</v>
      </c>
      <c r="G19">
        <v>3.51</v>
      </c>
      <c r="H19" t="s">
        <v>942</v>
      </c>
      <c r="I19">
        <v>12670326600</v>
      </c>
      <c r="J19">
        <v>32.1</v>
      </c>
      <c r="K19">
        <v>3.49</v>
      </c>
      <c r="L19" t="s">
        <v>66</v>
      </c>
      <c r="M19" t="s">
        <v>943</v>
      </c>
      <c r="N19" t="s">
        <v>944</v>
      </c>
      <c r="O19" t="s">
        <v>945</v>
      </c>
      <c r="P19" s="5">
        <v>61.61</v>
      </c>
      <c r="Q19" t="s">
        <v>946</v>
      </c>
      <c r="R19">
        <v>214037950</v>
      </c>
      <c r="S19">
        <v>0.61170000000000002</v>
      </c>
      <c r="T19" t="s">
        <v>947</v>
      </c>
      <c r="U19">
        <v>275335680</v>
      </c>
      <c r="V19">
        <v>632567480</v>
      </c>
      <c r="W19">
        <v>1.54</v>
      </c>
      <c r="X19">
        <v>0.15</v>
      </c>
      <c r="Y19">
        <v>22.21</v>
      </c>
      <c r="Z19" t="s">
        <v>948</v>
      </c>
      <c r="AA19" t="s">
        <v>310</v>
      </c>
      <c r="AB19" t="s">
        <v>949</v>
      </c>
      <c r="AC19" t="s">
        <v>950</v>
      </c>
      <c r="AD19" t="s">
        <v>5</v>
      </c>
      <c r="AE19">
        <v>11207932</v>
      </c>
      <c r="AF19" t="s">
        <v>422</v>
      </c>
      <c r="AG19" t="s">
        <v>951</v>
      </c>
      <c r="AH19" t="s">
        <v>952</v>
      </c>
      <c r="AI19" t="s">
        <v>455</v>
      </c>
      <c r="AJ19" t="s">
        <v>953</v>
      </c>
      <c r="AK19" t="s">
        <v>954</v>
      </c>
      <c r="AL19" t="s">
        <v>955</v>
      </c>
      <c r="AM19" t="s">
        <v>5</v>
      </c>
      <c r="AN19" t="s">
        <v>956</v>
      </c>
      <c r="AO19" t="s">
        <v>398</v>
      </c>
      <c r="AP19" t="s">
        <v>957</v>
      </c>
      <c r="AQ19" t="s">
        <v>958</v>
      </c>
      <c r="AR19" t="s">
        <v>959</v>
      </c>
      <c r="AS19" t="s">
        <v>960</v>
      </c>
      <c r="AT19" t="s">
        <v>195</v>
      </c>
      <c r="AU19" t="s">
        <v>119</v>
      </c>
      <c r="AV19" t="s">
        <v>961</v>
      </c>
      <c r="AW19" t="s">
        <v>962</v>
      </c>
      <c r="AX19" t="s">
        <v>963</v>
      </c>
      <c r="AY19" t="s">
        <v>494</v>
      </c>
      <c r="AZ19" t="s">
        <v>424</v>
      </c>
      <c r="BA19" t="s">
        <v>425</v>
      </c>
      <c r="BB19" t="s">
        <v>426</v>
      </c>
      <c r="BC19" t="s">
        <v>479</v>
      </c>
      <c r="BD19" t="s">
        <v>495</v>
      </c>
      <c r="BE19" t="s">
        <v>427</v>
      </c>
      <c r="BF19" t="s">
        <v>428</v>
      </c>
      <c r="BG19" t="s">
        <v>429</v>
      </c>
      <c r="BH19" t="s">
        <v>964</v>
      </c>
      <c r="BI19" t="s">
        <v>965</v>
      </c>
      <c r="BJ19" t="s">
        <v>963</v>
      </c>
      <c r="BK19" t="s">
        <v>966</v>
      </c>
      <c r="BL19" t="s">
        <v>967</v>
      </c>
      <c r="BM19" t="s">
        <v>479</v>
      </c>
      <c r="BN19">
        <v>8.01</v>
      </c>
      <c r="BO19">
        <v>0.57999999999999996</v>
      </c>
      <c r="BP19">
        <v>14.05</v>
      </c>
      <c r="BQ19">
        <v>11.55</v>
      </c>
      <c r="BR19">
        <v>5.51</v>
      </c>
      <c r="BS19">
        <v>11.97</v>
      </c>
      <c r="BT19" t="s">
        <v>397</v>
      </c>
      <c r="BU19" t="s">
        <v>306</v>
      </c>
      <c r="BV19">
        <v>38.090000000000003</v>
      </c>
      <c r="BW19">
        <v>9.2100000000000009</v>
      </c>
      <c r="BX19">
        <v>20.16</v>
      </c>
      <c r="BY19">
        <v>19.22</v>
      </c>
      <c r="BZ19">
        <v>3.08</v>
      </c>
      <c r="CA19">
        <v>14.02</v>
      </c>
      <c r="CB19">
        <v>-0.94</v>
      </c>
      <c r="CC19" s="7">
        <v>19.23</v>
      </c>
      <c r="CD19" s="8" t="s">
        <v>968</v>
      </c>
      <c r="CE19" s="7" t="s">
        <v>969</v>
      </c>
      <c r="CF19" s="7">
        <v>5.3421052631578947</v>
      </c>
      <c r="CG19" s="7">
        <v>43.837576303412391</v>
      </c>
      <c r="CH19" s="7">
        <v>-0.8167690634727478</v>
      </c>
      <c r="CI19" s="7">
        <v>6.0228433609008789</v>
      </c>
      <c r="CJ19" s="8">
        <v>-0.56367665529251099</v>
      </c>
      <c r="CK19" s="8">
        <v>0.34977579116821289</v>
      </c>
      <c r="CL19" s="8">
        <v>1.4327272176742554</v>
      </c>
      <c r="CM19" s="8">
        <v>-1.8949772119522095</v>
      </c>
      <c r="CN19" s="8">
        <v>3.0772404670715332</v>
      </c>
      <c r="CO19">
        <v>0.65458011627197266</v>
      </c>
      <c r="CP19">
        <v>3.9914817810058594</v>
      </c>
      <c r="CQ19">
        <v>-0.87983262538909912</v>
      </c>
      <c r="CR19" s="7">
        <v>447.71050213896689</v>
      </c>
      <c r="CS19" s="8">
        <v>3.4841822968173846</v>
      </c>
      <c r="CT19">
        <v>0</v>
      </c>
      <c r="CU19">
        <v>1.2849801301956176</v>
      </c>
      <c r="CV19">
        <v>0.98969850540161131</v>
      </c>
      <c r="CW19">
        <v>0.06</v>
      </c>
      <c r="CX19" t="e">
        <v>#VALUE!</v>
      </c>
      <c r="CY19" t="s">
        <v>295</v>
      </c>
      <c r="CZ19">
        <v>1.2849801301956176</v>
      </c>
      <c r="DA19" t="e">
        <v>#VALUE!</v>
      </c>
      <c r="DB19" t="s">
        <v>295</v>
      </c>
      <c r="DC19">
        <v>1.2207311236858367</v>
      </c>
      <c r="DD19" t="e">
        <v>#VALUE!</v>
      </c>
      <c r="DE19" t="s">
        <v>295</v>
      </c>
      <c r="DF19">
        <v>1.1307825145721435</v>
      </c>
      <c r="DG19" t="e">
        <v>#VALUE!</v>
      </c>
      <c r="DH19" t="s">
        <v>295</v>
      </c>
      <c r="DI19">
        <v>1.0279841041564941</v>
      </c>
      <c r="DJ19" t="e">
        <v>#VALUE!</v>
      </c>
      <c r="DK19" t="s">
        <v>295</v>
      </c>
      <c r="DL19">
        <v>0.89948609113693223</v>
      </c>
      <c r="DM19">
        <v>-196000000</v>
      </c>
      <c r="DN19">
        <v>1.2849801301956176</v>
      </c>
      <c r="DO19">
        <v>10653326600</v>
      </c>
      <c r="DP19">
        <v>-171272999.99999976</v>
      </c>
      <c r="DQ19" s="9">
        <v>3079</v>
      </c>
      <c r="DR19">
        <v>4.0571251329622768</v>
      </c>
      <c r="DS19">
        <v>42.847877798010778</v>
      </c>
      <c r="DT19">
        <v>-0.27333333333333343</v>
      </c>
      <c r="DU19">
        <v>0.42583333333333329</v>
      </c>
      <c r="DV19">
        <v>0.15249999999999986</v>
      </c>
      <c r="DW19">
        <v>3.0365297619047618</v>
      </c>
      <c r="DX19">
        <v>0.38741548183254326</v>
      </c>
      <c r="DY19">
        <v>3.0039238619762281</v>
      </c>
      <c r="DZ19">
        <v>575</v>
      </c>
      <c r="EA19">
        <v>3.0034823315190202</v>
      </c>
      <c r="EB19" s="10">
        <v>3</v>
      </c>
      <c r="EC19" s="10">
        <v>0.10748892750541017</v>
      </c>
      <c r="ED19">
        <v>1.0006837531388746</v>
      </c>
      <c r="EE19">
        <v>7.9000000000000001E-2</v>
      </c>
      <c r="EF19">
        <v>6.2700000000000006E-2</v>
      </c>
      <c r="EG19">
        <v>28.107415481832543</v>
      </c>
      <c r="EH19" s="13" t="s">
        <v>321</v>
      </c>
      <c r="EI19" s="14">
        <v>0</v>
      </c>
      <c r="EJ19" s="14">
        <v>1</v>
      </c>
      <c r="EK19" s="14">
        <v>45470</v>
      </c>
      <c r="EL19" s="14">
        <v>0.82</v>
      </c>
      <c r="EM19" s="14">
        <v>-3.27</v>
      </c>
      <c r="EN19" s="14">
        <v>0.84</v>
      </c>
      <c r="EO19" s="14">
        <v>2.5099999999999998</v>
      </c>
      <c r="EP19" s="14">
        <v>-1.63</v>
      </c>
    </row>
    <row r="20" spans="1:146" ht="156">
      <c r="A20" s="6" t="s">
        <v>414</v>
      </c>
      <c r="B20" s="6" t="s">
        <v>430</v>
      </c>
      <c r="C20" s="6" t="str">
        <f>"公司的主营业务为稀土矿采选、冶炼分离、金属加工以及锆钛矿选矿业务，主要产品为稀土精矿、稀土氧化物、稀土盐、稀土金属、独居石、锆英砂、钛精矿、金红石等。"&amp;CHAR(10)&amp;Basic_Fundamental_Information_Constructure(F20)&amp;CHAR(10)&amp;Basic_Fundamental_Information_Concatenate("稀土稀有金属 22.62亿 52.12% 35.74% 18.74%
稀土氧化物 10.42亿 24.01% 45.06% 51.27%
稀土精矿(含独居石) 8.26亿 19.03% 15.88% 22.79%
锆英砂 7656.73万 1.76% 2.48% 38.36%")</f>
        <v>公司的主营业务为稀土矿采选、冶炼分离、金属加工以及锆钛矿选矿业务，主要产品为稀土精矿、稀土氧化物、稀土盐、稀土金属、独居石、锆英砂、钛精矿、金红石等。
市值143.20593亿, 利润7.32亿; PE359.9; 平均PE20.9; 平均PEG1.43, PB1.72; ROIC8.5667%; ROE10.2867%; 股利率.612%; 毛利13.24%; 净利7.5367%; 上一年度营收增-43.89%, 利润增-54.05%; 当季营收增.8%, 利润增-161.59%; 过往5年营收增14.62%, 利润增75.89%
Income profile:
稀土稀有金属 22.62亿 52.12% 35.74% 18.74%
稀土氧化物 10.42亿 24.01% 45.06% 51.27%
稀土精矿(含独居石) 8.26亿 19.03% 15.88% 22.79%
锆英砂 7656.73万 1.76% 2.48% 38.36%</v>
      </c>
      <c r="D20" t="s">
        <v>185</v>
      </c>
      <c r="E20" t="s">
        <v>186</v>
      </c>
      <c r="F20">
        <v>8.17</v>
      </c>
      <c r="G20">
        <v>3.16</v>
      </c>
      <c r="H20" t="s">
        <v>970</v>
      </c>
      <c r="I20">
        <v>14320593000</v>
      </c>
      <c r="J20">
        <v>359.9</v>
      </c>
      <c r="K20">
        <v>1.72</v>
      </c>
      <c r="L20" t="s">
        <v>66</v>
      </c>
      <c r="M20" t="s">
        <v>450</v>
      </c>
      <c r="N20" t="s">
        <v>971</v>
      </c>
      <c r="O20" t="s">
        <v>972</v>
      </c>
      <c r="P20">
        <v>-39.92</v>
      </c>
      <c r="Q20" t="s">
        <v>973</v>
      </c>
      <c r="R20">
        <v>-215570280</v>
      </c>
      <c r="S20" s="5">
        <v>-3.786</v>
      </c>
      <c r="T20" t="s">
        <v>514</v>
      </c>
      <c r="U20">
        <v>1752826600</v>
      </c>
      <c r="V20">
        <v>1752826600</v>
      </c>
      <c r="W20">
        <v>1.6</v>
      </c>
      <c r="X20">
        <v>0.19</v>
      </c>
      <c r="Y20">
        <v>-7.84</v>
      </c>
      <c r="Z20" t="s">
        <v>974</v>
      </c>
      <c r="AA20" t="s">
        <v>975</v>
      </c>
      <c r="AB20" t="s">
        <v>976</v>
      </c>
      <c r="AC20" t="s">
        <v>977</v>
      </c>
      <c r="AD20" t="s">
        <v>5</v>
      </c>
      <c r="AE20">
        <v>17151274</v>
      </c>
      <c r="AF20" t="s">
        <v>978</v>
      </c>
      <c r="AG20" t="s">
        <v>979</v>
      </c>
      <c r="AH20" t="s">
        <v>980</v>
      </c>
      <c r="AI20" t="s">
        <v>981</v>
      </c>
      <c r="AJ20" t="s">
        <v>982</v>
      </c>
      <c r="AK20" t="s">
        <v>983</v>
      </c>
      <c r="AL20" t="s">
        <v>984</v>
      </c>
      <c r="AM20" t="s">
        <v>5</v>
      </c>
      <c r="AN20" t="s">
        <v>985</v>
      </c>
      <c r="AO20" t="s">
        <v>986</v>
      </c>
      <c r="AP20" t="s">
        <v>814</v>
      </c>
      <c r="AQ20" t="s">
        <v>987</v>
      </c>
      <c r="AR20" t="s">
        <v>5</v>
      </c>
      <c r="AS20" t="s">
        <v>988</v>
      </c>
      <c r="AT20" t="s">
        <v>410</v>
      </c>
      <c r="AU20" t="s">
        <v>989</v>
      </c>
      <c r="AV20" t="s">
        <v>990</v>
      </c>
      <c r="AW20" t="s">
        <v>932</v>
      </c>
      <c r="AX20" t="s">
        <v>496</v>
      </c>
      <c r="AY20" t="s">
        <v>279</v>
      </c>
      <c r="AZ20" t="s">
        <v>187</v>
      </c>
      <c r="BA20" t="s">
        <v>189</v>
      </c>
      <c r="BB20" t="s">
        <v>190</v>
      </c>
      <c r="BC20" t="s">
        <v>408</v>
      </c>
      <c r="BD20" t="s">
        <v>164</v>
      </c>
      <c r="BE20" t="s">
        <v>188</v>
      </c>
      <c r="BF20" t="s">
        <v>80</v>
      </c>
      <c r="BG20" t="s">
        <v>120</v>
      </c>
      <c r="BH20" t="s">
        <v>991</v>
      </c>
      <c r="BI20" t="s">
        <v>992</v>
      </c>
      <c r="BJ20" t="s">
        <v>496</v>
      </c>
      <c r="BK20" t="s">
        <v>993</v>
      </c>
      <c r="BL20" t="s">
        <v>994</v>
      </c>
      <c r="BM20" t="s">
        <v>408</v>
      </c>
      <c r="BN20">
        <v>1.89</v>
      </c>
      <c r="BO20">
        <v>13.17</v>
      </c>
      <c r="BP20">
        <v>10.64</v>
      </c>
      <c r="BQ20">
        <v>1.7</v>
      </c>
      <c r="BR20">
        <v>15.82</v>
      </c>
      <c r="BS20">
        <v>13.34</v>
      </c>
      <c r="BT20" t="s">
        <v>995</v>
      </c>
      <c r="BU20" t="s">
        <v>307</v>
      </c>
      <c r="BV20">
        <v>4.3499999999999996</v>
      </c>
      <c r="BW20">
        <v>16.64</v>
      </c>
      <c r="BX20">
        <v>18.73</v>
      </c>
      <c r="BY20">
        <v>2.2200000000000002</v>
      </c>
      <c r="BZ20">
        <v>9.82</v>
      </c>
      <c r="CA20">
        <v>10.57</v>
      </c>
      <c r="CB20">
        <v>-4.67</v>
      </c>
      <c r="CC20">
        <v>-15.07</v>
      </c>
      <c r="CD20" t="s">
        <v>94</v>
      </c>
      <c r="CE20" t="s">
        <v>104</v>
      </c>
      <c r="CF20" s="7">
        <v>8.0335312609151246E-3</v>
      </c>
      <c r="CG20" s="8">
        <v>-1.6159150857142857</v>
      </c>
      <c r="CH20" s="7">
        <v>-0.43889486789703369</v>
      </c>
      <c r="CI20" s="7">
        <v>0.57856053113937378</v>
      </c>
      <c r="CJ20" s="7">
        <v>0.30145889520645142</v>
      </c>
      <c r="CK20" s="7">
        <v>0.1719827800989151</v>
      </c>
      <c r="CL20" s="7">
        <v>0.11771322041749954</v>
      </c>
      <c r="CM20" s="8">
        <v>-0.54048961400985718</v>
      </c>
      <c r="CN20" s="8">
        <v>0.48048320412635803</v>
      </c>
      <c r="CO20" s="8">
        <v>2.3312692642211914</v>
      </c>
      <c r="CP20" s="8">
        <v>2.1666667461395264</v>
      </c>
      <c r="CQ20" s="8">
        <v>-0.64335662126541138</v>
      </c>
      <c r="CR20">
        <v>20.895806906614784</v>
      </c>
      <c r="CS20">
        <v>1.4296126901658235</v>
      </c>
      <c r="CT20">
        <v>0.61199510403916768</v>
      </c>
      <c r="CU20" s="7">
        <v>0.14616411179304123</v>
      </c>
      <c r="CV20" s="8">
        <v>0.75891459584236143</v>
      </c>
      <c r="CW20">
        <v>0.06</v>
      </c>
      <c r="CX20">
        <v>13.727814803577866</v>
      </c>
      <c r="CY20">
        <v>791502009.27594912</v>
      </c>
      <c r="CZ20">
        <v>0.14616411179304123</v>
      </c>
      <c r="DA20">
        <v>4.2790781990213924</v>
      </c>
      <c r="DB20">
        <v>2539236839.0194216</v>
      </c>
      <c r="DC20">
        <v>0.13885590620338917</v>
      </c>
      <c r="DD20">
        <v>1.9749190420774461</v>
      </c>
      <c r="DE20">
        <v>5501791601.8321056</v>
      </c>
      <c r="DF20">
        <v>0.12862441837787628</v>
      </c>
      <c r="DG20">
        <v>1.1007460859577378</v>
      </c>
      <c r="DH20">
        <v>9871116634.992218</v>
      </c>
      <c r="DI20">
        <v>0.11693128943443298</v>
      </c>
      <c r="DJ20">
        <v>0.47974196580030121</v>
      </c>
      <c r="DK20">
        <v>22648827441.798042</v>
      </c>
      <c r="DL20">
        <v>0.10231487825512886</v>
      </c>
      <c r="DM20">
        <v>732000000</v>
      </c>
      <c r="DN20">
        <v>0.14616411179304123</v>
      </c>
      <c r="DO20">
        <v>10865593000</v>
      </c>
      <c r="DP20">
        <v>4192780500</v>
      </c>
      <c r="DQ20">
        <v>3153</v>
      </c>
      <c r="DR20">
        <v>-0.1381305805321261</v>
      </c>
      <c r="DS20">
        <v>-2.3748296815566472</v>
      </c>
      <c r="DT20" s="9">
        <v>-0.20666666666666669</v>
      </c>
      <c r="DU20">
        <v>-0.26849999999999991</v>
      </c>
      <c r="DV20">
        <v>-0.47516666666666663</v>
      </c>
      <c r="DW20">
        <v>-8.3098871930988718</v>
      </c>
      <c r="DX20">
        <v>0.41795081967213055</v>
      </c>
      <c r="DY20">
        <v>-8.0768367835347608</v>
      </c>
      <c r="DZ20">
        <v>1473</v>
      </c>
      <c r="EA20">
        <v>-8.0546879416273818</v>
      </c>
      <c r="EB20">
        <v>8</v>
      </c>
      <c r="EC20">
        <v>6.9031357693909945E-2</v>
      </c>
      <c r="ED20">
        <v>0.27840745912915743</v>
      </c>
      <c r="EE20" s="10">
        <v>-2.08161</v>
      </c>
      <c r="EF20">
        <v>-2.1093099999999998</v>
      </c>
      <c r="EG20">
        <v>17.247950819672131</v>
      </c>
      <c r="EH20" t="s">
        <v>996</v>
      </c>
      <c r="EI20">
        <v>0</v>
      </c>
      <c r="EJ20">
        <v>1</v>
      </c>
      <c r="EK20" s="13">
        <v>45470</v>
      </c>
      <c r="EL20" s="14">
        <v>-0.57999999999999996</v>
      </c>
      <c r="EM20" s="14">
        <v>-3.76</v>
      </c>
      <c r="EN20" s="14">
        <v>0.13</v>
      </c>
      <c r="EO20" s="14">
        <v>2.2200000000000002</v>
      </c>
      <c r="EP20" s="14">
        <v>-2.77</v>
      </c>
    </row>
    <row r="21" spans="1:146" ht="132">
      <c r="A21" s="6" t="s">
        <v>417</v>
      </c>
      <c r="B21" s="6"/>
      <c r="C21" s="6" t="str">
        <f>"公司主要从事钛及钛合金的生产、加工和销售。主要产品为各种规格的钛及钛合金板、带、箔、管、棒、线、锻件、铸件等加工材和各种金属复合材产品；"&amp;CHAR(10)&amp;Basic_Fundamental_Information_Constructure(F21)&amp;CHAR(10)&amp;Basic_Fundamental_Information_Concatenate("钛产品 30.72亿 90.94% 93.30% 24.86%
其他金属产品 2.25亿 6.66% 5.00% 18.20%")</f>
        <v>公司主要从事钛及钛合金的生产、加工和销售。主要产品为各种规格的钛及钛合金板、带、箔、管、棒、线、锻件、铸件等加工材和各种金属复合材产品；
市值120.208829亿, 利润3.86亿; PE21.22; 平均PE32.1; 平均PEG.67, PB1.79; ROIC8.23%; ROE9.0933%; 股利率1.3911%; 毛利22.03%; 净利10.5933%; 上一年度营收增164.33%, 利润增-30.7%; 当季营收增-54.48%, 利润增47.35%; 过往5年营收增47.63%, 利润增28.9%
Income profile:
钛产品 30.72亿 90.94% 93.30% 24.86%
其他金属产品 2.25亿 6.66% 5.00% 18.20%</v>
      </c>
      <c r="D21" t="s">
        <v>191</v>
      </c>
      <c r="E21" t="s">
        <v>192</v>
      </c>
      <c r="F21">
        <v>25.16</v>
      </c>
      <c r="G21">
        <v>2.57</v>
      </c>
      <c r="H21" t="s">
        <v>997</v>
      </c>
      <c r="I21">
        <v>12020882900</v>
      </c>
      <c r="J21">
        <v>21.22</v>
      </c>
      <c r="K21">
        <v>1.79</v>
      </c>
      <c r="L21" t="s">
        <v>66</v>
      </c>
      <c r="M21" t="s">
        <v>998</v>
      </c>
      <c r="N21" t="s">
        <v>999</v>
      </c>
      <c r="O21" t="s">
        <v>1000</v>
      </c>
      <c r="P21">
        <v>-2.57</v>
      </c>
      <c r="Q21" t="s">
        <v>1001</v>
      </c>
      <c r="R21">
        <v>159136850</v>
      </c>
      <c r="S21" s="5">
        <v>0.1636</v>
      </c>
      <c r="T21" t="s">
        <v>311</v>
      </c>
      <c r="U21">
        <v>477777540</v>
      </c>
      <c r="V21">
        <v>477777540</v>
      </c>
      <c r="W21">
        <v>1.76</v>
      </c>
      <c r="X21">
        <v>0.14000000000000001</v>
      </c>
      <c r="Y21">
        <v>9.2799999999999994</v>
      </c>
      <c r="Z21" t="s">
        <v>1002</v>
      </c>
      <c r="AA21" t="s">
        <v>1003</v>
      </c>
      <c r="AB21" t="s">
        <v>1004</v>
      </c>
      <c r="AC21" t="s">
        <v>1005</v>
      </c>
      <c r="AD21" t="s">
        <v>5</v>
      </c>
      <c r="AE21">
        <v>7869420</v>
      </c>
      <c r="AF21" t="s">
        <v>1006</v>
      </c>
      <c r="AG21" t="s">
        <v>1007</v>
      </c>
      <c r="AH21" t="s">
        <v>1008</v>
      </c>
      <c r="AI21" t="s">
        <v>791</v>
      </c>
      <c r="AJ21" t="s">
        <v>1009</v>
      </c>
      <c r="AK21" t="s">
        <v>1010</v>
      </c>
      <c r="AL21" t="s">
        <v>1011</v>
      </c>
      <c r="AM21" t="s">
        <v>5</v>
      </c>
      <c r="AN21" t="s">
        <v>1012</v>
      </c>
      <c r="AO21" t="s">
        <v>1013</v>
      </c>
      <c r="AP21" t="s">
        <v>396</v>
      </c>
      <c r="AQ21" t="s">
        <v>1014</v>
      </c>
      <c r="AR21" t="s">
        <v>1015</v>
      </c>
      <c r="AS21" t="s">
        <v>1016</v>
      </c>
      <c r="AT21" t="s">
        <v>1017</v>
      </c>
      <c r="AU21" t="s">
        <v>583</v>
      </c>
      <c r="AV21" t="s">
        <v>1018</v>
      </c>
      <c r="AW21" t="s">
        <v>1019</v>
      </c>
      <c r="AX21" t="s">
        <v>497</v>
      </c>
      <c r="AY21" t="s">
        <v>280</v>
      </c>
      <c r="AZ21" t="s">
        <v>193</v>
      </c>
      <c r="BA21" t="s">
        <v>196</v>
      </c>
      <c r="BB21" t="s">
        <v>197</v>
      </c>
      <c r="BC21" t="s">
        <v>498</v>
      </c>
      <c r="BD21" t="s">
        <v>281</v>
      </c>
      <c r="BE21" t="s">
        <v>194</v>
      </c>
      <c r="BF21" t="s">
        <v>198</v>
      </c>
      <c r="BG21" t="s">
        <v>112</v>
      </c>
      <c r="BH21" t="s">
        <v>1020</v>
      </c>
      <c r="BI21" t="s">
        <v>1021</v>
      </c>
      <c r="BJ21" t="s">
        <v>497</v>
      </c>
      <c r="BK21" t="s">
        <v>166</v>
      </c>
      <c r="BL21" t="s">
        <v>294</v>
      </c>
      <c r="BM21" t="s">
        <v>498</v>
      </c>
      <c r="BN21">
        <v>7.37</v>
      </c>
      <c r="BO21">
        <v>8.5500000000000007</v>
      </c>
      <c r="BP21">
        <v>8.77</v>
      </c>
      <c r="BQ21">
        <v>8.58</v>
      </c>
      <c r="BR21">
        <v>9.11</v>
      </c>
      <c r="BS21">
        <v>9.59</v>
      </c>
      <c r="BT21" t="s">
        <v>506</v>
      </c>
      <c r="BU21" t="s">
        <v>306</v>
      </c>
      <c r="BV21">
        <v>21.18</v>
      </c>
      <c r="BW21">
        <v>21.64</v>
      </c>
      <c r="BX21">
        <v>23.27</v>
      </c>
      <c r="BY21">
        <v>9.74</v>
      </c>
      <c r="BZ21">
        <v>10.130000000000001</v>
      </c>
      <c r="CA21">
        <v>11.91</v>
      </c>
      <c r="CB21">
        <v>-1.45</v>
      </c>
      <c r="CC21">
        <v>-7.74</v>
      </c>
      <c r="CD21" t="s">
        <v>1022</v>
      </c>
      <c r="CE21" t="s">
        <v>144</v>
      </c>
      <c r="CF21" s="7">
        <v>-0.54484304932735428</v>
      </c>
      <c r="CG21" s="8">
        <v>0.47348935185185187</v>
      </c>
      <c r="CH21" s="7">
        <v>1.6432557106018066</v>
      </c>
      <c r="CI21" s="7">
        <v>0.26477310061454773</v>
      </c>
      <c r="CJ21" s="7">
        <v>0.20931310951709747</v>
      </c>
      <c r="CK21" s="7">
        <v>3.5816587507724762E-2</v>
      </c>
      <c r="CL21" s="7">
        <v>0.22815254330635071</v>
      </c>
      <c r="CM21" s="8">
        <v>-0.30700179934501648</v>
      </c>
      <c r="CN21" s="8">
        <v>-5.3571430034935474E-3</v>
      </c>
      <c r="CO21" s="8">
        <v>0.54269975423812866</v>
      </c>
      <c r="CP21" s="8">
        <v>0.51249998807907104</v>
      </c>
      <c r="CQ21" s="8">
        <v>0.70212763547897339</v>
      </c>
      <c r="CR21">
        <v>32.098485714285715</v>
      </c>
      <c r="CS21">
        <v>0.67396667254842824</v>
      </c>
      <c r="CT21">
        <v>1.3910969793322734</v>
      </c>
      <c r="CU21" s="7">
        <v>0.47626221030950544</v>
      </c>
      <c r="CV21" s="8">
        <v>0.2889936870895326</v>
      </c>
      <c r="CW21">
        <v>0.06</v>
      </c>
      <c r="CX21">
        <v>18.731798533203587</v>
      </c>
      <c r="CY21">
        <v>537582276.58440483</v>
      </c>
      <c r="CZ21">
        <v>0.47626221030950544</v>
      </c>
      <c r="DA21">
        <v>4.4820856382776881</v>
      </c>
      <c r="DB21">
        <v>2246695782.428091</v>
      </c>
      <c r="DC21">
        <v>0.45244909979403014</v>
      </c>
      <c r="DD21">
        <v>1.3875090622894808</v>
      </c>
      <c r="DE21">
        <v>7257525859.6034203</v>
      </c>
      <c r="DF21">
        <v>0.41911074507236479</v>
      </c>
      <c r="DG21">
        <v>0.46325623294378476</v>
      </c>
      <c r="DH21">
        <v>21737177362.969147</v>
      </c>
      <c r="DI21">
        <v>0.38100976824760435</v>
      </c>
      <c r="DJ21">
        <v>5.4916912544207608E-2</v>
      </c>
      <c r="DK21">
        <v>183365787213.43515</v>
      </c>
      <c r="DL21">
        <v>0.33338354721665381</v>
      </c>
      <c r="DM21">
        <v>386000000</v>
      </c>
      <c r="DN21">
        <v>0.47626221030950544</v>
      </c>
      <c r="DO21">
        <v>10069882900</v>
      </c>
      <c r="DP21">
        <v>4888264100</v>
      </c>
      <c r="DQ21">
        <v>3189</v>
      </c>
      <c r="DR21">
        <v>-1.0211052596368597</v>
      </c>
      <c r="DS21">
        <v>0.18449566476231927</v>
      </c>
      <c r="DT21" s="9">
        <v>0.27666666666666662</v>
      </c>
      <c r="DU21">
        <v>0.5033333333333333</v>
      </c>
      <c r="DV21">
        <v>0.77999999999999992</v>
      </c>
      <c r="DW21">
        <v>-2.0773999999999999</v>
      </c>
      <c r="DX21">
        <v>0.42960000000000148</v>
      </c>
      <c r="DY21">
        <v>-2.0108050400000002</v>
      </c>
      <c r="DZ21">
        <v>2824</v>
      </c>
      <c r="EA21">
        <v>-2.0048337223953032</v>
      </c>
      <c r="EB21">
        <v>2</v>
      </c>
      <c r="EC21">
        <v>4.0906066869530952E-2</v>
      </c>
      <c r="ED21">
        <v>0.29302340164420454</v>
      </c>
      <c r="EE21" s="10">
        <v>-3.0581999999999998</v>
      </c>
      <c r="EF21">
        <v>-3.0581999999999998</v>
      </c>
      <c r="EG21">
        <v>29.139600000000002</v>
      </c>
      <c r="EH21" t="s">
        <v>457</v>
      </c>
      <c r="EI21">
        <v>0</v>
      </c>
      <c r="EJ21">
        <v>0</v>
      </c>
      <c r="EK21" s="13">
        <v>45470</v>
      </c>
      <c r="EL21" s="14">
        <v>-3.16</v>
      </c>
      <c r="EM21" s="14">
        <v>-4.76</v>
      </c>
      <c r="EN21" s="14">
        <v>2.71</v>
      </c>
      <c r="EO21" s="14">
        <v>1.81</v>
      </c>
      <c r="EP21" s="14">
        <v>0</v>
      </c>
    </row>
    <row r="22" spans="1:146" ht="192">
      <c r="A22" s="6" t="s">
        <v>418</v>
      </c>
      <c r="B22" s="6"/>
      <c r="C22" s="6" t="str">
        <f>"公司是一家主要从事贵金属及贵金属材料研究、开发和生产经营。主要产品是贵金属特种功能材料、贵金属信息功能材料、贵金属前驱体材料、贵金属工业催化剂材料、贵金属产品、贵金属再生资源材料、贵金属供给服务。"&amp;CHAR(10)&amp;Basic_Fundamental_Information_Constructure(F22)&amp;CHAR(10)&amp;Basic_Fundamental_Information_Concatenate("贵金属供给服务 147.98亿 40.71% 9.12% 0.73%
贵金属前驱体材料 63.26亿 17.40% 13.16% 2.47%
贵金属再生资源材料 50.73亿 13.96% 22.56% 5.27%
机动车催化净化器 50.46亿 13.88% 26.92% 6.32%
贵金属特种功能材料 42.55亿 11.71% 13.54% 3.77%
贵金属工业催化剂材料 3.77亿 1.04% 3.52% 11.04%")</f>
        <v>公司是一家主要从事贵金属及贵金属材料研究、开发和生产经营。主要产品是贵金属特种功能材料、贵金属信息功能材料、贵金属前驱体材料、贵金属工业催化剂材料、贵金属产品、贵金属再生资源材料、贵金属供给服务。
市值101.633083亿, 利润-3578.58万; PE20.11; 平均PE43.03; 平均PEG9.78, PB1.51; ROIC5.6767%; ROE9.2533%; 股利率1.4226%; 毛利3.24%; 净利1.1233%; 上一年度营收增-77.08%, 利润增-108.79%; 当季营收增405.52%, 利润增-9.01%; 过往5年营收增4.4%, 利润增.8%
Income profile:
贵金属供给服务 147.98亿 40.71% 9.12% 0.73%
贵金属前驱体材料 63.26亿 17.40% 13.16% 2.47%
贵金属再生资源材料 50.73亿 13.96% 22.56% 5.27%
机动车催化净化器 50.46亿 13.88% 26.92% 6.32%
贵金属特种功能材料 42.55亿 11.71% 13.54% 3.77%
贵金属工业催化剂材料 3.77亿 1.04% 3.52% 11.04%</v>
      </c>
      <c r="D22" t="s">
        <v>199</v>
      </c>
      <c r="E22" t="s">
        <v>200</v>
      </c>
      <c r="F22">
        <v>13.36</v>
      </c>
      <c r="G22">
        <v>2.5299999999999998</v>
      </c>
      <c r="H22" t="s">
        <v>1023</v>
      </c>
      <c r="I22">
        <v>10163308300</v>
      </c>
      <c r="J22">
        <v>20.11</v>
      </c>
      <c r="K22">
        <v>1.51</v>
      </c>
      <c r="L22" t="s">
        <v>66</v>
      </c>
      <c r="M22" t="s">
        <v>1024</v>
      </c>
      <c r="N22" t="s">
        <v>1025</v>
      </c>
      <c r="O22" t="s">
        <v>1026</v>
      </c>
      <c r="P22">
        <v>3.55</v>
      </c>
      <c r="Q22" t="s">
        <v>1027</v>
      </c>
      <c r="R22">
        <v>194711610</v>
      </c>
      <c r="S22" s="5">
        <v>0.23449999999999999</v>
      </c>
      <c r="T22" t="s">
        <v>1028</v>
      </c>
      <c r="U22">
        <v>747707620</v>
      </c>
      <c r="V22">
        <v>760726670</v>
      </c>
      <c r="W22">
        <v>2.0299999999999998</v>
      </c>
      <c r="X22">
        <v>0.8</v>
      </c>
      <c r="Y22">
        <v>1.95</v>
      </c>
      <c r="Z22" t="s">
        <v>1029</v>
      </c>
      <c r="AA22" t="s">
        <v>1030</v>
      </c>
      <c r="AB22" t="s">
        <v>1031</v>
      </c>
      <c r="AC22" t="s">
        <v>1032</v>
      </c>
      <c r="AD22" t="s">
        <v>5</v>
      </c>
      <c r="AE22">
        <v>12702081</v>
      </c>
      <c r="AF22" t="s">
        <v>1033</v>
      </c>
      <c r="AG22" t="s">
        <v>1034</v>
      </c>
      <c r="AH22" t="s">
        <v>1035</v>
      </c>
      <c r="AI22" t="s">
        <v>1036</v>
      </c>
      <c r="AJ22" t="s">
        <v>1037</v>
      </c>
      <c r="AK22" t="s">
        <v>1038</v>
      </c>
      <c r="AL22" t="s">
        <v>1039</v>
      </c>
      <c r="AM22" t="s">
        <v>5</v>
      </c>
      <c r="AN22" t="s">
        <v>161</v>
      </c>
      <c r="AO22" t="s">
        <v>1040</v>
      </c>
      <c r="AP22" t="s">
        <v>1041</v>
      </c>
      <c r="AQ22" t="s">
        <v>488</v>
      </c>
      <c r="AR22" t="s">
        <v>1042</v>
      </c>
      <c r="AS22" t="s">
        <v>196</v>
      </c>
      <c r="AT22" t="s">
        <v>1043</v>
      </c>
      <c r="AU22" t="s">
        <v>1044</v>
      </c>
      <c r="AV22" t="s">
        <v>1045</v>
      </c>
      <c r="AW22" t="s">
        <v>1046</v>
      </c>
      <c r="AX22" t="s">
        <v>499</v>
      </c>
      <c r="AY22" t="s">
        <v>501</v>
      </c>
      <c r="AZ22" t="s">
        <v>201</v>
      </c>
      <c r="BA22" t="s">
        <v>202</v>
      </c>
      <c r="BB22" t="s">
        <v>203</v>
      </c>
      <c r="BC22" t="s">
        <v>500</v>
      </c>
      <c r="BD22" t="s">
        <v>502</v>
      </c>
      <c r="BE22" t="s">
        <v>174</v>
      </c>
      <c r="BF22" t="s">
        <v>60</v>
      </c>
      <c r="BG22" t="s">
        <v>204</v>
      </c>
      <c r="BH22" t="s">
        <v>1047</v>
      </c>
      <c r="BI22" t="s">
        <v>1048</v>
      </c>
      <c r="BJ22" t="s">
        <v>499</v>
      </c>
      <c r="BK22" t="s">
        <v>1049</v>
      </c>
      <c r="BL22" t="s">
        <v>245</v>
      </c>
      <c r="BM22" t="s">
        <v>500</v>
      </c>
      <c r="BN22">
        <v>4.4800000000000004</v>
      </c>
      <c r="BO22">
        <v>5.72</v>
      </c>
      <c r="BP22">
        <v>6.83</v>
      </c>
      <c r="BQ22">
        <v>6.53</v>
      </c>
      <c r="BR22">
        <v>10.39</v>
      </c>
      <c r="BS22">
        <v>10.84</v>
      </c>
      <c r="BT22" t="s">
        <v>1050</v>
      </c>
      <c r="BU22" t="s">
        <v>306</v>
      </c>
      <c r="BV22">
        <v>3.12</v>
      </c>
      <c r="BW22">
        <v>3.34</v>
      </c>
      <c r="BX22">
        <v>3.26</v>
      </c>
      <c r="BY22">
        <v>1.1000000000000001</v>
      </c>
      <c r="BZ22">
        <v>1.08</v>
      </c>
      <c r="CA22">
        <v>1.19</v>
      </c>
      <c r="CB22">
        <v>0.3</v>
      </c>
      <c r="CC22">
        <v>-8.3699999999999992</v>
      </c>
      <c r="CD22" t="s">
        <v>1051</v>
      </c>
      <c r="CE22" t="s">
        <v>612</v>
      </c>
      <c r="CF22" s="7">
        <v>4.0551790900290419</v>
      </c>
      <c r="CG22" s="8">
        <v>-9.013266355140187E-2</v>
      </c>
      <c r="CH22" s="7">
        <v>-0.77084815502166748</v>
      </c>
      <c r="CI22" s="7">
        <v>7.5634017586708069E-2</v>
      </c>
      <c r="CJ22" s="7">
        <v>0.30999800562858582</v>
      </c>
      <c r="CK22" s="7">
        <v>0.35453051328659058</v>
      </c>
      <c r="CL22" s="7">
        <v>0.25073209404945374</v>
      </c>
      <c r="CM22" s="8">
        <v>-1.0879257917404175</v>
      </c>
      <c r="CN22" s="8">
        <v>0.22960725426673889</v>
      </c>
      <c r="CO22" s="8">
        <v>1.5337423421442509E-2</v>
      </c>
      <c r="CP22" s="8">
        <v>0.40517240762710571</v>
      </c>
      <c r="CQ22" s="8">
        <v>0.47770699858665466</v>
      </c>
      <c r="CR22">
        <v>43.027969801600918</v>
      </c>
      <c r="CS22">
        <v>9.7770186270943231</v>
      </c>
      <c r="CT22">
        <v>1.4226047904191619</v>
      </c>
      <c r="CU22" s="7">
        <v>4.400929510593414E-2</v>
      </c>
      <c r="CV22" s="8">
        <v>7.9796584323048592E-3</v>
      </c>
      <c r="CW22">
        <v>0.06</v>
      </c>
      <c r="CX22" t="e">
        <v>#VALUE!</v>
      </c>
      <c r="CY22" t="s">
        <v>295</v>
      </c>
      <c r="CZ22">
        <v>4.400929510593414E-2</v>
      </c>
      <c r="DA22" t="e">
        <v>#VALUE!</v>
      </c>
      <c r="DB22" t="s">
        <v>295</v>
      </c>
      <c r="DC22">
        <v>4.1808830350637434E-2</v>
      </c>
      <c r="DD22" t="e">
        <v>#VALUE!</v>
      </c>
      <c r="DE22" t="s">
        <v>295</v>
      </c>
      <c r="DF22">
        <v>3.8728179693222044E-2</v>
      </c>
      <c r="DG22" t="e">
        <v>#VALUE!</v>
      </c>
      <c r="DH22" t="s">
        <v>295</v>
      </c>
      <c r="DI22">
        <v>3.5207436084747315E-2</v>
      </c>
      <c r="DJ22" t="e">
        <v>#VALUE!</v>
      </c>
      <c r="DK22" t="s">
        <v>295</v>
      </c>
      <c r="DL22">
        <v>3.0806506574153895E-2</v>
      </c>
      <c r="DM22">
        <v>-35785800</v>
      </c>
      <c r="DN22">
        <v>4.400929510593414E-2</v>
      </c>
      <c r="DO22">
        <v>8164308300.000001</v>
      </c>
      <c r="DP22">
        <v>8092926800</v>
      </c>
      <c r="DQ22">
        <v>3191</v>
      </c>
      <c r="DR22">
        <v>4.0111697949231075</v>
      </c>
      <c r="DS22">
        <v>-9.811232198370673E-2</v>
      </c>
      <c r="DT22" s="9">
        <v>-0.42333333333333339</v>
      </c>
      <c r="DU22">
        <v>-0.38333333333333336</v>
      </c>
      <c r="DV22">
        <v>-0.80666666666666675</v>
      </c>
      <c r="DW22">
        <v>-2.0836999999999999</v>
      </c>
      <c r="DX22">
        <v>0.41383744075829343</v>
      </c>
      <c r="DY22">
        <v>-2.0120391937914692</v>
      </c>
      <c r="DZ22">
        <v>484</v>
      </c>
      <c r="EA22">
        <v>-2.0108988865908684</v>
      </c>
      <c r="EB22">
        <v>2</v>
      </c>
      <c r="EC22">
        <v>3.9895669754814823E-2</v>
      </c>
      <c r="ED22">
        <v>0.27736637654625673</v>
      </c>
      <c r="EE22" s="10">
        <v>5.4099999999999999E-3</v>
      </c>
      <c r="EF22">
        <v>2.4209999999999999E-2</v>
      </c>
      <c r="EG22">
        <v>27.143837440758293</v>
      </c>
      <c r="EH22">
        <v>-1</v>
      </c>
      <c r="EI22">
        <v>0</v>
      </c>
      <c r="EJ22">
        <v>1</v>
      </c>
      <c r="EK22" s="13">
        <v>45470</v>
      </c>
      <c r="EL22" s="14">
        <v>-0.88</v>
      </c>
      <c r="EM22" s="14">
        <v>-2.75</v>
      </c>
      <c r="EN22" s="14">
        <v>0.51</v>
      </c>
      <c r="EO22" s="14">
        <v>1.51</v>
      </c>
      <c r="EP22" s="14">
        <v>-1.88</v>
      </c>
    </row>
    <row r="23" spans="1:146" ht="180">
      <c r="A23" s="6"/>
      <c r="B23" s="6"/>
      <c r="C23" s="6" t="str">
        <f>"公司主要从事钨精矿、钨钼中间制品、粉末产品、丝材板材、硬质合金、切削刀具、各种稀土氧化物、稀土金属、稀土发光材料、磁性材料和稀土贮氢、系列锂电池材料等其他能源新材料的生产、销售与研发。公司获得中国有色工业科技一等奖。"&amp;CHAR(10)&amp;Basic_Fundamental_Information_Constructure(F23)&amp;CHAR(10)&amp;Basic_Fundamental_Information_Concatenate("电池材料 144.53亿 59.83% 36.98% 8.61%
钨钼等有色金属制品 64.13亿 26.55% 46.76% 24.54%
稀土业务 28.35亿 11.74% 10.55% 12.52%
其他业务 4.11亿 1.70% 5.76% 47.15%")</f>
        <v>公司主要从事钨精矿、钨钼中间制品、粉末产品、丝材板材、硬质合金、切削刀具、各种稀土氧化物、稀土金属、稀土发光材料、磁性材料和稀土贮氢、系列锂电池材料等其他能源新材料的生产、销售与研发。公司获得中国有色工业科技一等奖。
市值240.683亿, 利润-2.06亿; PE15.15; 平均PE38.07; 平均PEG7.77, PB2.07; ROIC9.0867%; ROE13.4667%; 股利率2.3571%; 毛利15.4567%; 净利5.4133%; 上一年度营收增-92.82%, 利润增-114.25%; 当季营收增1318.52%, 利润增7463%; 过往5年营收增4.9%, 利润增17.59%
Income profile:
电池材料 144.53亿 59.83% 36.98% 8.61%
钨钼等有色金属制品 64.13亿 26.55% 46.76% 24.54%
稀土业务 28.35亿 11.74% 10.55% 12.52%
其他业务 4.11亿 1.70% 5.76% 47.15%</v>
      </c>
      <c r="D23" t="s">
        <v>205</v>
      </c>
      <c r="E23" t="s">
        <v>206</v>
      </c>
      <c r="F23">
        <v>16.97</v>
      </c>
      <c r="G23">
        <v>1.56</v>
      </c>
      <c r="H23" t="s">
        <v>1052</v>
      </c>
      <c r="I23">
        <v>24068300000</v>
      </c>
      <c r="J23">
        <v>15.15</v>
      </c>
      <c r="K23">
        <v>2.0699999999999998</v>
      </c>
      <c r="L23" t="s">
        <v>66</v>
      </c>
      <c r="M23" t="s">
        <v>1053</v>
      </c>
      <c r="N23" t="s">
        <v>1054</v>
      </c>
      <c r="O23" t="s">
        <v>1055</v>
      </c>
      <c r="P23">
        <v>-3.41</v>
      </c>
      <c r="Q23" t="s">
        <v>1056</v>
      </c>
      <c r="R23">
        <v>427113020</v>
      </c>
      <c r="S23" s="5">
        <v>-2.9499999999999998E-2</v>
      </c>
      <c r="T23" t="s">
        <v>115</v>
      </c>
      <c r="U23">
        <v>1414648300</v>
      </c>
      <c r="V23">
        <v>1418285200</v>
      </c>
      <c r="W23">
        <v>2.06</v>
      </c>
      <c r="X23">
        <v>0.21</v>
      </c>
      <c r="Y23">
        <v>8.69</v>
      </c>
      <c r="Z23" t="s">
        <v>1057</v>
      </c>
      <c r="AA23" t="s">
        <v>1058</v>
      </c>
      <c r="AB23" t="s">
        <v>1059</v>
      </c>
      <c r="AC23" t="s">
        <v>814</v>
      </c>
      <c r="AD23" t="s">
        <v>5</v>
      </c>
      <c r="AE23">
        <v>92136246</v>
      </c>
      <c r="AF23" t="s">
        <v>1060</v>
      </c>
      <c r="AG23" t="s">
        <v>1061</v>
      </c>
      <c r="AH23" t="s">
        <v>1062</v>
      </c>
      <c r="AI23" t="s">
        <v>1063</v>
      </c>
      <c r="AJ23" t="s">
        <v>1064</v>
      </c>
      <c r="AK23" t="s">
        <v>242</v>
      </c>
      <c r="AL23" t="s">
        <v>1065</v>
      </c>
      <c r="AM23" t="s">
        <v>5</v>
      </c>
      <c r="AN23" t="s">
        <v>1066</v>
      </c>
      <c r="AO23" t="s">
        <v>1067</v>
      </c>
      <c r="AP23" t="s">
        <v>1068</v>
      </c>
      <c r="AQ23" t="s">
        <v>1069</v>
      </c>
      <c r="AR23" t="s">
        <v>5</v>
      </c>
      <c r="AS23" t="s">
        <v>1070</v>
      </c>
      <c r="AT23" t="s">
        <v>1071</v>
      </c>
      <c r="AU23" t="s">
        <v>218</v>
      </c>
      <c r="AV23" t="s">
        <v>1072</v>
      </c>
      <c r="AW23" t="s">
        <v>1073</v>
      </c>
      <c r="AX23" t="s">
        <v>503</v>
      </c>
      <c r="AY23" t="s">
        <v>282</v>
      </c>
      <c r="AZ23" t="s">
        <v>207</v>
      </c>
      <c r="BA23" t="s">
        <v>209</v>
      </c>
      <c r="BB23" t="s">
        <v>210</v>
      </c>
      <c r="BC23" t="s">
        <v>504</v>
      </c>
      <c r="BD23" t="s">
        <v>505</v>
      </c>
      <c r="BE23" t="s">
        <v>208</v>
      </c>
      <c r="BF23" t="s">
        <v>153</v>
      </c>
      <c r="BG23" t="s">
        <v>211</v>
      </c>
      <c r="BH23" t="s">
        <v>1074</v>
      </c>
      <c r="BI23" t="s">
        <v>1075</v>
      </c>
      <c r="BJ23" t="s">
        <v>503</v>
      </c>
      <c r="BK23" t="s">
        <v>1076</v>
      </c>
      <c r="BL23" t="s">
        <v>1077</v>
      </c>
      <c r="BM23" t="s">
        <v>504</v>
      </c>
      <c r="BN23">
        <v>7.14</v>
      </c>
      <c r="BO23">
        <v>10.09</v>
      </c>
      <c r="BP23">
        <v>10.029999999999999</v>
      </c>
      <c r="BQ23">
        <v>10.95</v>
      </c>
      <c r="BR23">
        <v>15.04</v>
      </c>
      <c r="BS23">
        <v>14.41</v>
      </c>
      <c r="BT23" t="s">
        <v>409</v>
      </c>
      <c r="BU23" t="s">
        <v>559</v>
      </c>
      <c r="BV23">
        <v>16.52</v>
      </c>
      <c r="BW23">
        <v>13.61</v>
      </c>
      <c r="BX23">
        <v>16.239999999999998</v>
      </c>
      <c r="BY23">
        <v>6.39</v>
      </c>
      <c r="BZ23">
        <v>4.53</v>
      </c>
      <c r="CA23">
        <v>5.32</v>
      </c>
      <c r="CB23">
        <v>-1.62</v>
      </c>
      <c r="CC23">
        <v>-9.1999999999999993</v>
      </c>
      <c r="CD23" t="s">
        <v>1078</v>
      </c>
      <c r="CE23" t="s">
        <v>500</v>
      </c>
      <c r="CF23" s="7">
        <v>13.1852487135506</v>
      </c>
      <c r="CG23" s="8">
        <v>74.63002797747636</v>
      </c>
      <c r="CH23" s="7">
        <v>-0.92820852994918823</v>
      </c>
      <c r="CI23" s="7">
        <v>0.51397085189819336</v>
      </c>
      <c r="CJ23" s="7">
        <v>0.67960333824157715</v>
      </c>
      <c r="CK23" s="7">
        <v>9.0135656297206879E-2</v>
      </c>
      <c r="CL23" s="7">
        <v>-0.11049744486808777</v>
      </c>
      <c r="CM23" s="8">
        <v>-1.1424620151519775</v>
      </c>
      <c r="CN23" s="8">
        <v>0.22646303474903107</v>
      </c>
      <c r="CO23" s="8">
        <v>0.92019551992416382</v>
      </c>
      <c r="CP23" s="8">
        <v>1.3524904251098633</v>
      </c>
      <c r="CQ23" s="8">
        <v>-0.4769538938999176</v>
      </c>
      <c r="CR23">
        <v>38.07271289216979</v>
      </c>
      <c r="CS23">
        <v>7.7698186237780797</v>
      </c>
      <c r="CT23">
        <v>2.3571007660577492</v>
      </c>
      <c r="CU23" s="7">
        <v>4.9000774323940274E-2</v>
      </c>
      <c r="CV23" s="8">
        <v>0.17594661414623261</v>
      </c>
      <c r="CW23">
        <v>0.06</v>
      </c>
      <c r="CX23" t="e">
        <v>#VALUE!</v>
      </c>
      <c r="CY23" t="s">
        <v>295</v>
      </c>
      <c r="CZ23">
        <v>4.9000774323940274E-2</v>
      </c>
      <c r="DA23" t="e">
        <v>#VALUE!</v>
      </c>
      <c r="DB23" t="s">
        <v>295</v>
      </c>
      <c r="DC23">
        <v>4.6550735607743261E-2</v>
      </c>
      <c r="DD23" t="e">
        <v>#VALUE!</v>
      </c>
      <c r="DE23" t="s">
        <v>295</v>
      </c>
      <c r="DF23">
        <v>4.3120681405067439E-2</v>
      </c>
      <c r="DG23" t="e">
        <v>#VALUE!</v>
      </c>
      <c r="DH23" t="s">
        <v>295</v>
      </c>
      <c r="DI23">
        <v>3.9200619459152222E-2</v>
      </c>
      <c r="DJ23" t="e">
        <v>#VALUE!</v>
      </c>
      <c r="DK23" t="s">
        <v>295</v>
      </c>
      <c r="DL23">
        <v>3.4300542026758189E-2</v>
      </c>
      <c r="DM23">
        <v>-206000000</v>
      </c>
      <c r="DN23">
        <v>4.9000774323940274E-2</v>
      </c>
      <c r="DO23">
        <v>24517300000</v>
      </c>
      <c r="DP23">
        <v>8283405000</v>
      </c>
      <c r="DQ23">
        <v>3262</v>
      </c>
      <c r="DR23">
        <v>13.13624793922666</v>
      </c>
      <c r="DS23">
        <v>74.454081363330133</v>
      </c>
      <c r="DT23" s="9">
        <v>-0.35666666666666669</v>
      </c>
      <c r="DU23">
        <v>1.999999999999998E-2</v>
      </c>
      <c r="DV23">
        <v>-0.33666666666666673</v>
      </c>
      <c r="DW23">
        <v>-2.0920000000000001</v>
      </c>
      <c r="DX23">
        <v>0.35246953316953178</v>
      </c>
      <c r="DY23">
        <v>-2.013107197051597</v>
      </c>
      <c r="DZ23">
        <v>2344</v>
      </c>
      <c r="EA23">
        <v>-2.0070948154686334</v>
      </c>
      <c r="EB23">
        <v>2</v>
      </c>
      <c r="EC23">
        <v>4.088394915211694E-2</v>
      </c>
      <c r="ED23">
        <v>0.28696626038260853</v>
      </c>
      <c r="EE23" s="10">
        <v>2.0971099999999998</v>
      </c>
      <c r="EF23">
        <v>2.0923099999999999</v>
      </c>
      <c r="EG23">
        <v>21.142469533169532</v>
      </c>
      <c r="EH23" t="s">
        <v>628</v>
      </c>
      <c r="EI23">
        <v>0</v>
      </c>
      <c r="EJ23">
        <v>0</v>
      </c>
      <c r="EK23" s="13">
        <v>45470</v>
      </c>
      <c r="EL23" s="14">
        <v>1.92</v>
      </c>
      <c r="EM23" s="14">
        <v>-1.51</v>
      </c>
      <c r="EN23" s="14">
        <v>0.38</v>
      </c>
      <c r="EO23" s="14">
        <v>-0.76</v>
      </c>
      <c r="EP23" s="14">
        <v>0.48</v>
      </c>
    </row>
    <row r="24" spans="1:146" ht="168">
      <c r="A24" s="6" t="s">
        <v>522</v>
      </c>
      <c r="B24" s="6" t="s">
        <v>523</v>
      </c>
      <c r="C24" s="6" t="str">
        <f>"公司主营业务是钼系列产品的生产、销售、研发及钼相关产品贸易经营业务。主要产品是钼炉料、钼化工、钼金属、硫酸、高硫精矿粉、电解铜、铝锭。"&amp;CHAR(10)&amp;Basic_Fundamental_Information_Constructure(F24)&amp;CHAR(10)&amp;Basic_Fundamental_Information_Concatenate("钼炉料 44.53亿 55.84% 60.08% 23.61%
钼金属 12.81亿 16.06% 17.65% 24.11%
钼化工 9.89亿 12.40% 17.08% 30.23%
电解铜 5.70亿 7.15% 0.49% 1.50%
其他 4.86亿 6.09% 6.24% 22.48%")</f>
        <v>公司主营业务是钼系列产品的生产、销售、研发及钼相关产品贸易经营业务。主要产品是钼炉料、钼化工、钼金属、硫酸、高硫精矿粉、电解铜、铝锭。
市值346.85997亿, 利润49.30亿; PE11.96; 平均PE26.37; 平均PEG2.61, PB2.17; ROIC11.4667%; ROE10.4033%; 股利率3.7209%; 毛利34.8933%; 净利18.2333%; 上一年度营收增38.61%, 利润增269.29%; 当季营收增-11.35%, 利润增-57.27%; 过往5年营收增10.09%, 利润增118.46%
Income profile:
钼炉料 44.53亿 55.84% 60.08% 23.61%
钼金属 12.81亿 16.06% 17.65% 24.11%
钼化工 9.89亿 12.40% 17.08% 30.23%
电解铜 5.70亿 7.15% 0.49% 1.50%
其他 4.86亿 6.09% 6.24% 22.48%</v>
      </c>
      <c r="D24" t="s">
        <v>213</v>
      </c>
      <c r="E24" t="s">
        <v>214</v>
      </c>
      <c r="F24">
        <v>10.75</v>
      </c>
      <c r="G24">
        <v>2.19</v>
      </c>
      <c r="H24" t="s">
        <v>1079</v>
      </c>
      <c r="I24">
        <v>34685997000</v>
      </c>
      <c r="J24">
        <v>11.96</v>
      </c>
      <c r="K24">
        <v>2.17</v>
      </c>
      <c r="L24" t="s">
        <v>66</v>
      </c>
      <c r="M24" t="s">
        <v>1080</v>
      </c>
      <c r="N24" t="s">
        <v>1081</v>
      </c>
      <c r="O24" t="s">
        <v>1082</v>
      </c>
      <c r="P24">
        <v>8.43</v>
      </c>
      <c r="Q24" t="s">
        <v>1083</v>
      </c>
      <c r="R24">
        <v>633203950</v>
      </c>
      <c r="S24" s="5">
        <v>-0.23949999999999999</v>
      </c>
      <c r="T24" t="s">
        <v>1084</v>
      </c>
      <c r="U24">
        <v>3226604400</v>
      </c>
      <c r="V24">
        <v>3226604400</v>
      </c>
      <c r="W24">
        <v>1.1200000000000001</v>
      </c>
      <c r="X24">
        <v>0.15</v>
      </c>
      <c r="Y24">
        <v>25.22</v>
      </c>
      <c r="Z24" t="s">
        <v>402</v>
      </c>
      <c r="AA24" t="s">
        <v>1085</v>
      </c>
      <c r="AB24" t="s">
        <v>1086</v>
      </c>
      <c r="AC24" t="s">
        <v>792</v>
      </c>
      <c r="AD24" t="s">
        <v>5</v>
      </c>
      <c r="AE24">
        <v>-11459408</v>
      </c>
      <c r="AF24" t="s">
        <v>1087</v>
      </c>
      <c r="AG24" t="s">
        <v>1088</v>
      </c>
      <c r="AH24" t="s">
        <v>1089</v>
      </c>
      <c r="AI24" t="s">
        <v>1090</v>
      </c>
      <c r="AJ24" t="s">
        <v>1091</v>
      </c>
      <c r="AK24" t="s">
        <v>1092</v>
      </c>
      <c r="AL24" t="s">
        <v>1093</v>
      </c>
      <c r="AM24" t="s">
        <v>5</v>
      </c>
      <c r="AN24" t="s">
        <v>511</v>
      </c>
      <c r="AO24" t="s">
        <v>5</v>
      </c>
      <c r="AP24" t="s">
        <v>5</v>
      </c>
      <c r="AQ24" t="s">
        <v>89</v>
      </c>
      <c r="AR24" t="s">
        <v>1094</v>
      </c>
      <c r="AS24" t="s">
        <v>1095</v>
      </c>
      <c r="AT24" t="s">
        <v>5</v>
      </c>
      <c r="AU24" t="s">
        <v>1096</v>
      </c>
      <c r="AV24" t="s">
        <v>126</v>
      </c>
      <c r="AW24" t="s">
        <v>1097</v>
      </c>
      <c r="AX24" t="s">
        <v>508</v>
      </c>
      <c r="AY24" t="s">
        <v>283</v>
      </c>
      <c r="AZ24" t="s">
        <v>215</v>
      </c>
      <c r="BA24" t="s">
        <v>216</v>
      </c>
      <c r="BB24" t="s">
        <v>217</v>
      </c>
      <c r="BC24" t="s">
        <v>509</v>
      </c>
      <c r="BD24" t="s">
        <v>284</v>
      </c>
      <c r="BE24" t="s">
        <v>58</v>
      </c>
      <c r="BF24" t="s">
        <v>218</v>
      </c>
      <c r="BG24" t="s">
        <v>219</v>
      </c>
      <c r="BH24" t="s">
        <v>1098</v>
      </c>
      <c r="BI24" t="s">
        <v>1099</v>
      </c>
      <c r="BJ24" t="s">
        <v>508</v>
      </c>
      <c r="BK24" t="s">
        <v>1100</v>
      </c>
      <c r="BL24" t="s">
        <v>1101</v>
      </c>
      <c r="BM24" t="s">
        <v>509</v>
      </c>
      <c r="BN24">
        <v>18.02</v>
      </c>
      <c r="BO24">
        <v>11.88</v>
      </c>
      <c r="BP24">
        <v>4.5</v>
      </c>
      <c r="BQ24">
        <v>16.489999999999998</v>
      </c>
      <c r="BR24">
        <v>10.64</v>
      </c>
      <c r="BS24">
        <v>4.08</v>
      </c>
      <c r="BT24" t="s">
        <v>409</v>
      </c>
      <c r="BU24" t="s">
        <v>1102</v>
      </c>
      <c r="BV24">
        <v>47.96</v>
      </c>
      <c r="BW24">
        <v>34.770000000000003</v>
      </c>
      <c r="BX24">
        <v>21.95</v>
      </c>
      <c r="BY24">
        <v>30.42</v>
      </c>
      <c r="BZ24">
        <v>16.649999999999999</v>
      </c>
      <c r="CA24">
        <v>7.63</v>
      </c>
      <c r="CB24">
        <v>7.39</v>
      </c>
      <c r="CC24">
        <v>1.1299999999999999</v>
      </c>
      <c r="CD24" t="s">
        <v>1103</v>
      </c>
      <c r="CE24" t="s">
        <v>265</v>
      </c>
      <c r="CF24" s="7">
        <v>-0.11348175633889933</v>
      </c>
      <c r="CG24" s="8">
        <v>-0.57273687584345478</v>
      </c>
      <c r="CH24" s="7">
        <v>0.38610848784446716</v>
      </c>
      <c r="CI24" s="7">
        <v>0.19525955617427826</v>
      </c>
      <c r="CJ24" s="7">
        <v>5.2395433187484741E-2</v>
      </c>
      <c r="CK24" s="7">
        <v>-0.17200303077697754</v>
      </c>
      <c r="CL24" s="7">
        <v>4.2492497712373734E-2</v>
      </c>
      <c r="CM24" s="8">
        <v>2.6928837299346924</v>
      </c>
      <c r="CN24" s="8">
        <v>1.6969698667526245</v>
      </c>
      <c r="CO24" s="8">
        <v>1.7197802066802979</v>
      </c>
      <c r="CP24" s="8">
        <v>-0.68014061450958252</v>
      </c>
      <c r="CQ24" s="8">
        <v>0.49343833327293396</v>
      </c>
      <c r="CR24">
        <v>26.370499493157631</v>
      </c>
      <c r="CS24">
        <v>2.6148086788117109</v>
      </c>
      <c r="CT24">
        <v>3.7209302325581395</v>
      </c>
      <c r="CU24" s="7">
        <v>0.10085058882832527</v>
      </c>
      <c r="CV24" s="8">
        <v>1.1845863044261933</v>
      </c>
      <c r="CW24">
        <v>0.06</v>
      </c>
      <c r="CX24">
        <v>3.8564494143004215</v>
      </c>
      <c r="CY24">
        <v>5119993776.3430605</v>
      </c>
      <c r="CZ24">
        <v>0.10085058882832527</v>
      </c>
      <c r="DA24">
        <v>1.2487395727218489</v>
      </c>
      <c r="DB24">
        <v>15811941441.851068</v>
      </c>
      <c r="DC24">
        <v>9.5808059386909006E-2</v>
      </c>
      <c r="DD24">
        <v>0.60719680090905415</v>
      </c>
      <c r="DE24">
        <v>32518282326.980511</v>
      </c>
      <c r="DF24">
        <v>8.8748518168926246E-2</v>
      </c>
      <c r="DG24">
        <v>0.35957428710767209</v>
      </c>
      <c r="DH24">
        <v>54912149472.154816</v>
      </c>
      <c r="DI24">
        <v>8.0680471062660228E-2</v>
      </c>
      <c r="DJ24">
        <v>0.18009898501980301</v>
      </c>
      <c r="DK24">
        <v>109634138125.92511</v>
      </c>
      <c r="DL24">
        <v>7.0595412179827691E-2</v>
      </c>
      <c r="DM24">
        <v>4930000000</v>
      </c>
      <c r="DN24">
        <v>0.10085058882832527</v>
      </c>
      <c r="DO24">
        <v>19744997000</v>
      </c>
      <c r="DP24">
        <v>7865022600</v>
      </c>
      <c r="DQ24">
        <v>3826</v>
      </c>
      <c r="DR24">
        <v>-0.2143323451672246</v>
      </c>
      <c r="DS24">
        <v>-1.7573231802696481</v>
      </c>
      <c r="DT24" s="9">
        <v>-0.24</v>
      </c>
      <c r="DU24">
        <v>0.51333333333333342</v>
      </c>
      <c r="DV24">
        <v>0.27333333333333343</v>
      </c>
      <c r="DW24">
        <v>5.1529093369418133</v>
      </c>
      <c r="DX24">
        <v>0.34416266666666645</v>
      </c>
      <c r="DY24">
        <v>5.0220438177717632</v>
      </c>
      <c r="DZ24">
        <v>1226</v>
      </c>
      <c r="EA24">
        <v>5.0167550270500056</v>
      </c>
      <c r="EB24">
        <v>5</v>
      </c>
      <c r="EC24">
        <v>2.5735321008054163E-2</v>
      </c>
      <c r="ED24">
        <v>0.17851584160735665</v>
      </c>
      <c r="EE24" s="10">
        <v>-1.1085099999999999</v>
      </c>
      <c r="EF24">
        <v>-1.1343099999999999</v>
      </c>
      <c r="EG24">
        <v>20.144162666666666</v>
      </c>
      <c r="EH24" t="s">
        <v>519</v>
      </c>
      <c r="EI24">
        <v>1</v>
      </c>
      <c r="EJ24">
        <v>1</v>
      </c>
      <c r="EK24" s="13">
        <v>45470</v>
      </c>
      <c r="EL24" s="14">
        <v>-0.43</v>
      </c>
      <c r="EM24" s="14">
        <v>-3.23</v>
      </c>
      <c r="EN24" s="14">
        <v>-0.22</v>
      </c>
      <c r="EO24" s="14">
        <v>3.79</v>
      </c>
      <c r="EP24" s="14">
        <v>-2.58</v>
      </c>
    </row>
    <row r="25" spans="1:146" ht="132">
      <c r="A25" s="6"/>
      <c r="B25" s="6"/>
      <c r="C25" s="6" t="str">
        <f>"公司主营业务是专注于锆系制品、铸改新材料等工业新材料的研发、生产和销售，产品主要有氧化锆、铸改新材料、海绵锆、氧氯化锆、纳米新材料(纳米氧化锆)。"&amp;CHAR(10)&amp;Basic_Fundamental_Information_Constructure(F25)&amp;CHAR(10)&amp;Basic_Fundamental_Information_Concatenate("锆系列产品 3.55亿 76.89% 84.32% 38.18%
铸改新材料 6845.07万 14.82% 5.78% 13.58%")</f>
        <v>公司主营业务是专注于锆系制品、铸改新材料等工业新材料的研发、生产和销售，产品主要有氧化锆、铸改新材料、海绵锆、氧氯化锆、纳米新材料(纳米氧化锆)。
市值58.649506亿, 利润-2.20亿; PE93.87; 平均PE139.24; 平均PEG6.05, PB4.59; ROIC9.1367%; ROE10.8667%; 股利率.5415%; 毛利30.8933%; 净利12.4867%; 上一年度营收增60.8%, 利润增-245.7%; 当季营收增-27.48%, 利润增181.35%; 过往5年营收增23%, 利润增-30.12%
Income profile:
锆系列产品 3.55亿 76.89% 84.32% 38.18%
铸改新材料 6845.07万 14.82% 5.78% 13.58%</v>
      </c>
      <c r="D25" t="s">
        <v>220</v>
      </c>
      <c r="E25" t="s">
        <v>221</v>
      </c>
      <c r="F25">
        <v>13.85</v>
      </c>
      <c r="G25">
        <v>1.69</v>
      </c>
      <c r="H25" t="s">
        <v>1104</v>
      </c>
      <c r="I25">
        <v>5864950600</v>
      </c>
      <c r="J25">
        <v>93.87</v>
      </c>
      <c r="K25">
        <v>4.59</v>
      </c>
      <c r="L25" t="s">
        <v>66</v>
      </c>
      <c r="M25" t="s">
        <v>1105</v>
      </c>
      <c r="N25" t="s">
        <v>1106</v>
      </c>
      <c r="O25" t="s">
        <v>1107</v>
      </c>
      <c r="P25">
        <v>-14.18</v>
      </c>
      <c r="Q25" t="s">
        <v>1108</v>
      </c>
      <c r="R25">
        <v>19281643</v>
      </c>
      <c r="S25" s="5">
        <v>-0.46489999999999998</v>
      </c>
      <c r="T25" t="s">
        <v>1109</v>
      </c>
      <c r="U25">
        <v>422819750</v>
      </c>
      <c r="V25">
        <v>423462140</v>
      </c>
      <c r="W25">
        <v>1.54</v>
      </c>
      <c r="X25">
        <v>0.12</v>
      </c>
      <c r="Y25">
        <v>8.8000000000000007</v>
      </c>
      <c r="Z25" t="s">
        <v>528</v>
      </c>
      <c r="AA25" t="s">
        <v>1110</v>
      </c>
      <c r="AB25" t="s">
        <v>1111</v>
      </c>
      <c r="AC25" t="s">
        <v>1112</v>
      </c>
      <c r="AD25" t="s">
        <v>5</v>
      </c>
      <c r="AE25">
        <v>2901381</v>
      </c>
      <c r="AF25" t="s">
        <v>1113</v>
      </c>
      <c r="AG25">
        <v>9668.9</v>
      </c>
      <c r="AH25" t="s">
        <v>1114</v>
      </c>
      <c r="AI25" t="s">
        <v>80</v>
      </c>
      <c r="AJ25" t="s">
        <v>1115</v>
      </c>
      <c r="AK25" t="s">
        <v>1116</v>
      </c>
      <c r="AL25" t="s">
        <v>1117</v>
      </c>
      <c r="AM25" t="s">
        <v>5</v>
      </c>
      <c r="AN25" t="s">
        <v>23</v>
      </c>
      <c r="AO25" t="s">
        <v>1118</v>
      </c>
      <c r="AP25" t="s">
        <v>527</v>
      </c>
      <c r="AQ25" t="s">
        <v>21</v>
      </c>
      <c r="AR25" t="s">
        <v>5</v>
      </c>
      <c r="AS25" t="s">
        <v>1119</v>
      </c>
      <c r="AT25" t="s">
        <v>1120</v>
      </c>
      <c r="AU25" t="s">
        <v>1121</v>
      </c>
      <c r="AV25" t="s">
        <v>1122</v>
      </c>
      <c r="AW25" t="s">
        <v>1123</v>
      </c>
      <c r="AX25" t="s">
        <v>513</v>
      </c>
      <c r="AY25" t="s">
        <v>285</v>
      </c>
      <c r="AZ25" t="s">
        <v>62</v>
      </c>
      <c r="BA25" t="s">
        <v>223</v>
      </c>
      <c r="BB25" t="s">
        <v>224</v>
      </c>
      <c r="BC25" t="s">
        <v>259</v>
      </c>
      <c r="BD25" t="s">
        <v>243</v>
      </c>
      <c r="BE25" t="s">
        <v>222</v>
      </c>
      <c r="BF25" t="s">
        <v>226</v>
      </c>
      <c r="BG25" t="s">
        <v>227</v>
      </c>
      <c r="BH25" t="s">
        <v>732</v>
      </c>
      <c r="BI25" t="s">
        <v>1124</v>
      </c>
      <c r="BJ25" t="s">
        <v>513</v>
      </c>
      <c r="BK25" t="s">
        <v>1125</v>
      </c>
      <c r="BL25" t="s">
        <v>1126</v>
      </c>
      <c r="BM25" t="s">
        <v>259</v>
      </c>
      <c r="BN25">
        <v>5.8</v>
      </c>
      <c r="BO25">
        <v>12.04</v>
      </c>
      <c r="BP25">
        <v>9.57</v>
      </c>
      <c r="BQ25">
        <v>6.65</v>
      </c>
      <c r="BR25">
        <v>13.07</v>
      </c>
      <c r="BS25">
        <v>12.88</v>
      </c>
      <c r="BT25" t="s">
        <v>1127</v>
      </c>
      <c r="BU25" t="s">
        <v>306</v>
      </c>
      <c r="BV25">
        <v>27.5</v>
      </c>
      <c r="BW25">
        <v>34.14</v>
      </c>
      <c r="BX25">
        <v>31.04</v>
      </c>
      <c r="BY25">
        <v>6.78</v>
      </c>
      <c r="BZ25">
        <v>17.149999999999999</v>
      </c>
      <c r="CA25">
        <v>13.53</v>
      </c>
      <c r="CB25">
        <v>-3.75</v>
      </c>
      <c r="CC25">
        <v>-11.45</v>
      </c>
      <c r="CD25" t="s">
        <v>1128</v>
      </c>
      <c r="CE25" t="s">
        <v>406</v>
      </c>
      <c r="CF25" s="7">
        <v>-0.27478753541076489</v>
      </c>
      <c r="CG25" s="8">
        <v>1.8135336756521849</v>
      </c>
      <c r="CH25" s="7">
        <v>0.60802477598190308</v>
      </c>
      <c r="CI25" s="7">
        <v>0.2319391667842865</v>
      </c>
      <c r="CJ25" s="7">
        <v>7.6398365199565887E-2</v>
      </c>
      <c r="CK25" s="7">
        <v>-3.6793693900108337E-2</v>
      </c>
      <c r="CL25" s="7">
        <v>0.27045074105262756</v>
      </c>
      <c r="CM25" s="8">
        <v>-2.4569535255432129</v>
      </c>
      <c r="CN25" s="8">
        <v>0.50999999046325684</v>
      </c>
      <c r="CO25" s="8">
        <v>0.54226976633071899</v>
      </c>
      <c r="CP25" s="8">
        <v>-0.21606594324111938</v>
      </c>
      <c r="CQ25" s="8">
        <v>0.11497335135936737</v>
      </c>
      <c r="CR25">
        <v>139.23756050890395</v>
      </c>
      <c r="CS25">
        <v>6.0537050915366528</v>
      </c>
      <c r="CT25">
        <v>0.54151624548736466</v>
      </c>
      <c r="CU25" s="7">
        <v>0.23000387102365494</v>
      </c>
      <c r="CV25" s="8">
        <v>-0.3011552721261978</v>
      </c>
      <c r="CW25">
        <v>0.06</v>
      </c>
      <c r="CX25" t="e">
        <v>#VALUE!</v>
      </c>
      <c r="CY25" t="s">
        <v>295</v>
      </c>
      <c r="CZ25">
        <v>0.23000387102365494</v>
      </c>
      <c r="DA25" t="e">
        <v>#VALUE!</v>
      </c>
      <c r="DB25" t="s">
        <v>295</v>
      </c>
      <c r="DC25">
        <v>0.21850367747247218</v>
      </c>
      <c r="DD25" t="e">
        <v>#VALUE!</v>
      </c>
      <c r="DE25" t="s">
        <v>295</v>
      </c>
      <c r="DF25">
        <v>0.20240340650081634</v>
      </c>
      <c r="DG25" t="e">
        <v>#VALUE!</v>
      </c>
      <c r="DH25" t="s">
        <v>295</v>
      </c>
      <c r="DI25">
        <v>0.18400309681892396</v>
      </c>
      <c r="DJ25" t="e">
        <v>#VALUE!</v>
      </c>
      <c r="DK25" t="s">
        <v>295</v>
      </c>
      <c r="DL25">
        <v>0.16100270971655845</v>
      </c>
      <c r="DM25">
        <v>-220000000.00000003</v>
      </c>
      <c r="DN25">
        <v>0.23000387102365494</v>
      </c>
      <c r="DO25">
        <v>5171950600</v>
      </c>
      <c r="DP25">
        <v>217222630</v>
      </c>
      <c r="DQ25">
        <v>4240</v>
      </c>
      <c r="DR25">
        <v>-0.50479140643441989</v>
      </c>
      <c r="DS25">
        <v>2.1146889477783826</v>
      </c>
      <c r="DT25" s="9">
        <v>0.14333333333333331</v>
      </c>
      <c r="DU25">
        <v>-0.80333333333333334</v>
      </c>
      <c r="DV25">
        <v>-0.66</v>
      </c>
      <c r="DW25">
        <v>-8.3275109170305672</v>
      </c>
      <c r="DX25">
        <v>0.28962666666666564</v>
      </c>
      <c r="DY25">
        <v>-8.0326288209606993</v>
      </c>
      <c r="DZ25">
        <v>4594</v>
      </c>
      <c r="EA25">
        <v>-8.0032948085353652</v>
      </c>
      <c r="EB25">
        <v>8</v>
      </c>
      <c r="EC25">
        <v>0.10587014933613664</v>
      </c>
      <c r="ED25">
        <v>1.062668790178031</v>
      </c>
      <c r="EE25" s="10">
        <v>2.01091</v>
      </c>
      <c r="EF25">
        <v>2.0026099999999998</v>
      </c>
      <c r="EG25">
        <v>19.099626666666666</v>
      </c>
      <c r="EH25" t="s">
        <v>628</v>
      </c>
      <c r="EI25">
        <v>0</v>
      </c>
      <c r="EJ25">
        <v>0</v>
      </c>
      <c r="EK25" s="13">
        <v>45470</v>
      </c>
      <c r="EL25" s="14">
        <v>3.24</v>
      </c>
      <c r="EM25" s="14">
        <v>-1.21</v>
      </c>
      <c r="EN25" s="14">
        <v>-0.1</v>
      </c>
      <c r="EO25" s="14">
        <v>0</v>
      </c>
      <c r="EP25" s="14">
        <v>0.83</v>
      </c>
    </row>
    <row r="26" spans="1:146" ht="228">
      <c r="A26" s="6" t="s">
        <v>521</v>
      </c>
      <c r="B26" s="6" t="s">
        <v>520</v>
      </c>
      <c r="C26" s="6" t="str">
        <f>"公司主要从事基本金属、稀有金属的采、选、冶等矿山采掘及加工业务和矿产贸易业务。主要产品为钼、钨、铜、金、铌、磷、铜、钴、矿物金属、精炼金属等。目前公司主要业务分布于亚洲、非洲、南美洲、大洋洲和欧洲五大洲，是全球最大的白钨生产商之一和第二大的钴、铌生产商，亦是全球前七大钼生产商和领先的铜生产商，磷肥产量位居巴西第二位，同时公司基本金属贸易业务位居全球前三。"&amp;CHAR(10)&amp;Basic_Fundamental_Information_Constructure(F26)&amp;CHAR(10)&amp;Basic_Fundamental_Information_Concatenate("铜钴相关产品 132.68亿 7.63% 利润占比43.05% 52.96%
矿物金属贸易 424.78亿 24.43% 利润占比16.93% 6.50%
精炼金属贸易 1055.15亿 60.69% 利润占比13.85% 2.14%
钼钨相关产品 53.50亿 3.08% 利润占比13.40% 40.89%
铌磷相关产品 50.87亿 2.93% 利润占比9.01% 28.92%
铜金相关产品 16.53亿 0.95% 利润占比3.32% 32.78%")</f>
        <v>公司主要从事基本金属、稀有金属的采、选、冶等矿山采掘及加工业务和矿产贸易业务。主要产品为钼、钨、铜、金、铌、磷、铜、钴、矿物金属、精炼金属等。目前公司主要业务分布于亚洲、非洲、南美洲、大洋洲和欧洲五大洲，是全球最大的白钨生产商之一和第二大的钴、铌生产商，亦是全球前七大钼生产商和领先的铜生产商，磷肥产量位居巴西第二位，同时公司基本金属贸易业务位居全球前三。
市值1963.371亿, 利润4.53亿; PE19.63; 平均PE57.61; 平均PEG1.4, PB3.22; ROIC5.4033%; ROE10.3067%; 股利率1.6969%; 毛利9.4667%; 净利3.9533%; 上一年度营收增-76.95%, 利润增-92.53%; 当季营收增516.01%, 利润增2106.72%; 过往5年营收增41.09%, 利润增2.2%
Income profile:
铜钴相关产品 132.68亿 7.63% 利润占比43.05% 52.96%
矿物金属贸易 424.78亿 24.43% 利润占比16.93% 6.50%
精炼金属贸易 1055.15亿 60.69% 利润占比13.85% 2.14%
钼钨相关产品 53.50亿 3.08% 利润占比13.40% 40.89%
铌磷相关产品 50.87亿 2.93% 利润占比9.01% 28.92%
铜金相关产品 16.53亿 0.95% 利润占比3.32% 32.78%</v>
      </c>
      <c r="D26" t="s">
        <v>228</v>
      </c>
      <c r="E26" t="s">
        <v>229</v>
      </c>
      <c r="F26">
        <v>9.09</v>
      </c>
      <c r="G26">
        <v>3.06</v>
      </c>
      <c r="H26" t="s">
        <v>1129</v>
      </c>
      <c r="I26">
        <v>196337100000</v>
      </c>
      <c r="J26">
        <v>19.63</v>
      </c>
      <c r="K26">
        <v>3.22</v>
      </c>
      <c r="L26" t="s">
        <v>66</v>
      </c>
      <c r="M26" t="s">
        <v>1130</v>
      </c>
      <c r="N26" t="s">
        <v>1131</v>
      </c>
      <c r="O26" t="s">
        <v>1132</v>
      </c>
      <c r="P26">
        <v>4.1500000000000004</v>
      </c>
      <c r="Q26" t="s">
        <v>1133</v>
      </c>
      <c r="R26">
        <v>2071690600</v>
      </c>
      <c r="S26" s="5">
        <v>5.5330000000000004</v>
      </c>
      <c r="T26" t="s">
        <v>1134</v>
      </c>
      <c r="U26">
        <v>17665773000</v>
      </c>
      <c r="V26">
        <v>21599241000</v>
      </c>
      <c r="W26">
        <v>2.38</v>
      </c>
      <c r="X26">
        <v>0.26</v>
      </c>
      <c r="Y26">
        <v>5.0599999999999996</v>
      </c>
      <c r="Z26" t="s">
        <v>1135</v>
      </c>
      <c r="AA26" t="s">
        <v>1136</v>
      </c>
      <c r="AB26" t="s">
        <v>1137</v>
      </c>
      <c r="AC26" t="s">
        <v>1138</v>
      </c>
      <c r="AD26" t="s">
        <v>5</v>
      </c>
      <c r="AE26">
        <v>731498800</v>
      </c>
      <c r="AF26" t="s">
        <v>1139</v>
      </c>
      <c r="AG26" t="s">
        <v>1140</v>
      </c>
      <c r="AH26" t="s">
        <v>1141</v>
      </c>
      <c r="AI26" t="s">
        <v>1142</v>
      </c>
      <c r="AJ26" t="s">
        <v>1143</v>
      </c>
      <c r="AK26" t="s">
        <v>5</v>
      </c>
      <c r="AL26" t="s">
        <v>1144</v>
      </c>
      <c r="AM26" t="s">
        <v>5</v>
      </c>
      <c r="AN26" t="s">
        <v>1145</v>
      </c>
      <c r="AO26" t="s">
        <v>1146</v>
      </c>
      <c r="AP26" t="s">
        <v>1147</v>
      </c>
      <c r="AQ26" t="s">
        <v>1148</v>
      </c>
      <c r="AR26" t="s">
        <v>5</v>
      </c>
      <c r="AS26" t="s">
        <v>1149</v>
      </c>
      <c r="AT26" t="s">
        <v>1150</v>
      </c>
      <c r="AU26" t="s">
        <v>1151</v>
      </c>
      <c r="AV26" t="s">
        <v>1152</v>
      </c>
      <c r="AW26" t="s">
        <v>1153</v>
      </c>
      <c r="AX26" t="s">
        <v>515</v>
      </c>
      <c r="AY26" t="s">
        <v>286</v>
      </c>
      <c r="AZ26" t="s">
        <v>230</v>
      </c>
      <c r="BA26" t="s">
        <v>232</v>
      </c>
      <c r="BB26" t="s">
        <v>233</v>
      </c>
      <c r="BC26" t="s">
        <v>516</v>
      </c>
      <c r="BD26" t="s">
        <v>287</v>
      </c>
      <c r="BE26" t="s">
        <v>231</v>
      </c>
      <c r="BF26" t="s">
        <v>234</v>
      </c>
      <c r="BG26" t="s">
        <v>235</v>
      </c>
      <c r="BH26" t="s">
        <v>1154</v>
      </c>
      <c r="BI26" t="s">
        <v>1155</v>
      </c>
      <c r="BJ26" t="s">
        <v>515</v>
      </c>
      <c r="BK26" t="s">
        <v>1156</v>
      </c>
      <c r="BL26" t="s">
        <v>1157</v>
      </c>
      <c r="BM26" t="s">
        <v>516</v>
      </c>
      <c r="BN26">
        <v>2.58</v>
      </c>
      <c r="BO26">
        <v>7.67</v>
      </c>
      <c r="BP26">
        <v>5.96</v>
      </c>
      <c r="BQ26">
        <v>4.58</v>
      </c>
      <c r="BR26">
        <v>13.41</v>
      </c>
      <c r="BS26">
        <v>12.93</v>
      </c>
      <c r="BT26" t="s">
        <v>1158</v>
      </c>
      <c r="BU26" t="s">
        <v>1102</v>
      </c>
      <c r="BV26">
        <v>9.7200000000000006</v>
      </c>
      <c r="BW26">
        <v>9.2899999999999991</v>
      </c>
      <c r="BX26">
        <v>9.39</v>
      </c>
      <c r="BY26">
        <v>4.58</v>
      </c>
      <c r="BZ26">
        <v>4.16</v>
      </c>
      <c r="CA26">
        <v>3.12</v>
      </c>
      <c r="CB26">
        <v>6.94</v>
      </c>
      <c r="CC26">
        <v>11.26</v>
      </c>
      <c r="CD26" t="s">
        <v>1159</v>
      </c>
      <c r="CE26" t="s">
        <v>1160</v>
      </c>
      <c r="CF26" s="7">
        <v>5.1601442500333912</v>
      </c>
      <c r="CG26" s="8">
        <v>21.067150824659247</v>
      </c>
      <c r="CH26" s="7">
        <v>-0.76950246095657349</v>
      </c>
      <c r="CI26" s="7">
        <v>-5.0153816118836403E-3</v>
      </c>
      <c r="CJ26" s="7">
        <v>0.53886932134628296</v>
      </c>
      <c r="CK26" s="7">
        <v>0.64510679244995117</v>
      </c>
      <c r="CL26" s="7">
        <v>1.6451874971389771</v>
      </c>
      <c r="CM26" s="8">
        <v>-0.92533373832702637</v>
      </c>
      <c r="CN26" s="8">
        <v>0.18820993602275848</v>
      </c>
      <c r="CO26" s="8">
        <v>1.1923571825027466</v>
      </c>
      <c r="CP26" s="8">
        <v>0.2541733980178833</v>
      </c>
      <c r="CQ26" s="8">
        <v>-0.59943920373916626</v>
      </c>
      <c r="CR26">
        <v>57.610651408450707</v>
      </c>
      <c r="CS26">
        <v>1.4019606760304391</v>
      </c>
      <c r="CT26">
        <v>1.6969196919691969</v>
      </c>
      <c r="CU26" s="7">
        <v>0.41092915367335081</v>
      </c>
      <c r="CV26" s="8">
        <v>2.1993514895439149E-2</v>
      </c>
      <c r="CW26">
        <v>0.06</v>
      </c>
      <c r="CX26">
        <v>369.28397277942588</v>
      </c>
      <c r="CY26">
        <v>602972553.40946019</v>
      </c>
      <c r="CZ26">
        <v>0.41092915367335081</v>
      </c>
      <c r="DA26">
        <v>92.937337596579582</v>
      </c>
      <c r="DB26">
        <v>2395894973.5202546</v>
      </c>
      <c r="DC26">
        <v>0.39038269598968323</v>
      </c>
      <c r="DD26">
        <v>31.175611558147409</v>
      </c>
      <c r="DE26">
        <v>7142381139.330308</v>
      </c>
      <c r="DF26">
        <v>0.36161765523254874</v>
      </c>
      <c r="DG26">
        <v>11.587342680671764</v>
      </c>
      <c r="DH26">
        <v>19216493905.148842</v>
      </c>
      <c r="DI26">
        <v>0.32874332293868069</v>
      </c>
      <c r="DJ26">
        <v>1.8119674709917926</v>
      </c>
      <c r="DK26">
        <v>122887470975.47017</v>
      </c>
      <c r="DL26">
        <v>0.28765040757134552</v>
      </c>
      <c r="DM26">
        <v>453000000</v>
      </c>
      <c r="DN26">
        <v>0.41092915367335081</v>
      </c>
      <c r="DO26">
        <v>222668100000</v>
      </c>
      <c r="DP26">
        <v>34414213000.000008</v>
      </c>
      <c r="DQ26">
        <v>4422</v>
      </c>
      <c r="DR26">
        <v>4.7492150963600404</v>
      </c>
      <c r="DS26">
        <v>21.045157309763809</v>
      </c>
      <c r="DT26" s="9">
        <v>-0.20666666666666678</v>
      </c>
      <c r="DU26">
        <v>0.10000000000000002</v>
      </c>
      <c r="DV26">
        <v>-0.10666666666666676</v>
      </c>
      <c r="DW26">
        <v>9.6163410301953824</v>
      </c>
      <c r="DX26">
        <v>0.47978070175438775</v>
      </c>
      <c r="DY26">
        <v>9.0923159920226855</v>
      </c>
      <c r="DZ26">
        <v>507</v>
      </c>
      <c r="EA26">
        <v>9.0831566558278709</v>
      </c>
      <c r="EB26">
        <v>9</v>
      </c>
      <c r="EC26">
        <v>3.1621481514095794E-2</v>
      </c>
      <c r="ED26">
        <v>0.21111852958166447</v>
      </c>
      <c r="EE26" s="10">
        <v>-2.024</v>
      </c>
      <c r="EF26">
        <v>-2.0005099999999998</v>
      </c>
      <c r="EG26">
        <v>33.149780701754388</v>
      </c>
      <c r="EH26" t="s">
        <v>996</v>
      </c>
      <c r="EI26">
        <v>1</v>
      </c>
      <c r="EJ26">
        <v>1</v>
      </c>
      <c r="EK26" s="13">
        <v>45470</v>
      </c>
      <c r="EL26" s="14">
        <v>0.06</v>
      </c>
      <c r="EM26" s="14">
        <v>-3.52</v>
      </c>
      <c r="EN26">
        <v>1.02</v>
      </c>
      <c r="EO26">
        <v>4.0199999999999996</v>
      </c>
      <c r="EP26">
        <v>-2.4500000000000002</v>
      </c>
    </row>
  </sheetData>
  <autoFilter ref="BU1:BU2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小金属&quot;,&quot;&quot;'" altText="更新基本面按钮_x000a_">
                <anchor moveWithCells="1" sizeWithCells="1">
                  <from>
                    <xdr:col>147</xdr:col>
                    <xdr:colOff>171450</xdr:colOff>
                    <xdr:row>0</xdr:row>
                    <xdr:rowOff>133350</xdr:rowOff>
                  </from>
                  <to>
                    <xdr:col>147</xdr:col>
                    <xdr:colOff>1612900</xdr:colOff>
                    <xdr:row>0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/>
  </sheetViews>
  <sheetFormatPr defaultRowHeight="14"/>
  <sheetData>
    <row r="1" spans="1:30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>
      <c r="A2">
        <v>0.15</v>
      </c>
      <c r="B2" t="s">
        <v>2</v>
      </c>
    </row>
    <row r="3" spans="1:30" s="2" customFormat="1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>
      <c r="A4">
        <v>0.5</v>
      </c>
      <c r="B4" t="s">
        <v>0</v>
      </c>
    </row>
    <row r="5" spans="1:30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>
      <c r="A6">
        <v>15</v>
      </c>
      <c r="B6" t="s">
        <v>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小金属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2024-07-10T15:29:56Z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