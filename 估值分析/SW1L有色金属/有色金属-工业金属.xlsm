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001Xiaofeng\value-investment-backup\估值分析\SW1L有色金属\"/>
    </mc:Choice>
  </mc:AlternateContent>
  <bookViews>
    <workbookView xWindow="-110" yWindow="-110" windowWidth="23260" windowHeight="13180"/>
  </bookViews>
  <sheets>
    <sheet name="工业金属" sheetId="15" r:id="rId1"/>
    <sheet name="估值-增速与年化收益" sheetId="14" r:id="rId2"/>
  </sheets>
  <functionGroups builtInGroupCount="18"/>
  <definedNames>
    <definedName name="_xlnm._FilterDatabase" localSheetId="0" hidden="1">工业金属!$BU$1:$BU$57</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55" i="15"/>
  <c r="C45" i="15"/>
  <c r="C53" i="15"/>
  <c r="C52" i="15"/>
  <c r="C39" i="15"/>
  <c r="C42" i="15"/>
  <c r="C37" i="15"/>
  <c r="C29" i="15"/>
  <c r="C44" i="15"/>
  <c r="C30" i="15"/>
  <c r="C47" i="15"/>
  <c r="C40" i="15"/>
  <c r="C38" i="15"/>
  <c r="C41" i="15"/>
  <c r="C32" i="15"/>
  <c r="C49" i="15"/>
  <c r="C36" i="15"/>
  <c r="C48" i="15"/>
  <c r="C46" i="15"/>
  <c r="C54" i="15"/>
  <c r="C50" i="15"/>
  <c r="C56" i="15"/>
  <c r="C33" i="15"/>
  <c r="C31" i="15"/>
  <c r="C34" i="15"/>
  <c r="C51" i="15"/>
  <c r="C43" i="15"/>
  <c r="C35" i="15"/>
  <c r="C28" i="15"/>
  <c r="C27" i="15"/>
  <c r="C26" i="15"/>
  <c r="C25" i="15"/>
  <c r="C24" i="15"/>
  <c r="C23" i="15"/>
  <c r="C22" i="15"/>
  <c r="C21" i="15"/>
  <c r="C20" i="15"/>
  <c r="C19" i="15"/>
  <c r="C18" i="15"/>
  <c r="C17" i="15"/>
  <c r="C16" i="15"/>
  <c r="C15" i="15"/>
  <c r="C14" i="15"/>
  <c r="C13" i="15"/>
  <c r="C12" i="15"/>
  <c r="C11" i="15"/>
  <c r="C10" i="15"/>
  <c r="C9" i="15"/>
  <c r="C8" i="15"/>
  <c r="C7" i="15"/>
  <c r="C6" i="15"/>
  <c r="C5" i="15"/>
  <c r="C4" i="15"/>
  <c r="C3" i="15"/>
  <c r="C2" i="15"/>
</calcChain>
</file>

<file path=xl/sharedStrings.xml><?xml version="1.0" encoding="utf-8"?>
<sst xmlns="http://schemas.openxmlformats.org/spreadsheetml/2006/main" count="3218" uniqueCount="2374">
  <si>
    <t>&lt;-增速</t>
    <phoneticPr fontId="1" type="noConversion"/>
  </si>
  <si>
    <t>&lt;-估值</t>
    <phoneticPr fontId="1" type="noConversion"/>
  </si>
  <si>
    <t>&lt;-折合年化收益</t>
    <phoneticPr fontId="1" type="noConversion"/>
  </si>
  <si>
    <t>现价</t>
  </si>
  <si>
    <t>市净率</t>
  </si>
  <si>
    <t>--</t>
  </si>
  <si>
    <t>代码</t>
  </si>
  <si>
    <t>总市值</t>
  </si>
  <si>
    <t>TTM市盈率</t>
  </si>
  <si>
    <t>所属行业</t>
  </si>
  <si>
    <t>预期多</t>
    <phoneticPr fontId="1" type="noConversion"/>
  </si>
  <si>
    <t>预期空</t>
    <phoneticPr fontId="1" type="noConversion"/>
  </si>
  <si>
    <t>已知和基本信息</t>
    <phoneticPr fontId="1" type="noConversion"/>
  </si>
  <si>
    <t>负债合计</t>
  </si>
  <si>
    <t>所有者权益合计</t>
  </si>
  <si>
    <t>主营业务收入</t>
  </si>
  <si>
    <t>净利润增长率</t>
  </si>
  <si>
    <t>总股本</t>
  </si>
  <si>
    <t>财务费用</t>
  </si>
  <si>
    <t>投资收益</t>
  </si>
  <si>
    <t>应收账款</t>
  </si>
  <si>
    <t>1.12亿</t>
  </si>
  <si>
    <t>1.29亿</t>
  </si>
  <si>
    <t>1.07亿</t>
  </si>
  <si>
    <t>0亿</t>
  </si>
  <si>
    <t>3.09亿</t>
  </si>
  <si>
    <t>1.02亿</t>
  </si>
  <si>
    <t>1.04亿</t>
  </si>
  <si>
    <t>1.03亿</t>
  </si>
  <si>
    <t>1.22亿</t>
  </si>
  <si>
    <t>2.01亿</t>
  </si>
  <si>
    <t>1.13亿</t>
  </si>
  <si>
    <t>1.98亿</t>
  </si>
  <si>
    <t>1.47亿</t>
  </si>
  <si>
    <t>1.81亿</t>
  </si>
  <si>
    <t>1.57亿</t>
  </si>
  <si>
    <t>1.05亿</t>
  </si>
  <si>
    <t>1.01亿</t>
  </si>
  <si>
    <t>1.32亿</t>
  </si>
  <si>
    <t>流动资产</t>
  </si>
  <si>
    <t>营业收入[20191231]</t>
  </si>
  <si>
    <t>营业收入[20181231]</t>
  </si>
  <si>
    <t>营业收入[20161231]</t>
  </si>
  <si>
    <t>净利润[20191231]</t>
  </si>
  <si>
    <t>净利润[20181231]</t>
  </si>
  <si>
    <t>净利润[20171231]</t>
  </si>
  <si>
    <t>净利润[20161231]</t>
  </si>
  <si>
    <t>投入资本回报率roic%[20191231]</t>
  </si>
  <si>
    <t>净资产收益率%[20191231]</t>
  </si>
  <si>
    <t>销售毛利率%[20191231]</t>
  </si>
  <si>
    <t>销售净利率%[20191231]</t>
  </si>
  <si>
    <t>1.31亿</t>
  </si>
  <si>
    <t>1.11亿</t>
  </si>
  <si>
    <t>4.36亿</t>
  </si>
  <si>
    <t>1.59亿</t>
  </si>
  <si>
    <t>62.97亿</t>
  </si>
  <si>
    <t>3.23亿</t>
  </si>
  <si>
    <t>1.73亿</t>
  </si>
  <si>
    <t>2.44亿</t>
  </si>
  <si>
    <t>2.74亿</t>
  </si>
  <si>
    <t>1.09亿</t>
  </si>
  <si>
    <t>1.16亿</t>
  </si>
  <si>
    <t>13.66亿</t>
  </si>
  <si>
    <t>1.61亿</t>
  </si>
  <si>
    <t>1.44亿</t>
  </si>
  <si>
    <t>2.08亿</t>
  </si>
  <si>
    <t>1.39亿</t>
  </si>
  <si>
    <t>1.41亿</t>
  </si>
  <si>
    <t>4.48亿</t>
  </si>
  <si>
    <t>3.00亿</t>
  </si>
  <si>
    <t>1.96亿</t>
  </si>
  <si>
    <t>1.25亿</t>
  </si>
  <si>
    <t>1.34亿</t>
  </si>
  <si>
    <t>1.67亿</t>
  </si>
  <si>
    <t>1.21亿</t>
  </si>
  <si>
    <t>2.52亿</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</si>
  <si>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</si>
  <si>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</si>
  <si>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</si>
  <si>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</si>
  <si>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</si>
  <si>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</si>
  <si>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</si>
  <si>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</si>
  <si>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</si>
  <si>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</si>
  <si>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</si>
  <si>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</si>
  <si>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</si>
  <si>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</si>
  <si>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</si>
  <si>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销售毛利率%[20201231]</t>
  </si>
  <si>
    <t>销售净利率%[20201231]</t>
  </si>
  <si>
    <t>-1.65亿</t>
  </si>
  <si>
    <t>7.05亿</t>
  </si>
  <si>
    <t>1.82亿</t>
  </si>
  <si>
    <t>1.49亿</t>
  </si>
  <si>
    <t>1.20亿</t>
  </si>
  <si>
    <t>4.30亿</t>
  </si>
  <si>
    <t>6.78亿</t>
  </si>
  <si>
    <t>57.58亿</t>
  </si>
  <si>
    <t>4.62亿</t>
  </si>
  <si>
    <t>3.42亿</t>
  </si>
  <si>
    <t>SZ000060</t>
  </si>
  <si>
    <t>中金岭南</t>
  </si>
  <si>
    <t>工业金属</t>
  </si>
  <si>
    <t>9.95亿</t>
  </si>
  <si>
    <t>10.63亿</t>
  </si>
  <si>
    <t>228.01亿</t>
  </si>
  <si>
    <t>199.63亿</t>
  </si>
  <si>
    <t>8.52亿</t>
  </si>
  <si>
    <t>9.20亿</t>
  </si>
  <si>
    <t>SZ000426</t>
  </si>
  <si>
    <t>9.40亿</t>
  </si>
  <si>
    <t>-1.84亿</t>
  </si>
  <si>
    <t>5.50亿</t>
  </si>
  <si>
    <t>8.74亿</t>
  </si>
  <si>
    <t>24.39亿</t>
  </si>
  <si>
    <t>8.66亿</t>
  </si>
  <si>
    <t>-1.71亿</t>
  </si>
  <si>
    <t>5.65亿</t>
  </si>
  <si>
    <t>SZ000603</t>
  </si>
  <si>
    <t>盛达资源</t>
  </si>
  <si>
    <t>16.38亿</t>
  </si>
  <si>
    <t>2.91亿</t>
  </si>
  <si>
    <t>3.83亿</t>
  </si>
  <si>
    <t>1.06亿</t>
  </si>
  <si>
    <t>2.27亿</t>
  </si>
  <si>
    <t>1.38亿</t>
  </si>
  <si>
    <t>29.01亿</t>
  </si>
  <si>
    <t>24.02亿</t>
  </si>
  <si>
    <t>4.12亿</t>
  </si>
  <si>
    <t>1.74亿</t>
  </si>
  <si>
    <t>SZ000612</t>
  </si>
  <si>
    <t>焦作万方</t>
  </si>
  <si>
    <t>47.44亿</t>
  </si>
  <si>
    <t>5.68亿</t>
  </si>
  <si>
    <t>14.12亿</t>
  </si>
  <si>
    <t>1.26亿</t>
  </si>
  <si>
    <t>47.61亿</t>
  </si>
  <si>
    <t>49.09亿</t>
  </si>
  <si>
    <t>-4.42亿</t>
  </si>
  <si>
    <t>1.51亿</t>
  </si>
  <si>
    <t>SZ000630</t>
  </si>
  <si>
    <t>铜陵有色</t>
  </si>
  <si>
    <t>994.38亿</t>
  </si>
  <si>
    <t>929.15亿</t>
  </si>
  <si>
    <t>845.72亿</t>
  </si>
  <si>
    <t>8.31亿</t>
  </si>
  <si>
    <t>7.04亿</t>
  </si>
  <si>
    <t>5.37亿</t>
  </si>
  <si>
    <t>SZ000688</t>
  </si>
  <si>
    <t>国城矿业</t>
  </si>
  <si>
    <t>9.08亿</t>
  </si>
  <si>
    <t>3.80亿</t>
  </si>
  <si>
    <t>10.21亿</t>
  </si>
  <si>
    <t>12.26亿</t>
  </si>
  <si>
    <t>1.71亿</t>
  </si>
  <si>
    <t>4.05亿</t>
  </si>
  <si>
    <t>SZ000751</t>
  </si>
  <si>
    <t>锌业股份</t>
  </si>
  <si>
    <t>1.84亿</t>
  </si>
  <si>
    <t>80.16亿</t>
  </si>
  <si>
    <t>83.58亿</t>
  </si>
  <si>
    <t>2.03亿</t>
  </si>
  <si>
    <t>5307.29万</t>
  </si>
  <si>
    <t>2.16亿</t>
  </si>
  <si>
    <t>SZ000758</t>
  </si>
  <si>
    <t>中色股份</t>
  </si>
  <si>
    <t>67.86亿</t>
  </si>
  <si>
    <t>2154.89万</t>
  </si>
  <si>
    <t>110.78亿</t>
  </si>
  <si>
    <t>148.02亿</t>
  </si>
  <si>
    <t>-10.60亿</t>
  </si>
  <si>
    <t>2.96亿</t>
  </si>
  <si>
    <t>SZ000807</t>
  </si>
  <si>
    <t>云铝股份</t>
  </si>
  <si>
    <t>295.73亿</t>
  </si>
  <si>
    <t>9.03亿</t>
  </si>
  <si>
    <t>23.79亿</t>
  </si>
  <si>
    <t>242.84亿</t>
  </si>
  <si>
    <t>216.89亿</t>
  </si>
  <si>
    <t>4.95亿</t>
  </si>
  <si>
    <t>-14.66亿</t>
  </si>
  <si>
    <t>6.57亿</t>
  </si>
  <si>
    <t>SZ000878</t>
  </si>
  <si>
    <t>云南铜业</t>
  </si>
  <si>
    <t>882.39亿</t>
  </si>
  <si>
    <t>632.90亿</t>
  </si>
  <si>
    <t>474.30亿</t>
  </si>
  <si>
    <t>6.70亿</t>
  </si>
  <si>
    <t>2.31亿</t>
  </si>
  <si>
    <t>SZ000933</t>
  </si>
  <si>
    <t>神火股份</t>
  </si>
  <si>
    <t>188.09亿</t>
  </si>
  <si>
    <t>3.58亿</t>
  </si>
  <si>
    <t>175.38亿</t>
  </si>
  <si>
    <t>193.69亿</t>
  </si>
  <si>
    <t>13.40亿</t>
  </si>
  <si>
    <t>2.07亿</t>
  </si>
  <si>
    <t>SZ002114</t>
  </si>
  <si>
    <t>罗平锌电</t>
  </si>
  <si>
    <t>17.23亿</t>
  </si>
  <si>
    <t>-1.27亿</t>
  </si>
  <si>
    <t>18.67亿</t>
  </si>
  <si>
    <t>10.74亿</t>
  </si>
  <si>
    <t>10.04亿</t>
  </si>
  <si>
    <t>2556.54万</t>
  </si>
  <si>
    <t>-2.58亿</t>
  </si>
  <si>
    <t>SZ002160</t>
  </si>
  <si>
    <t>常铝股份</t>
  </si>
  <si>
    <t>43.77亿</t>
  </si>
  <si>
    <t>2215.12万</t>
  </si>
  <si>
    <t>43.31亿</t>
  </si>
  <si>
    <t>41.38亿</t>
  </si>
  <si>
    <t>2198.07万</t>
  </si>
  <si>
    <t>-4.30亿</t>
  </si>
  <si>
    <t>13.33亿</t>
  </si>
  <si>
    <t>SZ002171</t>
  </si>
  <si>
    <t>楚江新材</t>
  </si>
  <si>
    <t>229.74亿</t>
  </si>
  <si>
    <t>2.70亿</t>
  </si>
  <si>
    <t>170.48亿</t>
  </si>
  <si>
    <t>131.07亿</t>
  </si>
  <si>
    <t>4.61亿</t>
  </si>
  <si>
    <t>4.09亿</t>
  </si>
  <si>
    <t>1.87亿</t>
  </si>
  <si>
    <t>SZ002203</t>
  </si>
  <si>
    <t>海亮股份</t>
  </si>
  <si>
    <t>2.71亿</t>
  </si>
  <si>
    <t>411.53亿</t>
  </si>
  <si>
    <t>405.97亿</t>
  </si>
  <si>
    <t>SZ002295</t>
  </si>
  <si>
    <t>精艺股份</t>
  </si>
  <si>
    <t>54.32亿</t>
  </si>
  <si>
    <t>4381.95万</t>
  </si>
  <si>
    <t>12.52亿</t>
  </si>
  <si>
    <t>51.26亿</t>
  </si>
  <si>
    <t>5099.89万</t>
  </si>
  <si>
    <t>4779.42万</t>
  </si>
  <si>
    <t>SZ002379</t>
  </si>
  <si>
    <t>宏创控股</t>
  </si>
  <si>
    <t>23.67亿</t>
  </si>
  <si>
    <t>14.26亿</t>
  </si>
  <si>
    <t>28.78亿</t>
  </si>
  <si>
    <t>15.18亿</t>
  </si>
  <si>
    <t>3.25亿</t>
  </si>
  <si>
    <t>865.05万</t>
  </si>
  <si>
    <t>6.56亿</t>
  </si>
  <si>
    <t>SZ002501</t>
  </si>
  <si>
    <t>49.29亿</t>
  </si>
  <si>
    <t>4.78亿</t>
  </si>
  <si>
    <t>-93.92亿</t>
  </si>
  <si>
    <t>-40.40亿</t>
  </si>
  <si>
    <t>SZ002532</t>
  </si>
  <si>
    <t>天山铝业</t>
  </si>
  <si>
    <t>274.60亿</t>
  </si>
  <si>
    <t>19.12亿</t>
  </si>
  <si>
    <t>325.87亿</t>
  </si>
  <si>
    <t>14.99亿</t>
  </si>
  <si>
    <t>15.01亿</t>
  </si>
  <si>
    <t>1.30亿</t>
  </si>
  <si>
    <t>SZ002540</t>
  </si>
  <si>
    <t>亚太科技</t>
  </si>
  <si>
    <t>7.99亿</t>
  </si>
  <si>
    <t>39.90亿</t>
  </si>
  <si>
    <t>3.57亿</t>
  </si>
  <si>
    <t>3.10亿</t>
  </si>
  <si>
    <t>35.31亿</t>
  </si>
  <si>
    <t>35.90亿</t>
  </si>
  <si>
    <t>3.62亿</t>
  </si>
  <si>
    <t>3.75亿</t>
  </si>
  <si>
    <t>3.04亿</t>
  </si>
  <si>
    <t>SZ002578</t>
  </si>
  <si>
    <t>闽发铝业</t>
  </si>
  <si>
    <t>15.93亿</t>
  </si>
  <si>
    <t>6280.59万</t>
  </si>
  <si>
    <t>14.63亿</t>
  </si>
  <si>
    <t>12.29亿</t>
  </si>
  <si>
    <t>4703.58万</t>
  </si>
  <si>
    <t>3580.63万</t>
  </si>
  <si>
    <t>2.76亿</t>
  </si>
  <si>
    <t>1.97亿</t>
  </si>
  <si>
    <t>6.19亿</t>
  </si>
  <si>
    <t>2.49亿</t>
  </si>
  <si>
    <t>3.11亿</t>
  </si>
  <si>
    <t>SZ002824</t>
  </si>
  <si>
    <t>和胜股份</t>
  </si>
  <si>
    <t>14.84亿</t>
  </si>
  <si>
    <t>7543.94万</t>
  </si>
  <si>
    <t>10.65亿</t>
  </si>
  <si>
    <t>1039.32万</t>
  </si>
  <si>
    <t>1873.34万</t>
  </si>
  <si>
    <t>SZ002988</t>
  </si>
  <si>
    <t>豪美新材</t>
  </si>
  <si>
    <t>34.37亿</t>
  </si>
  <si>
    <t>29.68亿</t>
  </si>
  <si>
    <t>26.82亿</t>
  </si>
  <si>
    <t>9433.85万</t>
  </si>
  <si>
    <t>SZ002996</t>
  </si>
  <si>
    <t>顺博合金</t>
  </si>
  <si>
    <t>48.69亿</t>
  </si>
  <si>
    <t>43.53亿</t>
  </si>
  <si>
    <t>42.49亿</t>
  </si>
  <si>
    <t>1.68亿</t>
  </si>
  <si>
    <t>SZ003038</t>
  </si>
  <si>
    <t>鑫铂股份</t>
  </si>
  <si>
    <t>12.87亿</t>
  </si>
  <si>
    <t>9097.72万</t>
  </si>
  <si>
    <t>9.24亿</t>
  </si>
  <si>
    <t>6328.42万</t>
  </si>
  <si>
    <t>1578.74万</t>
  </si>
  <si>
    <t>4.63亿</t>
  </si>
  <si>
    <t>SZ300057</t>
  </si>
  <si>
    <t>万顺新材</t>
  </si>
  <si>
    <t>50.69亿</t>
  </si>
  <si>
    <t>7710.73万</t>
  </si>
  <si>
    <t>44.52亿</t>
  </si>
  <si>
    <t>41.69亿</t>
  </si>
  <si>
    <t>14.08亿</t>
  </si>
  <si>
    <t>SZ300337</t>
  </si>
  <si>
    <t>银邦股份</t>
  </si>
  <si>
    <t>23.70亿</t>
  </si>
  <si>
    <t>1696.29万</t>
  </si>
  <si>
    <t>20.25亿</t>
  </si>
  <si>
    <t>19.30亿</t>
  </si>
  <si>
    <t>1657.16万</t>
  </si>
  <si>
    <t>-7389.90万</t>
  </si>
  <si>
    <t>3.67亿</t>
  </si>
  <si>
    <t>SZ300697</t>
  </si>
  <si>
    <t>电工合金</t>
  </si>
  <si>
    <t>16.06亿</t>
  </si>
  <si>
    <t>18.78亿</t>
  </si>
  <si>
    <t>6634.04万</t>
  </si>
  <si>
    <t>1.28亿</t>
  </si>
  <si>
    <t>SH600219</t>
  </si>
  <si>
    <t>南山铝业</t>
  </si>
  <si>
    <t>222.99亿</t>
  </si>
  <si>
    <t>20.49亿</t>
  </si>
  <si>
    <t>215.09亿</t>
  </si>
  <si>
    <t>202.22亿</t>
  </si>
  <si>
    <t>14.38亿</t>
  </si>
  <si>
    <t>16.11亿</t>
  </si>
  <si>
    <t>2.06亿</t>
  </si>
  <si>
    <t>SH600338</t>
  </si>
  <si>
    <t>西藏珠峰</t>
  </si>
  <si>
    <t>24.66亿</t>
  </si>
  <si>
    <t>11.33亿</t>
  </si>
  <si>
    <t>4.22亿</t>
  </si>
  <si>
    <t>22.34亿</t>
  </si>
  <si>
    <t>20.46亿</t>
  </si>
  <si>
    <t>9.01亿</t>
  </si>
  <si>
    <t>4.71亿</t>
  </si>
  <si>
    <t>SH600362</t>
  </si>
  <si>
    <t>江西铜业</t>
  </si>
  <si>
    <t>3185.63亿</t>
  </si>
  <si>
    <t>23.20亿</t>
  </si>
  <si>
    <t>2403.60亿</t>
  </si>
  <si>
    <t>2152.90亿</t>
  </si>
  <si>
    <t>24.47亿</t>
  </si>
  <si>
    <t>SH600490</t>
  </si>
  <si>
    <t>鹏欣资源</t>
  </si>
  <si>
    <t>87.14亿</t>
  </si>
  <si>
    <t>147.87亿</t>
  </si>
  <si>
    <t>112.31亿</t>
  </si>
  <si>
    <t>SH600497</t>
  </si>
  <si>
    <t>驰宏锌锗</t>
  </si>
  <si>
    <t>191.65亿</t>
  </si>
  <si>
    <t>4.72亿</t>
  </si>
  <si>
    <t>-4.21亿</t>
  </si>
  <si>
    <t>164.03亿</t>
  </si>
  <si>
    <t>189.51亿</t>
  </si>
  <si>
    <t>7.77亿</t>
  </si>
  <si>
    <t>6.23亿</t>
  </si>
  <si>
    <t>SH600531</t>
  </si>
  <si>
    <t>202.38亿</t>
  </si>
  <si>
    <t>3.12亿</t>
  </si>
  <si>
    <t>184.04亿</t>
  </si>
  <si>
    <t>193.34亿</t>
  </si>
  <si>
    <t>SH600595</t>
  </si>
  <si>
    <t>81.80亿</t>
  </si>
  <si>
    <t>-17.83亿</t>
  </si>
  <si>
    <t>55.19亿</t>
  </si>
  <si>
    <t>117.51亿</t>
  </si>
  <si>
    <t>-25.44亿</t>
  </si>
  <si>
    <t>SH600768</t>
  </si>
  <si>
    <t>宁波富邦</t>
  </si>
  <si>
    <t>5.17亿</t>
  </si>
  <si>
    <t>7.38亿</t>
  </si>
  <si>
    <t>7.57亿</t>
  </si>
  <si>
    <t>-3106.97万</t>
  </si>
  <si>
    <t>SH600888</t>
  </si>
  <si>
    <t>新疆众和</t>
  </si>
  <si>
    <t>57.17亿</t>
  </si>
  <si>
    <t>3.51亿</t>
  </si>
  <si>
    <t>47.48亿</t>
  </si>
  <si>
    <t>48.71亿</t>
  </si>
  <si>
    <t>SH600961</t>
  </si>
  <si>
    <t>株冶集团</t>
  </si>
  <si>
    <t>147.65亿</t>
  </si>
  <si>
    <t>2.17亿</t>
  </si>
  <si>
    <t>111.92亿</t>
  </si>
  <si>
    <t>130.08亿</t>
  </si>
  <si>
    <t>7743.98万</t>
  </si>
  <si>
    <t>-16.32亿</t>
  </si>
  <si>
    <t>SH601020</t>
  </si>
  <si>
    <t>7238.05万</t>
  </si>
  <si>
    <t>15.19亿</t>
  </si>
  <si>
    <t>11.45亿</t>
  </si>
  <si>
    <t>2.25亿</t>
  </si>
  <si>
    <t>SH601168</t>
  </si>
  <si>
    <t>西部矿业</t>
  </si>
  <si>
    <t>305.67亿</t>
  </si>
  <si>
    <t>287.70亿</t>
  </si>
  <si>
    <t>10.07亿</t>
  </si>
  <si>
    <t>-20.59亿</t>
  </si>
  <si>
    <t>SH601212</t>
  </si>
  <si>
    <t>白银有色</t>
  </si>
  <si>
    <t>614.23亿</t>
  </si>
  <si>
    <t>7296.65万</t>
  </si>
  <si>
    <t>617.00亿</t>
  </si>
  <si>
    <t>619.47亿</t>
  </si>
  <si>
    <t>5804.35万</t>
  </si>
  <si>
    <t>2590.07万</t>
  </si>
  <si>
    <t>SH601388</t>
  </si>
  <si>
    <t>怡球资源</t>
  </si>
  <si>
    <t>56.27亿</t>
  </si>
  <si>
    <t>17.45亿</t>
  </si>
  <si>
    <t>54.48亿</t>
  </si>
  <si>
    <t>1.15亿</t>
  </si>
  <si>
    <t>9752.30万</t>
  </si>
  <si>
    <t>SH601600</t>
  </si>
  <si>
    <t>中国铝业</t>
  </si>
  <si>
    <t>7.41亿</t>
  </si>
  <si>
    <t>1902.15亿</t>
  </si>
  <si>
    <t>1802.41亿</t>
  </si>
  <si>
    <t>8.53亿</t>
  </si>
  <si>
    <t>SH601609</t>
  </si>
  <si>
    <t>468.29亿</t>
  </si>
  <si>
    <t>5.12亿</t>
  </si>
  <si>
    <t>409.84亿</t>
  </si>
  <si>
    <t>406.46亿</t>
  </si>
  <si>
    <t>4.94亿</t>
  </si>
  <si>
    <t>SH601677</t>
  </si>
  <si>
    <t>明泰铝业</t>
  </si>
  <si>
    <t>163.33亿</t>
  </si>
  <si>
    <t>10.70亿</t>
  </si>
  <si>
    <t>141.48亿</t>
  </si>
  <si>
    <t>133.22亿</t>
  </si>
  <si>
    <t>9.17亿</t>
  </si>
  <si>
    <t>4.96亿</t>
  </si>
  <si>
    <t>SH601702</t>
  </si>
  <si>
    <t>华峰铝业</t>
  </si>
  <si>
    <t>40.67亿</t>
  </si>
  <si>
    <t>34.16亿</t>
  </si>
  <si>
    <t>SH601899</t>
  </si>
  <si>
    <t>紫金矿业</t>
  </si>
  <si>
    <t>1715.01亿</t>
  </si>
  <si>
    <t>65.09亿</t>
  </si>
  <si>
    <t>1360.98亿</t>
  </si>
  <si>
    <t>1059.94亿</t>
  </si>
  <si>
    <t>42.84亿</t>
  </si>
  <si>
    <t>40.94亿</t>
  </si>
  <si>
    <t>12.19亿</t>
  </si>
  <si>
    <t>SH603527</t>
  </si>
  <si>
    <t>众源新材</t>
  </si>
  <si>
    <t>38.36亿</t>
  </si>
  <si>
    <t>6269.09万</t>
  </si>
  <si>
    <t>32.24亿</t>
  </si>
  <si>
    <t>32.09亿</t>
  </si>
  <si>
    <t>9277.49万</t>
  </si>
  <si>
    <t>9356.39万</t>
  </si>
  <si>
    <t>SH603876</t>
  </si>
  <si>
    <t>124.27亿</t>
  </si>
  <si>
    <t>-1499.43万</t>
  </si>
  <si>
    <t>112.36亿</t>
  </si>
  <si>
    <t>102.91亿</t>
  </si>
  <si>
    <t>SH603937</t>
  </si>
  <si>
    <t>丽岛新材</t>
  </si>
  <si>
    <t>13.38亿</t>
  </si>
  <si>
    <t>13.03亿</t>
  </si>
  <si>
    <t>12.44亿</t>
  </si>
  <si>
    <t>SH605208</t>
  </si>
  <si>
    <t>永茂泰</t>
  </si>
  <si>
    <t>26.96亿</t>
  </si>
  <si>
    <t>12.15亿</t>
  </si>
  <si>
    <t>4.17亿</t>
  </si>
  <si>
    <t>26.43亿</t>
  </si>
  <si>
    <t>24.94亿</t>
  </si>
  <si>
    <t>1.24亿</t>
  </si>
  <si>
    <t>2.30亿</t>
  </si>
  <si>
    <t>17.36亿</t>
  </si>
  <si>
    <t>16.41亿</t>
  </si>
  <si>
    <t>6.88亿</t>
  </si>
  <si>
    <t/>
  </si>
  <si>
    <t>流通股本</t>
  </si>
  <si>
    <t>投入资本回报率roic%[20201231]</t>
  </si>
  <si>
    <t>净资产收益率%[20201231]</t>
  </si>
  <si>
    <t>营业收入[20171231]</t>
  </si>
  <si>
    <t>净利润[20201231]</t>
  </si>
  <si>
    <t>11.72亿</t>
  </si>
  <si>
    <t>20.09亿</t>
  </si>
  <si>
    <t>2.46亿</t>
  </si>
  <si>
    <t>49.18亿</t>
  </si>
  <si>
    <t>3.97亿</t>
  </si>
  <si>
    <t>1310.34亿</t>
  </si>
  <si>
    <t>31.01亿</t>
  </si>
  <si>
    <t>17.09亿</t>
  </si>
  <si>
    <t>SZ000737</t>
  </si>
  <si>
    <t>北方铜业</t>
  </si>
  <si>
    <t>45.04亿</t>
  </si>
  <si>
    <t>99.65亿</t>
  </si>
  <si>
    <t>8.38亿</t>
  </si>
  <si>
    <t>85.28亿</t>
  </si>
  <si>
    <t>18.27亿</t>
  </si>
  <si>
    <t>-4856.91万</t>
  </si>
  <si>
    <t>2.67亿</t>
  </si>
  <si>
    <t>228.44亿</t>
  </si>
  <si>
    <t>109.34亿</t>
  </si>
  <si>
    <t>65.33亿</t>
  </si>
  <si>
    <t>4145.27万</t>
  </si>
  <si>
    <t>1270.58亿</t>
  </si>
  <si>
    <t>6.49亿</t>
  </si>
  <si>
    <t>5.84亿</t>
  </si>
  <si>
    <t>18.25亿</t>
  </si>
  <si>
    <t>3057.46万</t>
  </si>
  <si>
    <t>4.67亿</t>
  </si>
  <si>
    <t>62.33亿</t>
  </si>
  <si>
    <t>5.21亿</t>
  </si>
  <si>
    <t>373.50亿</t>
  </si>
  <si>
    <t>5.67亿</t>
  </si>
  <si>
    <t>11.07亿</t>
  </si>
  <si>
    <t>67.16亿</t>
  </si>
  <si>
    <t>5865.61万</t>
  </si>
  <si>
    <t>31.91亿</t>
  </si>
  <si>
    <t>-4.49亿</t>
  </si>
  <si>
    <t>287.45亿</t>
  </si>
  <si>
    <t>38.33亿</t>
  </si>
  <si>
    <t>60.17亿</t>
  </si>
  <si>
    <t>4.58亿</t>
  </si>
  <si>
    <t>22.44亿</t>
  </si>
  <si>
    <t>5823.50万</t>
  </si>
  <si>
    <t>24.10亿</t>
  </si>
  <si>
    <t>56.00亿</t>
  </si>
  <si>
    <t>99.85亿</t>
  </si>
  <si>
    <t>25.97亿</t>
  </si>
  <si>
    <t>54.37亿</t>
  </si>
  <si>
    <t>-4394.38万</t>
  </si>
  <si>
    <t>31.95亿</t>
  </si>
  <si>
    <t>4062.47万</t>
  </si>
  <si>
    <t>5.00亿</t>
  </si>
  <si>
    <t>21.74亿</t>
  </si>
  <si>
    <t>1.64亿</t>
  </si>
  <si>
    <t>4427.68亿</t>
  </si>
  <si>
    <t>56.36亿</t>
  </si>
  <si>
    <t>85.87亿</t>
  </si>
  <si>
    <t>7435.93万</t>
  </si>
  <si>
    <t>217.17亿</t>
  </si>
  <si>
    <t>6.24亿</t>
  </si>
  <si>
    <t>268.91亿</t>
  </si>
  <si>
    <t>4.00亿</t>
  </si>
  <si>
    <t>82.26亿</t>
  </si>
  <si>
    <t>164.72亿</t>
  </si>
  <si>
    <t>29.32亿</t>
  </si>
  <si>
    <t>286.74亿</t>
  </si>
  <si>
    <t>9.07亿</t>
  </si>
  <si>
    <t>722.80亿</t>
  </si>
  <si>
    <t>8174.05万</t>
  </si>
  <si>
    <t>82.83亿</t>
  </si>
  <si>
    <t>1859.91亿</t>
  </si>
  <si>
    <t>7.64亿</t>
  </si>
  <si>
    <t>811.59亿</t>
  </si>
  <si>
    <t>246.13亿</t>
  </si>
  <si>
    <t>18.52亿</t>
  </si>
  <si>
    <t>64.49亿</t>
  </si>
  <si>
    <t>2251.02亿</t>
  </si>
  <si>
    <t>156.73亿</t>
  </si>
  <si>
    <t>SH603132</t>
  </si>
  <si>
    <t>金徽股份</t>
  </si>
  <si>
    <t>11.22亿</t>
  </si>
  <si>
    <t>2965.61万</t>
  </si>
  <si>
    <t>67.80亿</t>
  </si>
  <si>
    <t>181.68亿</t>
  </si>
  <si>
    <t>SH603979</t>
  </si>
  <si>
    <t>金诚信</t>
  </si>
  <si>
    <t>38.63亿</t>
  </si>
  <si>
    <t>34.34亿</t>
  </si>
  <si>
    <t>31.05亿</t>
  </si>
  <si>
    <t>3.65亿</t>
  </si>
  <si>
    <t>2.05亿</t>
  </si>
  <si>
    <t>32.90亿</t>
  </si>
  <si>
    <t>2.19亿</t>
  </si>
  <si>
    <t xml:space="preserve">    名称</t>
  </si>
  <si>
    <t>净利润?</t>
  </si>
  <si>
    <t>扣非净利润</t>
  </si>
  <si>
    <t>营业总收入[20201231]</t>
  </si>
  <si>
    <t>投入资本回报率roic%[20211231]</t>
  </si>
  <si>
    <t>净资产收益率%[20211231]</t>
  </si>
  <si>
    <t>-1-1</t>
  </si>
  <si>
    <t>1.52亿</t>
  </si>
  <si>
    <t>扭亏</t>
  </si>
  <si>
    <t>亏损</t>
  </si>
  <si>
    <t>2.81亿</t>
  </si>
  <si>
    <t>2.47亿</t>
  </si>
  <si>
    <t>8.69亿</t>
  </si>
  <si>
    <t>中孚实业</t>
  </si>
  <si>
    <t>3.89亿</t>
  </si>
  <si>
    <t>1.2021 年，受供应、航运偏紧、国际原油价格波动引发海运费上涨、国内环保政策、氧化铝企业需求增加等因素影响，中国铝土矿价格呈现提升态势；2.电解铝作为高耗能行业，要求严苛，限产后导致实际市场供给缩小，但需求依然旺盛；3.铝行业是国家重要的基础产业，氧化铝和原铝作为重要的基础原材料，与机电、电力、航空航天、造船、汽车制造、包装、建筑、交通运输、日用百货、房地产等行业密切相关，中国是铝工业大国，产量和消费量连续 20 年位居世界第一，中国氧化铝、电解铝的产量和消费量均超过全球的一半</t>
    <phoneticPr fontId="1" type="noConversion"/>
  </si>
  <si>
    <t>1.2020年11月到2021年9月从3元到10.23元暴涨一波，最近回归5元；2.由于氧化铝、电解铝等大宗商品以及原材料价格受国内外宏观经济形势、双碳及能耗双控等国家和行业政策、市场供需基本面等因素影响，可能会出现市场波动，进而影响公司的盈利能力和利润水平。</t>
    <phoneticPr fontId="1" type="noConversion"/>
  </si>
  <si>
    <t>1.2020年6月到2021年9月从4.8暴涨到23.58元；回退到11元</t>
    <phoneticPr fontId="1" type="noConversion"/>
  </si>
  <si>
    <r>
      <t>1.目前随着国家双碳政策提出，电解铝产能天花板已经形成，</t>
    </r>
    <r>
      <rPr>
        <b/>
        <sz val="9"/>
        <color theme="1"/>
        <rFont val="宋体"/>
        <family val="3"/>
        <charset val="134"/>
        <scheme val="minor"/>
      </rPr>
      <t>未来产能扩张的可能性较小</t>
    </r>
    <r>
      <rPr>
        <sz val="9"/>
        <color theme="1"/>
        <rFont val="宋体"/>
        <family val="2"/>
        <charset val="134"/>
        <scheme val="minor"/>
      </rPr>
      <t>。公司获批140万吨产能指标，已经是电解铝大型生产企业之一</t>
    </r>
    <phoneticPr fontId="1" type="noConversion"/>
  </si>
  <si>
    <t>1.铝行业整体继续保持较高景气度，铝价保持在20000元/吨-23000元/吨之间运行。2.天山铝业有良好的上游优势，可用自产铝锭提取高纯铝，且每吨仅需约600度电左右，能耗水平极低，每吨可节约成本4000-5000元左右，公司希望加快投资力度，尽快投产，获取更大市场份额;3.上游铝土矿资源具备竞争优势，有长期稳定的保障。下游端，高纯铝和动力电池箔是这两年公司在巩固上游优势的基础上在下游重点发力的领域，上游的支撑配合高纯铝和动力电池箔技术团队的核心竞争力，能够达起到1+1&gt;2的加成效应，快速占领市场份额;4.铝业中少有的多机构近期调研；</t>
    <phoneticPr fontId="1" type="noConversion"/>
  </si>
  <si>
    <r>
      <t>1.得益于云南水电资源丰富，电的碳排放量最小；清洁铝制造；2.全球铝产量及需求量稳步增长，铝已成为仅次于钢铁的第二大金属材料。3.背后为国资委（通过</t>
    </r>
    <r>
      <rPr>
        <sz val="9"/>
        <color rgb="FFFF0000"/>
        <rFont val="宋体"/>
        <family val="3"/>
        <charset val="134"/>
        <scheme val="minor"/>
      </rPr>
      <t>中国铝业</t>
    </r>
    <r>
      <rPr>
        <sz val="9"/>
        <color theme="1"/>
        <rFont val="宋体"/>
        <family val="2"/>
        <charset val="134"/>
        <scheme val="minor"/>
      </rPr>
      <t>）控股27%</t>
    </r>
    <phoneticPr fontId="1" type="noConversion"/>
  </si>
  <si>
    <t>公司一直从事铝板带箔的研发、生产与销售业务，主要产品为空调箔、单零箔、双零箔、铝板带、新能源电池箔等，产品广泛应用于建筑、家用、包装、家电、电子、交通运输、机械制造、五金制品、锂电池等多个领域。
市值225亿，利润4.3亿，pe37,pb4.38; 毛利10%，净利1.66；2021营收增46%，利润增297%；2022Q1营收增66%，利润增387%；过往5年营收增22%，利润增572%；
2021：
空调箔 58.17亿 32.02% 24.76% 8.37%
单零箔 34.06亿 18.75% 14.96% 8.63%
双零箔 32.40亿 17.83% 21.67% 13.15%
普板带 17.53亿 9.65% 6.32% 7.09%
电池箔 17.53亿 9.65% 26.44% 29.64%
其他 16.46亿 9.06% 3.75% 4.48%
其他业务 5.53亿 3.04% 2.10% 7.46%</t>
    <phoneticPr fontId="1" type="noConversion"/>
  </si>
  <si>
    <r>
      <t>1.目前海亮股份</t>
    </r>
    <r>
      <rPr>
        <sz val="9"/>
        <color rgb="FFFF0000"/>
        <rFont val="宋体"/>
        <family val="3"/>
        <charset val="134"/>
        <scheme val="minor"/>
      </rPr>
      <t>铜箔项目已经实现了6微米和8微米产品的成功试产，4.5微米铜箔</t>
    </r>
    <r>
      <rPr>
        <sz val="9"/>
        <color theme="1"/>
        <rFont val="宋体"/>
        <family val="2"/>
        <charset val="134"/>
        <scheme val="minor"/>
      </rPr>
      <t>产品从技术层面上已经实现了突破，现已着手准备试产。</t>
    </r>
    <phoneticPr fontId="1" type="noConversion"/>
  </si>
  <si>
    <t>LY营业总收入[20211231]</t>
  </si>
  <si>
    <t>权益乘数[20220630]</t>
  </si>
  <si>
    <t>总资产周转率[20220630]</t>
  </si>
  <si>
    <t>净利润／营业总收入%[20220630]</t>
  </si>
  <si>
    <t>营业总成本[20220630]</t>
  </si>
  <si>
    <t>营业成本[20220630]</t>
  </si>
  <si>
    <t>管理费用[20220630]</t>
  </si>
  <si>
    <t>研发费用总额[20220630]</t>
  </si>
  <si>
    <t>细分行业</t>
  </si>
  <si>
    <t>铅锌</t>
  </si>
  <si>
    <t>2.33亿</t>
  </si>
  <si>
    <t>5.05亿</t>
  </si>
  <si>
    <t>铝</t>
  </si>
  <si>
    <t>铜</t>
  </si>
  <si>
    <t>3.43亿</t>
  </si>
  <si>
    <t>13.93亿</t>
  </si>
  <si>
    <t>1.10亿</t>
  </si>
  <si>
    <t>1.93亿</t>
  </si>
  <si>
    <t>3.87亿</t>
  </si>
  <si>
    <t>2.54亿</t>
  </si>
  <si>
    <t>3.07亿</t>
  </si>
  <si>
    <t>9.47亿</t>
  </si>
  <si>
    <t>5.97亿</t>
  </si>
  <si>
    <t>5.64亿</t>
  </si>
  <si>
    <t>SH600615</t>
  </si>
  <si>
    <t>丰华股份</t>
  </si>
  <si>
    <t>6.30亿</t>
  </si>
  <si>
    <t>-283.66万</t>
  </si>
  <si>
    <t>5993.61万</t>
  </si>
  <si>
    <t>6618.49万</t>
  </si>
  <si>
    <t>8330.63万</t>
  </si>
  <si>
    <t>146.42万</t>
  </si>
  <si>
    <t>3091.01万</t>
  </si>
  <si>
    <t>933.16万</t>
  </si>
  <si>
    <t>355.01万</t>
  </si>
  <si>
    <t>-582.58万</t>
  </si>
  <si>
    <t>2.22亿</t>
  </si>
  <si>
    <t>1.50亿</t>
  </si>
  <si>
    <t>2.10亿</t>
  </si>
  <si>
    <t>华钰矿业</t>
  </si>
  <si>
    <t>金田股份</t>
  </si>
  <si>
    <t>1.95亿</t>
  </si>
  <si>
    <t>涨幅</t>
  </si>
  <si>
    <t>成交量[20221212]</t>
  </si>
  <si>
    <t>营业收入(同比增长率) %[20220930]</t>
  </si>
  <si>
    <t>LY净利润[20211231]</t>
  </si>
  <si>
    <t>销售费用[20220930]</t>
  </si>
  <si>
    <t>其他收入[20220930]</t>
  </si>
  <si>
    <t>货币资金[20220930]</t>
  </si>
  <si>
    <t>应收票据[20220930]</t>
  </si>
  <si>
    <t>固定资产[20220930]</t>
  </si>
  <si>
    <t>在建工程[20220930]</t>
  </si>
  <si>
    <t>短期借款[20220930]</t>
  </si>
  <si>
    <t>应付票据[20220930]</t>
  </si>
  <si>
    <t>应付账款[20220930]</t>
  </si>
  <si>
    <t>预收款项[20220930]</t>
  </si>
  <si>
    <t>流动负债[20220930]</t>
  </si>
  <si>
    <t>长期借款[20220930]</t>
  </si>
  <si>
    <t>经营活动产生的现金流量净额[20220930]</t>
  </si>
  <si>
    <t>投资活动产生的现金流量净额[20220930]</t>
  </si>
  <si>
    <t>筹资活动产生的现金流量净额[20220930]</t>
  </si>
  <si>
    <t>CYLQ营业收入[20220630]</t>
  </si>
  <si>
    <t>LYCQ营业收入[20210930]</t>
  </si>
  <si>
    <t>LYLQ营业收入[20210630]</t>
  </si>
  <si>
    <t>CYLQ净利润[20220630]</t>
  </si>
  <si>
    <t>LYCQ净利润[20210930]</t>
  </si>
  <si>
    <t>LYLQ净利润[20210630]</t>
  </si>
  <si>
    <t>分红明细[20211231]</t>
  </si>
  <si>
    <t>销售毛利率%[20220630]</t>
  </si>
  <si>
    <t>销售净利率%[20220630]</t>
  </si>
  <si>
    <t>区间涨跌幅:前复权%[20221206-20221212]</t>
  </si>
  <si>
    <t>指数@区间涨跌幅:不复权%[20221101-20221212]</t>
  </si>
  <si>
    <t>指数@区间成交量[20221206-20221212]</t>
  </si>
  <si>
    <t>指数@区间成交量[20221101-20221212]</t>
  </si>
  <si>
    <t>过往利润增速均值</t>
    <phoneticPr fontId="1" type="noConversion"/>
  </si>
  <si>
    <t>折现率</t>
    <phoneticPr fontId="1" type="noConversion"/>
  </si>
  <si>
    <t>1年自由现金流折现</t>
    <phoneticPr fontId="1" type="noConversion"/>
  </si>
  <si>
    <t>3增速</t>
    <phoneticPr fontId="1" type="noConversion"/>
  </si>
  <si>
    <t>6年自由现金流折现</t>
    <phoneticPr fontId="1" type="noConversion"/>
  </si>
  <si>
    <t>10年自由现金流折现</t>
    <phoneticPr fontId="1" type="noConversion"/>
  </si>
  <si>
    <t>策略1利润单季最佳增速</t>
    <phoneticPr fontId="1" type="noConversion"/>
  </si>
  <si>
    <t>成交量综合策略</t>
    <phoneticPr fontId="1" type="noConversion"/>
  </si>
  <si>
    <t>量价齐升策略</t>
    <phoneticPr fontId="1" type="noConversion"/>
  </si>
  <si>
    <t>综合策略</t>
    <phoneticPr fontId="1" type="noConversion"/>
  </si>
  <si>
    <t>5日成交换手率</t>
    <phoneticPr fontId="1" type="noConversion"/>
  </si>
  <si>
    <t>成交量异动策略</t>
    <phoneticPr fontId="1" type="noConversion"/>
  </si>
  <si>
    <t>N-4</t>
    <phoneticPr fontId="1" type="noConversion"/>
  </si>
  <si>
    <t>N-2</t>
    <phoneticPr fontId="1" type="noConversion"/>
  </si>
  <si>
    <t>N</t>
    <phoneticPr fontId="1" type="noConversion"/>
  </si>
  <si>
    <t>市销率</t>
    <phoneticPr fontId="1" type="noConversion"/>
  </si>
  <si>
    <t>扣非对比净利润</t>
    <phoneticPr fontId="1" type="noConversion"/>
  </si>
  <si>
    <t>股利率</t>
    <phoneticPr fontId="1" type="noConversion"/>
  </si>
  <si>
    <t>过往营收增速均值</t>
    <phoneticPr fontId="1" type="noConversion"/>
  </si>
  <si>
    <t>1增速</t>
    <phoneticPr fontId="1" type="noConversion"/>
  </si>
  <si>
    <t>3年自由现金流折现</t>
    <phoneticPr fontId="1" type="noConversion"/>
  </si>
  <si>
    <t>6增速</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</si>
  <si>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</si>
  <si>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</si>
  <si>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</si>
  <si>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</si>
  <si>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</si>
  <si>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</si>
  <si>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</si>
  <si>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</si>
  <si>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</si>
  <si>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</si>
  <si>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基本面排序</t>
    <phoneticPr fontId="1" type="noConversion"/>
  </si>
  <si>
    <t>机会区域号</t>
    <phoneticPr fontId="1" type="noConversion"/>
  </si>
  <si>
    <t>30日成交换手率</t>
    <phoneticPr fontId="1" type="noConversion"/>
  </si>
  <si>
    <t>昨日价格累计指数</t>
    <phoneticPr fontId="1" type="noConversion"/>
  </si>
  <si>
    <t>今日价格累积指数</t>
    <phoneticPr fontId="1" type="noConversion"/>
  </si>
  <si>
    <t>价格箱体形态过滤</t>
    <phoneticPr fontId="1" type="noConversion"/>
  </si>
  <si>
    <t>价格右侧初期策略</t>
    <phoneticPr fontId="1" type="noConversion"/>
  </si>
  <si>
    <t>N日期</t>
    <phoneticPr fontId="1" type="noConversion"/>
  </si>
  <si>
    <t>N-3</t>
    <phoneticPr fontId="1" type="noConversion"/>
  </si>
  <si>
    <t>N-1</t>
    <phoneticPr fontId="1" type="noConversion"/>
  </si>
  <si>
    <t>8.50亿</t>
  </si>
  <si>
    <t>6.72亿</t>
  </si>
  <si>
    <t>不分配不转增</t>
  </si>
  <si>
    <t>15.61亿</t>
  </si>
  <si>
    <t>1.77亿</t>
  </si>
  <si>
    <t>26.65亿</t>
  </si>
  <si>
    <t>10派2元(含税)</t>
  </si>
  <si>
    <t>1.88亿</t>
  </si>
  <si>
    <t>16.03亿</t>
  </si>
  <si>
    <t>3.19亿</t>
  </si>
  <si>
    <t>1.89亿</t>
  </si>
  <si>
    <t>6.51亿</t>
  </si>
  <si>
    <t>4.74亿</t>
  </si>
  <si>
    <t>2.00亿</t>
  </si>
  <si>
    <t>4.92亿</t>
  </si>
  <si>
    <t>2.82亿</t>
  </si>
  <si>
    <t>1.85亿</t>
  </si>
  <si>
    <t>1.40亿</t>
  </si>
  <si>
    <t>2.53亿</t>
  </si>
  <si>
    <t>-3.01亿</t>
  </si>
  <si>
    <t>15.62亿</t>
  </si>
  <si>
    <t>4.42亿</t>
  </si>
  <si>
    <t>2.12亿</t>
  </si>
  <si>
    <t>2.28亿</t>
  </si>
  <si>
    <t>7.10亿</t>
  </si>
  <si>
    <t>7.62亿</t>
  </si>
  <si>
    <t>10派1.6元(含税)</t>
  </si>
  <si>
    <t>20.86亿</t>
  </si>
  <si>
    <t>19.79亿</t>
  </si>
  <si>
    <t>2.84亿</t>
  </si>
  <si>
    <t>10派1.5元(含税)</t>
  </si>
  <si>
    <t>6.35亿</t>
  </si>
  <si>
    <t>7.98亿</t>
  </si>
  <si>
    <t>44.26亿</t>
  </si>
  <si>
    <t>SH600361</t>
  </si>
  <si>
    <t>95.49亿</t>
  </si>
  <si>
    <t>119.93亿</t>
  </si>
  <si>
    <t>115.95亿</t>
  </si>
  <si>
    <t>8425.94万</t>
  </si>
  <si>
    <t>8339.87万</t>
  </si>
  <si>
    <t>10派5元(含税)</t>
  </si>
  <si>
    <t>10派1.2元(含税)</t>
  </si>
  <si>
    <t>35.29亿</t>
  </si>
  <si>
    <t>1.48亿</t>
  </si>
  <si>
    <t>10派0.8元(含税)</t>
  </si>
  <si>
    <t>4.02亿</t>
  </si>
  <si>
    <t>1.90亿</t>
  </si>
  <si>
    <t>7.86亿</t>
  </si>
  <si>
    <t>2.61亿</t>
  </si>
  <si>
    <t>4.23亿</t>
  </si>
  <si>
    <t>7.48亿</t>
  </si>
  <si>
    <t>23.98亿</t>
  </si>
  <si>
    <t>1.23亿</t>
  </si>
  <si>
    <t>10派2.4元(含税)</t>
  </si>
  <si>
    <t>1.58亿</t>
  </si>
  <si>
    <t>7.29亿</t>
  </si>
  <si>
    <t>13.09亿</t>
  </si>
  <si>
    <t>2.15亿</t>
  </si>
  <si>
    <t>1.公司控股子公司铜冠铜箔;2.铜加工材方面，公司将依据市场状况安排生产，若未来两年内市场情况持续向好，公司将实现45万吨以上的铜材加工能力。</t>
    <phoneticPr fontId="1" type="noConversion"/>
  </si>
  <si>
    <t>1.再生铝回收冶炼；</t>
    <phoneticPr fontId="1" type="noConversion"/>
  </si>
  <si>
    <t>1.预计年报业绩：净利润74.20亿元左右，增长幅度为1.29倍左右。原因：报告期内，公司管理层积极推进对标管理工作，公司经营管理水平进一步提升，2022年度实现归属于上市公司股东的净利润74.20亿元，同比增长129.43%；实现归属于上市公司股东的扣除非经常性损益的净利润76.00亿元，同比增长117.91%。业绩增长的主要原因是： 　　报告期内公司主营产品煤炭、电解铝、铝箔产销量同比增加，价格同比上涨，公司盈利能力大幅增强。</t>
    <phoneticPr fontId="1" type="noConversion"/>
  </si>
  <si>
    <t>12.12亿</t>
  </si>
  <si>
    <t>35.78亿</t>
  </si>
  <si>
    <t>444.49亿</t>
  </si>
  <si>
    <t>302.26亿</t>
  </si>
  <si>
    <t>兴业银锡</t>
  </si>
  <si>
    <t>4.99亿</t>
  </si>
  <si>
    <t>9.16亿</t>
  </si>
  <si>
    <t>1.33亿</t>
  </si>
  <si>
    <t>18.79亿</t>
  </si>
  <si>
    <t>1.69亿</t>
  </si>
  <si>
    <t>5.44亿</t>
  </si>
  <si>
    <t>5.56亿</t>
  </si>
  <si>
    <t>2.51亿</t>
  </si>
  <si>
    <t>17.74亿</t>
  </si>
  <si>
    <t>1.45亿</t>
  </si>
  <si>
    <t>3.91亿</t>
  </si>
  <si>
    <t>2-1</t>
  </si>
  <si>
    <t>1.78亿</t>
  </si>
  <si>
    <t>25.91亿</t>
  </si>
  <si>
    <t>66.76亿</t>
  </si>
  <si>
    <t>3.03亿</t>
  </si>
  <si>
    <t>4.65亿</t>
  </si>
  <si>
    <t>10派0.7元(含税)</t>
  </si>
  <si>
    <t>3-1</t>
  </si>
  <si>
    <t>11.58亿</t>
  </si>
  <si>
    <t>10派0.5元(含税)</t>
  </si>
  <si>
    <t>1-0</t>
  </si>
  <si>
    <t>32.82亿</t>
  </si>
  <si>
    <t>15.47亿</t>
  </si>
  <si>
    <t>2.04亿</t>
  </si>
  <si>
    <t>11.59亿</t>
  </si>
  <si>
    <t>-2-0</t>
  </si>
  <si>
    <t>39.56亿</t>
  </si>
  <si>
    <t>8.37亿</t>
  </si>
  <si>
    <t>3.18亿</t>
  </si>
  <si>
    <t>5.60亿</t>
  </si>
  <si>
    <t>3-0</t>
  </si>
  <si>
    <t>186.57亿</t>
  </si>
  <si>
    <t>4.34亿</t>
  </si>
  <si>
    <t>73.72亿</t>
  </si>
  <si>
    <t>12.82亿</t>
  </si>
  <si>
    <t>484.63亿</t>
  </si>
  <si>
    <t>417.51亿</t>
  </si>
  <si>
    <t>33.33亿</t>
  </si>
  <si>
    <t>15.15亿</t>
  </si>
  <si>
    <t>1349.15亿</t>
  </si>
  <si>
    <t>18.09亿</t>
  </si>
  <si>
    <t>59.05亿</t>
  </si>
  <si>
    <t>2.99亿</t>
  </si>
  <si>
    <t>427.04亿</t>
  </si>
  <si>
    <t>5.08亿</t>
  </si>
  <si>
    <t>344.93亿</t>
  </si>
  <si>
    <t>32.37亿</t>
  </si>
  <si>
    <t>11.50亿</t>
  </si>
  <si>
    <t>19.69亿</t>
  </si>
  <si>
    <t>-2.36亿</t>
  </si>
  <si>
    <t>11.49亿</t>
  </si>
  <si>
    <t>67.85亿</t>
  </si>
  <si>
    <t>-3.75亿</t>
  </si>
  <si>
    <t>27.91亿</t>
  </si>
  <si>
    <t>50.44亿</t>
  </si>
  <si>
    <t>-1-0</t>
  </si>
  <si>
    <t>405.96亿</t>
  </si>
  <si>
    <t>-2-1</t>
  </si>
  <si>
    <t>12.08亿</t>
  </si>
  <si>
    <t>4.20亿</t>
  </si>
  <si>
    <t>23.55亿</t>
  </si>
  <si>
    <t>633.10亿</t>
  </si>
  <si>
    <t>464.10亿</t>
  </si>
  <si>
    <t>20.07亿</t>
  </si>
  <si>
    <t>2284.27万</t>
  </si>
  <si>
    <t>-7752.09万</t>
  </si>
  <si>
    <t>4.70亿</t>
  </si>
  <si>
    <t>2-0</t>
  </si>
  <si>
    <t>利源股份</t>
  </si>
  <si>
    <t>3.74亿</t>
  </si>
  <si>
    <t>-4.06亿</t>
  </si>
  <si>
    <t>622.59万</t>
  </si>
  <si>
    <t>330.08亿</t>
  </si>
  <si>
    <t>26.50亿</t>
  </si>
  <si>
    <t>67.29亿</t>
  </si>
  <si>
    <t>6.76亿</t>
  </si>
  <si>
    <t>126.10万</t>
  </si>
  <si>
    <t>3.24亿</t>
  </si>
  <si>
    <t>4992.10万</t>
  </si>
  <si>
    <t>18.48亿</t>
  </si>
  <si>
    <t>3801.05万</t>
  </si>
  <si>
    <t>3.59亿</t>
  </si>
  <si>
    <t>-1.11亿</t>
  </si>
  <si>
    <t>54.13亿</t>
  </si>
  <si>
    <t>110.66亿</t>
  </si>
  <si>
    <t>42.21亿</t>
  </si>
  <si>
    <t>13.01亿</t>
  </si>
  <si>
    <t>1000.00万</t>
  </si>
  <si>
    <t>5.61亿</t>
  </si>
  <si>
    <t>30.84亿</t>
  </si>
  <si>
    <t>-3-1</t>
  </si>
  <si>
    <t>58.34亿</t>
  </si>
  <si>
    <t>42.81亿</t>
  </si>
  <si>
    <t>9.69亿</t>
  </si>
  <si>
    <t>4.98亿</t>
  </si>
  <si>
    <t>39.44亿</t>
  </si>
  <si>
    <t>21.27亿</t>
  </si>
  <si>
    <t>19.73亿</t>
  </si>
  <si>
    <t>4.07亿</t>
  </si>
  <si>
    <t>7.46亿</t>
  </si>
  <si>
    <t>3.48亿</t>
  </si>
  <si>
    <t>3.36亿</t>
  </si>
  <si>
    <t>创新新材</t>
  </si>
  <si>
    <t>693.19亿</t>
  </si>
  <si>
    <t>45.17亿</t>
  </si>
  <si>
    <t>594.29亿</t>
  </si>
  <si>
    <t>22.57亿</t>
  </si>
  <si>
    <t>4799.38亿</t>
  </si>
  <si>
    <t>59.94亿</t>
  </si>
  <si>
    <t>1-1</t>
  </si>
  <si>
    <t>83.52亿</t>
  </si>
  <si>
    <t>-6.23亿</t>
  </si>
  <si>
    <t>219.00亿</t>
  </si>
  <si>
    <t>271.12亿</t>
  </si>
  <si>
    <t>4.25亿</t>
  </si>
  <si>
    <t>18.00亿</t>
  </si>
  <si>
    <t>5.18亿</t>
  </si>
  <si>
    <t>175.17亿</t>
  </si>
  <si>
    <t>10.50亿</t>
  </si>
  <si>
    <t>152.16亿</t>
  </si>
  <si>
    <t>-805.87万</t>
  </si>
  <si>
    <t>77.35亿</t>
  </si>
  <si>
    <t>15.48亿</t>
  </si>
  <si>
    <t>8.85亿</t>
  </si>
  <si>
    <t>8.22亿</t>
  </si>
  <si>
    <t>7.00亿</t>
  </si>
  <si>
    <t>34.46亿</t>
  </si>
  <si>
    <t>385.00亿</t>
  </si>
  <si>
    <t>878.35亿</t>
  </si>
  <si>
    <t>3330.92万</t>
  </si>
  <si>
    <t>109.74亿</t>
  </si>
  <si>
    <t>5.99亿</t>
  </si>
  <si>
    <t>51.36亿</t>
  </si>
  <si>
    <t>76.60亿</t>
  </si>
  <si>
    <t>3.81亿</t>
  </si>
  <si>
    <t>4.11亿</t>
  </si>
  <si>
    <t>2.90亿</t>
  </si>
  <si>
    <t>2909.88亿</t>
  </si>
  <si>
    <t>41.92亿</t>
  </si>
  <si>
    <t>2988.85亿</t>
  </si>
  <si>
    <t>57.59亿</t>
  </si>
  <si>
    <t>34.17亿</t>
  </si>
  <si>
    <t>1011.90亿</t>
  </si>
  <si>
    <t>277.81亿</t>
  </si>
  <si>
    <t>15.99亿</t>
  </si>
  <si>
    <t>85.45亿</t>
  </si>
  <si>
    <t>6.66亿</t>
  </si>
  <si>
    <t>23.92亿</t>
  </si>
  <si>
    <t>4.13亿</t>
  </si>
  <si>
    <t>2703.29亿</t>
  </si>
  <si>
    <t>200.42亿</t>
  </si>
  <si>
    <t>12.84亿</t>
  </si>
  <si>
    <t>10.94亿</t>
  </si>
  <si>
    <t>4.76亿</t>
  </si>
  <si>
    <t>3.63亿</t>
  </si>
  <si>
    <t>12.39亿</t>
  </si>
  <si>
    <t>8.91亿</t>
  </si>
  <si>
    <t>71.29亿</t>
  </si>
  <si>
    <t>216.05亿</t>
  </si>
  <si>
    <t>13.82亿</t>
  </si>
  <si>
    <t>81.26亿</t>
  </si>
  <si>
    <t>8.36亿</t>
  </si>
  <si>
    <t>10.33亿</t>
  </si>
  <si>
    <t>8786.66万</t>
  </si>
  <si>
    <t>10.76亿</t>
  </si>
  <si>
    <t>10派1.3元(含税)</t>
  </si>
  <si>
    <t>53.55亿</t>
  </si>
  <si>
    <t>18.36亿</t>
  </si>
  <si>
    <t>8.84亿</t>
  </si>
  <si>
    <t>13.60亿</t>
  </si>
  <si>
    <t>35.34亿</t>
  </si>
  <si>
    <t>9419.42万</t>
  </si>
  <si>
    <t>1.75亿</t>
  </si>
  <si>
    <r>
      <t>0.公司铝压延加工产品种类齐全， 按功能及用途可分为</t>
    </r>
    <r>
      <rPr>
        <sz val="9"/>
        <color rgb="FFFF0000"/>
        <rFont val="宋体"/>
        <family val="3"/>
        <charset val="134"/>
        <scheme val="minor"/>
      </rPr>
      <t>包装用铝箔、家电印刷用铝箔、基建用铝材、新能源材料</t>
    </r>
    <r>
      <rPr>
        <sz val="9"/>
        <color theme="1"/>
        <rFont val="宋体"/>
        <family val="2"/>
        <charset val="134"/>
        <scheme val="minor"/>
      </rPr>
      <t>用铝箔四大类；</t>
    </r>
    <phoneticPr fontId="1" type="noConversion"/>
  </si>
  <si>
    <r>
      <t>1.预计年报业绩：</t>
    </r>
    <r>
      <rPr>
        <sz val="9"/>
        <color rgb="FFFF0000"/>
        <rFont val="宋体"/>
        <family val="3"/>
        <charset val="134"/>
        <scheme val="minor"/>
      </rPr>
      <t>净利润5.000亿元至6.000亿元，下降幅度为-63.81%至-56.57%</t>
    </r>
    <r>
      <rPr>
        <sz val="9"/>
        <color theme="1"/>
        <rFont val="宋体"/>
        <family val="2"/>
        <charset val="134"/>
        <scheme val="minor"/>
      </rPr>
      <t xml:space="preserve"> 原因：a.报告期内，受到海外加息等因素的影响，传统类包装铝箔下游市场需求下降，海外客户去库存压力增加，导致公司该等产品销售价格及销售量均有所下滑；b.报告期内，动力电池铝箔下游需求增速放缓，为保持市场领先地位，公司采取了更加灵活的定价策略，导致该等产品毛利同比下降，从而影响了公司整体盈利水平。</t>
    </r>
    <phoneticPr fontId="1" type="noConversion"/>
  </si>
  <si>
    <t>3526.19万</t>
  </si>
  <si>
    <t>259.09亿</t>
  </si>
  <si>
    <t>171.32亿</t>
  </si>
  <si>
    <t>180.14亿</t>
  </si>
  <si>
    <t>655.96亿</t>
  </si>
  <si>
    <t>176.24亿</t>
  </si>
  <si>
    <t>171.77亿</t>
  </si>
  <si>
    <t>3480.78万</t>
  </si>
  <si>
    <t>1.56亿</t>
  </si>
  <si>
    <t>13705912亿</t>
  </si>
  <si>
    <t>311.10万</t>
  </si>
  <si>
    <t>234655430亿</t>
  </si>
  <si>
    <t>53.69亿</t>
  </si>
  <si>
    <t>766946810亿</t>
  </si>
  <si>
    <t>1426.60万</t>
  </si>
  <si>
    <t>18656512000亿</t>
  </si>
  <si>
    <t>21.96亿</t>
  </si>
  <si>
    <t>54.95亿</t>
  </si>
  <si>
    <t>1140.45万</t>
  </si>
  <si>
    <t>24.63亿</t>
  </si>
  <si>
    <t>118.40亿</t>
  </si>
  <si>
    <t>74.95亿</t>
  </si>
  <si>
    <t>-3.33亿</t>
  </si>
  <si>
    <t>9.27亿</t>
  </si>
  <si>
    <t>553.39亿</t>
  </si>
  <si>
    <t>167.83亿</t>
  </si>
  <si>
    <t>3.20亿</t>
  </si>
  <si>
    <t>10派0.56元(含税)</t>
  </si>
  <si>
    <t>13.98亿</t>
  </si>
  <si>
    <t>3526.88万</t>
  </si>
  <si>
    <t>44.98亿</t>
  </si>
  <si>
    <t>68.04亿</t>
  </si>
  <si>
    <t>37.06亿</t>
  </si>
  <si>
    <t>3.37亿</t>
  </si>
  <si>
    <t>133.01万</t>
  </si>
  <si>
    <t>7110.53万</t>
  </si>
  <si>
    <t>-3027567亿</t>
  </si>
  <si>
    <t>1.77万</t>
  </si>
  <si>
    <t>228211650亿</t>
  </si>
  <si>
    <t>6.08亿</t>
  </si>
  <si>
    <t>15965556亿</t>
  </si>
  <si>
    <t>1215580550亿</t>
  </si>
  <si>
    <t>6.02亿</t>
  </si>
  <si>
    <t>29.75亿</t>
  </si>
  <si>
    <t>1.36亿</t>
  </si>
  <si>
    <t>-2.30亿</t>
  </si>
  <si>
    <t>3.72亿</t>
  </si>
  <si>
    <t>4.59亿</t>
  </si>
  <si>
    <t>1399.02万</t>
  </si>
  <si>
    <t>10派0.65元(含税)</t>
  </si>
  <si>
    <t>2525.12万</t>
  </si>
  <si>
    <t>26.41亿</t>
  </si>
  <si>
    <t>38.40亿</t>
  </si>
  <si>
    <t>2.63亿</t>
  </si>
  <si>
    <t>22.54亿</t>
  </si>
  <si>
    <t>3.02亿</t>
  </si>
  <si>
    <t>29.00万</t>
  </si>
  <si>
    <t>5046.41万</t>
  </si>
  <si>
    <t>18574866亿</t>
  </si>
  <si>
    <t>1.15万</t>
  </si>
  <si>
    <t>-7100828亿</t>
  </si>
  <si>
    <t>31126788亿</t>
  </si>
  <si>
    <t>1079.30万</t>
  </si>
  <si>
    <t>1815408500亿</t>
  </si>
  <si>
    <t>1400.00万</t>
  </si>
  <si>
    <t>3.94亿</t>
  </si>
  <si>
    <t>-1132.52万</t>
  </si>
  <si>
    <t>6065.55万</t>
  </si>
  <si>
    <t>-4172.20万</t>
  </si>
  <si>
    <t>1626.12万</t>
  </si>
  <si>
    <t>10派0.751395元(含税)</t>
  </si>
  <si>
    <t>6459.23万</t>
  </si>
  <si>
    <t>5.26亿</t>
  </si>
  <si>
    <t>2141.43万</t>
  </si>
  <si>
    <t>20.97亿</t>
  </si>
  <si>
    <t>59.50亿</t>
  </si>
  <si>
    <t>13.24亿</t>
  </si>
  <si>
    <t>61.87亿</t>
  </si>
  <si>
    <t>5.93亿</t>
  </si>
  <si>
    <t>76.27万</t>
  </si>
  <si>
    <t>4854.85万</t>
  </si>
  <si>
    <t>70142428亿</t>
  </si>
  <si>
    <t>8.48万</t>
  </si>
  <si>
    <t>147586730亿</t>
  </si>
  <si>
    <t>16.12亿</t>
  </si>
  <si>
    <t>69345060亿</t>
  </si>
  <si>
    <t>2643099400亿</t>
  </si>
  <si>
    <t>3894.25万</t>
  </si>
  <si>
    <t>4.89亿</t>
  </si>
  <si>
    <t>3.22亿</t>
  </si>
  <si>
    <t>19.33亿</t>
  </si>
  <si>
    <t>-1588.23万</t>
  </si>
  <si>
    <t>-1.13亿</t>
  </si>
  <si>
    <t>2358.96万</t>
  </si>
  <si>
    <t>10派1.4元(含税)</t>
  </si>
  <si>
    <t>10.66亿</t>
  </si>
  <si>
    <t>387.48亿</t>
  </si>
  <si>
    <t>410.25亿</t>
  </si>
  <si>
    <t>327.20亿</t>
  </si>
  <si>
    <t>1374.54亿</t>
  </si>
  <si>
    <t>26.99亿</t>
  </si>
  <si>
    <t>309.16亿</t>
  </si>
  <si>
    <t>299.97亿</t>
  </si>
  <si>
    <t>2344.04万</t>
  </si>
  <si>
    <t>3.77亿</t>
  </si>
  <si>
    <t>32105634亿</t>
  </si>
  <si>
    <t>306.40万</t>
  </si>
  <si>
    <t>1099956860亿</t>
  </si>
  <si>
    <t>116.92亿</t>
  </si>
  <si>
    <t>2060125500亿</t>
  </si>
  <si>
    <t>8.89亿</t>
  </si>
  <si>
    <t>45035733000亿</t>
  </si>
  <si>
    <t>38.57亿</t>
  </si>
  <si>
    <t>86.67亿</t>
  </si>
  <si>
    <t>12.76亿</t>
  </si>
  <si>
    <t>85.48亿</t>
  </si>
  <si>
    <t>272.59亿</t>
  </si>
  <si>
    <t>97.20亿</t>
  </si>
  <si>
    <t>-8.82亿</t>
  </si>
  <si>
    <t>-3408.02万</t>
  </si>
  <si>
    <t>1218.48亿</t>
  </si>
  <si>
    <t>41.84亿</t>
  </si>
  <si>
    <t>343.37亿</t>
  </si>
  <si>
    <t>10派0.792126元(含税)</t>
  </si>
  <si>
    <t>6.22亿</t>
  </si>
  <si>
    <t>48.49亿</t>
  </si>
  <si>
    <t>380.51万</t>
  </si>
  <si>
    <t>54.71亿</t>
  </si>
  <si>
    <t>33.05亿</t>
  </si>
  <si>
    <t>11.96亿</t>
  </si>
  <si>
    <t>6271.44万</t>
  </si>
  <si>
    <t>198.32万</t>
  </si>
  <si>
    <t>6476.77万</t>
  </si>
  <si>
    <t>1729092亿</t>
  </si>
  <si>
    <t>1857582亿</t>
  </si>
  <si>
    <t>1.42亿</t>
  </si>
  <si>
    <t>21266782亿</t>
  </si>
  <si>
    <t>396413130亿</t>
  </si>
  <si>
    <t>25.35亿</t>
  </si>
  <si>
    <t>20.00万</t>
  </si>
  <si>
    <t>10.42亿</t>
  </si>
  <si>
    <t>31.72亿</t>
  </si>
  <si>
    <t>4115.19万</t>
  </si>
  <si>
    <t>-6479.64万</t>
  </si>
  <si>
    <t>-4996.80万</t>
  </si>
  <si>
    <t>1732.74万</t>
  </si>
  <si>
    <t>10派0.18元(含税)</t>
  </si>
  <si>
    <t>2478.80万</t>
  </si>
  <si>
    <t>6686.63万</t>
  </si>
  <si>
    <t>103.85亿</t>
  </si>
  <si>
    <t>51.54亿</t>
  </si>
  <si>
    <t>55.11亿</t>
  </si>
  <si>
    <t>93.23亿</t>
  </si>
  <si>
    <t>52.06亿</t>
  </si>
  <si>
    <t>1390.28万</t>
  </si>
  <si>
    <t>3752.98万</t>
  </si>
  <si>
    <t>8351250亿</t>
  </si>
  <si>
    <t>24.97万</t>
  </si>
  <si>
    <t>223921170亿</t>
  </si>
  <si>
    <t>14.61亿</t>
  </si>
  <si>
    <t>14659506亿</t>
  </si>
  <si>
    <t>7494591800亿</t>
  </si>
  <si>
    <t>23.69亿</t>
  </si>
  <si>
    <t>15.73亿</t>
  </si>
  <si>
    <t>7119.25万</t>
  </si>
  <si>
    <t>18.89亿</t>
  </si>
  <si>
    <t>42.63亿</t>
  </si>
  <si>
    <t>64.04亿</t>
  </si>
  <si>
    <t>4.19亿</t>
  </si>
  <si>
    <t>-2.64亿</t>
  </si>
  <si>
    <t>106.77亿</t>
  </si>
  <si>
    <t>5.55亿</t>
  </si>
  <si>
    <t>25.90亿</t>
  </si>
  <si>
    <t>1.92亿</t>
  </si>
  <si>
    <t>10派1元(含税)</t>
  </si>
  <si>
    <t>2.55亿</t>
  </si>
  <si>
    <t>21.66亿</t>
  </si>
  <si>
    <t>5-1</t>
  </si>
  <si>
    <t>935.78万</t>
  </si>
  <si>
    <t>52.67亿</t>
  </si>
  <si>
    <t>35.82亿</t>
  </si>
  <si>
    <t>32.83亿</t>
  </si>
  <si>
    <t>156.67亿</t>
  </si>
  <si>
    <t>8910.68万</t>
  </si>
  <si>
    <t>33.01亿</t>
  </si>
  <si>
    <t>31.85亿</t>
  </si>
  <si>
    <t>128.36万</t>
  </si>
  <si>
    <t>4992.21万</t>
  </si>
  <si>
    <t>286571亿</t>
  </si>
  <si>
    <t>662.47万</t>
  </si>
  <si>
    <t>-7594642亿</t>
  </si>
  <si>
    <t>19.54亿</t>
  </si>
  <si>
    <t>121125563亿</t>
  </si>
  <si>
    <t>6177056300亿</t>
  </si>
  <si>
    <t>22.94亿</t>
  </si>
  <si>
    <t>15.56亿</t>
  </si>
  <si>
    <t>51.93亿</t>
  </si>
  <si>
    <t>-2121.06万</t>
  </si>
  <si>
    <t>-1.34亿</t>
  </si>
  <si>
    <t>6585.65万</t>
  </si>
  <si>
    <t>46.25亿</t>
  </si>
  <si>
    <t>2248.80万</t>
  </si>
  <si>
    <t>4832.14万</t>
  </si>
  <si>
    <t>5.34亿</t>
  </si>
  <si>
    <t>4006.62万</t>
  </si>
  <si>
    <t>108.75亿</t>
  </si>
  <si>
    <t>89.71亿</t>
  </si>
  <si>
    <t>93.61亿</t>
  </si>
  <si>
    <t>20.50亿</t>
  </si>
  <si>
    <t>18.58亿</t>
  </si>
  <si>
    <t>1125.13万</t>
  </si>
  <si>
    <t>7918085亿</t>
  </si>
  <si>
    <t>134.48万</t>
  </si>
  <si>
    <t>277327250亿</t>
  </si>
  <si>
    <t>1237762370亿</t>
  </si>
  <si>
    <t>9288969400亿</t>
  </si>
  <si>
    <t>21.89亿</t>
  </si>
  <si>
    <t>9443.95万</t>
  </si>
  <si>
    <t>14.57亿</t>
  </si>
  <si>
    <t>74.64亿</t>
  </si>
  <si>
    <t>20.51亿</t>
  </si>
  <si>
    <t>3.39亿</t>
  </si>
  <si>
    <t>-1.23亿</t>
  </si>
  <si>
    <t>-4.55亿</t>
  </si>
  <si>
    <t>18.69亿</t>
  </si>
  <si>
    <t>7620.23万</t>
  </si>
  <si>
    <t>12.14亿</t>
  </si>
  <si>
    <t>0359000000</t>
  </si>
  <si>
    <t>01077000000</t>
  </si>
  <si>
    <t>02154000000</t>
  </si>
  <si>
    <t>03590000000</t>
  </si>
  <si>
    <t>07180000000</t>
  </si>
  <si>
    <t>2561.90万</t>
  </si>
  <si>
    <t>100.63亿</t>
  </si>
  <si>
    <t>306.07亿</t>
  </si>
  <si>
    <t>113.58亿</t>
  </si>
  <si>
    <t>426.69亿</t>
  </si>
  <si>
    <t>99.86亿</t>
  </si>
  <si>
    <t>97.29亿</t>
  </si>
  <si>
    <t>856.28万</t>
  </si>
  <si>
    <t>-193480亿</t>
  </si>
  <si>
    <t>39.92万</t>
  </si>
  <si>
    <t>1034965490亿</t>
  </si>
  <si>
    <t>59.75亿</t>
  </si>
  <si>
    <t>548492400亿</t>
  </si>
  <si>
    <t>11347988800亿</t>
  </si>
  <si>
    <t>9020.00万</t>
  </si>
  <si>
    <t>15.75亿</t>
  </si>
  <si>
    <t>19.64亿</t>
  </si>
  <si>
    <t>54.05亿</t>
  </si>
  <si>
    <t>37.65亿</t>
  </si>
  <si>
    <t>9.30亿</t>
  </si>
  <si>
    <t>45.68亿</t>
  </si>
  <si>
    <t>94.43亿</t>
  </si>
  <si>
    <t>10派2.3元(含税)</t>
  </si>
  <si>
    <t>1.08亿</t>
  </si>
  <si>
    <t>12.35亿</t>
  </si>
  <si>
    <t>2964.26万</t>
  </si>
  <si>
    <t>222.24亿</t>
  </si>
  <si>
    <t>174.54亿</t>
  </si>
  <si>
    <t>315.39亿</t>
  </si>
  <si>
    <t>1469.85亿</t>
  </si>
  <si>
    <t>15.79亿</t>
  </si>
  <si>
    <t>308.07亿</t>
  </si>
  <si>
    <t>302.33亿</t>
  </si>
  <si>
    <t>4690.22万</t>
  </si>
  <si>
    <t>2.34亿</t>
  </si>
  <si>
    <t>45366113亿</t>
  </si>
  <si>
    <t>46.13万</t>
  </si>
  <si>
    <t>455332740亿</t>
  </si>
  <si>
    <t>60.99亿</t>
  </si>
  <si>
    <t>809126220亿</t>
  </si>
  <si>
    <t>31026036000亿</t>
  </si>
  <si>
    <t>117.70亿</t>
  </si>
  <si>
    <t>45.05亿</t>
  </si>
  <si>
    <t>101.64万</t>
  </si>
  <si>
    <t>220.39亿</t>
  </si>
  <si>
    <t>85.79亿</t>
  </si>
  <si>
    <t>-61.50亿</t>
  </si>
  <si>
    <t>-5.78亿</t>
  </si>
  <si>
    <t>63.16亿</t>
  </si>
  <si>
    <t>300.63亿</t>
  </si>
  <si>
    <t>10派3元(含税)</t>
  </si>
  <si>
    <t>8.97亿</t>
  </si>
  <si>
    <t>2037.81万</t>
  </si>
  <si>
    <t>335.26亿</t>
  </si>
  <si>
    <t>251.43亿</t>
  </si>
  <si>
    <t>82.23亿</t>
  </si>
  <si>
    <t>376.25亿</t>
  </si>
  <si>
    <t>69.26亿</t>
  </si>
  <si>
    <t>63.07亿</t>
  </si>
  <si>
    <t>1.99亿</t>
  </si>
  <si>
    <t>31514023亿</t>
  </si>
  <si>
    <t>539.52万</t>
  </si>
  <si>
    <t>1013055140亿</t>
  </si>
  <si>
    <t>144.24亿</t>
  </si>
  <si>
    <t>534485580亿</t>
  </si>
  <si>
    <t>218.50万</t>
  </si>
  <si>
    <t>20573030000亿</t>
  </si>
  <si>
    <t>18.64亿</t>
  </si>
  <si>
    <t>143.42亿</t>
  </si>
  <si>
    <t>25.82亿</t>
  </si>
  <si>
    <t>32.15亿</t>
  </si>
  <si>
    <t>2.00万</t>
  </si>
  <si>
    <t>265.56亿</t>
  </si>
  <si>
    <t>62.30亿</t>
  </si>
  <si>
    <t>17.67亿</t>
  </si>
  <si>
    <t>-5675.98万</t>
  </si>
  <si>
    <t>75.78亿</t>
  </si>
  <si>
    <t>95.15亿</t>
  </si>
  <si>
    <t>15.46亿</t>
  </si>
  <si>
    <t>10派8元(含税)</t>
  </si>
  <si>
    <t>8917.89万</t>
  </si>
  <si>
    <t>5.86亿</t>
  </si>
  <si>
    <t>838.04万</t>
  </si>
  <si>
    <t>13.84亿</t>
  </si>
  <si>
    <t>10.01亿</t>
  </si>
  <si>
    <t>3.99亿</t>
  </si>
  <si>
    <t>15.38亿</t>
  </si>
  <si>
    <t>-2.09亿</t>
  </si>
  <si>
    <t>128.21万</t>
  </si>
  <si>
    <t>1721.09万</t>
  </si>
  <si>
    <t>-3359421亿</t>
  </si>
  <si>
    <t>-31082921亿</t>
  </si>
  <si>
    <t>14274563亿</t>
  </si>
  <si>
    <t>397134550亿</t>
  </si>
  <si>
    <t>7273.60万</t>
  </si>
  <si>
    <t>10.40亿</t>
  </si>
  <si>
    <t>6105.50万</t>
  </si>
  <si>
    <t>-8309.54万</t>
  </si>
  <si>
    <t>-2714.75万</t>
  </si>
  <si>
    <t>946.32万</t>
  </si>
  <si>
    <t>3.49亿</t>
  </si>
  <si>
    <t>-692.09万</t>
  </si>
  <si>
    <t>3781.22万</t>
  </si>
  <si>
    <t>-6-0</t>
  </si>
  <si>
    <t>818.36万</t>
  </si>
  <si>
    <t>42.59亿</t>
  </si>
  <si>
    <t>35.99亿</t>
  </si>
  <si>
    <t>68.74亿</t>
  </si>
  <si>
    <t>1510.70万</t>
  </si>
  <si>
    <t>16.25亿</t>
  </si>
  <si>
    <t>14.45亿</t>
  </si>
  <si>
    <t>2880.18万</t>
  </si>
  <si>
    <t>4604.06万</t>
  </si>
  <si>
    <t>15.78万</t>
  </si>
  <si>
    <t>-27518665亿</t>
  </si>
  <si>
    <t>6.48亿</t>
  </si>
  <si>
    <t>1539296900亿</t>
  </si>
  <si>
    <t>6432.46万</t>
  </si>
  <si>
    <t>5222841700亿</t>
  </si>
  <si>
    <t>29.80亿</t>
  </si>
  <si>
    <t>13.80亿</t>
  </si>
  <si>
    <t>2050.32万</t>
  </si>
  <si>
    <t>-1678.65万</t>
  </si>
  <si>
    <t>8185.42万</t>
  </si>
  <si>
    <t>281.21万</t>
  </si>
  <si>
    <t>4464.63万</t>
  </si>
  <si>
    <t>3.96亿</t>
  </si>
  <si>
    <t>751.12万</t>
  </si>
  <si>
    <t>97.12亿</t>
  </si>
  <si>
    <t>71.30亿</t>
  </si>
  <si>
    <t>107.96亿</t>
  </si>
  <si>
    <t>463.11亿</t>
  </si>
  <si>
    <t>5.29亿</t>
  </si>
  <si>
    <t>108.14亿</t>
  </si>
  <si>
    <t>104.16亿</t>
  </si>
  <si>
    <t>2973.64万</t>
  </si>
  <si>
    <t>7879.10万</t>
  </si>
  <si>
    <t>18353513亿</t>
  </si>
  <si>
    <t>89.20万</t>
  </si>
  <si>
    <t>74094446亿</t>
  </si>
  <si>
    <t>3746002400亿</t>
  </si>
  <si>
    <t>9370.99万</t>
  </si>
  <si>
    <t>12147362700亿</t>
  </si>
  <si>
    <t>4.32亿</t>
  </si>
  <si>
    <t>62.05亿</t>
  </si>
  <si>
    <t>10.34亿</t>
  </si>
  <si>
    <t>82.94亿</t>
  </si>
  <si>
    <t>-11.79亿</t>
  </si>
  <si>
    <t>-9084.60万</t>
  </si>
  <si>
    <t>7.56亿</t>
  </si>
  <si>
    <t>95.80亿</t>
  </si>
  <si>
    <t>9469.17万</t>
  </si>
  <si>
    <t>754.02万</t>
  </si>
  <si>
    <t>235.66亿</t>
  </si>
  <si>
    <t>170.27亿</t>
  </si>
  <si>
    <t>218.17亿</t>
  </si>
  <si>
    <t>755.89亿</t>
  </si>
  <si>
    <t>11.18亿</t>
  </si>
  <si>
    <t>215.63亿</t>
  </si>
  <si>
    <t>208.95亿</t>
  </si>
  <si>
    <t>4684.61万</t>
  </si>
  <si>
    <t>2.68亿</t>
  </si>
  <si>
    <t>-27097802亿</t>
  </si>
  <si>
    <t>885.78万</t>
  </si>
  <si>
    <t>292004270亿</t>
  </si>
  <si>
    <t>67.55亿</t>
  </si>
  <si>
    <t>6561986600亿</t>
  </si>
  <si>
    <t>3.88亿</t>
  </si>
  <si>
    <t>25818667000亿</t>
  </si>
  <si>
    <t>38.98亿</t>
  </si>
  <si>
    <t>113.41亿</t>
  </si>
  <si>
    <t>12.75亿</t>
  </si>
  <si>
    <t>25.04亿</t>
  </si>
  <si>
    <t>185.16亿</t>
  </si>
  <si>
    <t>52.01亿</t>
  </si>
  <si>
    <t>-22.47亿</t>
  </si>
  <si>
    <t>-11.59亿</t>
  </si>
  <si>
    <t>738.65亿</t>
  </si>
  <si>
    <t>194.42亿</t>
  </si>
  <si>
    <t>3.33亿</t>
  </si>
  <si>
    <t>10派1.7元(含税)</t>
  </si>
  <si>
    <t>4456.28万</t>
  </si>
  <si>
    <t>355.56万</t>
  </si>
  <si>
    <t>7.13亿</t>
  </si>
  <si>
    <t>13.41亿</t>
  </si>
  <si>
    <t>7.26亿</t>
  </si>
  <si>
    <t>27.12亿</t>
  </si>
  <si>
    <t>2397.45万</t>
  </si>
  <si>
    <t>7.18亿</t>
  </si>
  <si>
    <t>614.93万</t>
  </si>
  <si>
    <t>109282亿</t>
  </si>
  <si>
    <t>2.57万</t>
  </si>
  <si>
    <t>5650148亿</t>
  </si>
  <si>
    <t>2.18亿</t>
  </si>
  <si>
    <t>821424480亿</t>
  </si>
  <si>
    <t>3920.80万</t>
  </si>
  <si>
    <t>1558048700亿</t>
  </si>
  <si>
    <t>1889.29万</t>
  </si>
  <si>
    <t>3695.10万</t>
  </si>
  <si>
    <t>5.77亿</t>
  </si>
  <si>
    <t>920.00万</t>
  </si>
  <si>
    <t>-1.55亿</t>
  </si>
  <si>
    <t>-920.10万</t>
  </si>
  <si>
    <t>7147.85万</t>
  </si>
  <si>
    <t>26.47亿</t>
  </si>
  <si>
    <t>2948.78万</t>
  </si>
  <si>
    <t>700.65万</t>
  </si>
  <si>
    <t>1923.87万</t>
  </si>
  <si>
    <t>023974500</t>
  </si>
  <si>
    <t>071923500</t>
  </si>
  <si>
    <t>0143847000</t>
  </si>
  <si>
    <t>0239745000</t>
  </si>
  <si>
    <t>0479490000</t>
  </si>
  <si>
    <t>1968.73万</t>
  </si>
  <si>
    <t>9.53亿</t>
  </si>
  <si>
    <t>8.10亿</t>
  </si>
  <si>
    <t>26.87亿</t>
  </si>
  <si>
    <t>-1.45亿</t>
  </si>
  <si>
    <t>8.27亿</t>
  </si>
  <si>
    <t>333.88万</t>
  </si>
  <si>
    <t>1013.79万</t>
  </si>
  <si>
    <t>4397203亿</t>
  </si>
  <si>
    <t>10.02万</t>
  </si>
  <si>
    <t>-23658660亿</t>
  </si>
  <si>
    <t>152030290亿</t>
  </si>
  <si>
    <t>1.83亿</t>
  </si>
  <si>
    <t>1901526100亿</t>
  </si>
  <si>
    <t>2.36亿</t>
  </si>
  <si>
    <t>3.76亿</t>
  </si>
  <si>
    <t>9700.00万</t>
  </si>
  <si>
    <t>-2141.35万</t>
  </si>
  <si>
    <t>333.02万</t>
  </si>
  <si>
    <t>8507.15万</t>
  </si>
  <si>
    <t>6.28亿</t>
  </si>
  <si>
    <t>-3573.57万</t>
  </si>
  <si>
    <t>8419.98万</t>
  </si>
  <si>
    <t>3609.43万</t>
  </si>
  <si>
    <t>10.36亿</t>
  </si>
  <si>
    <t>9580.87万</t>
  </si>
  <si>
    <t>4.77亿</t>
  </si>
  <si>
    <t>-1.81亿</t>
  </si>
  <si>
    <t>32.06万</t>
  </si>
  <si>
    <t>1179.52万</t>
  </si>
  <si>
    <t>240244亿</t>
  </si>
  <si>
    <t>-39976276亿</t>
  </si>
  <si>
    <t>2400.83万</t>
  </si>
  <si>
    <t>147968960亿</t>
  </si>
  <si>
    <t>1888.79万</t>
  </si>
  <si>
    <t>285749860亿</t>
  </si>
  <si>
    <t>4555.72万</t>
  </si>
  <si>
    <t>816.69万</t>
  </si>
  <si>
    <t>2134.49万</t>
  </si>
  <si>
    <t>6100.90万</t>
  </si>
  <si>
    <t>-8814.51万</t>
  </si>
  <si>
    <t>-105.60万</t>
  </si>
  <si>
    <t>-1226.43万</t>
  </si>
  <si>
    <t>-4154.40万</t>
  </si>
  <si>
    <t>2.40亿</t>
  </si>
  <si>
    <t>29.14亿</t>
  </si>
  <si>
    <t>-6-1</t>
  </si>
  <si>
    <t>3480.32万</t>
  </si>
  <si>
    <t>329.88亿</t>
  </si>
  <si>
    <t>248.07亿</t>
  </si>
  <si>
    <t>68.25亿</t>
  </si>
  <si>
    <t>289.75亿</t>
  </si>
  <si>
    <t>22.05亿</t>
  </si>
  <si>
    <t>59.85亿</t>
  </si>
  <si>
    <t>55.50亿</t>
  </si>
  <si>
    <t>465.06万</t>
  </si>
  <si>
    <t>9397.32万</t>
  </si>
  <si>
    <t>292.69万</t>
  </si>
  <si>
    <t>705635160亿</t>
  </si>
  <si>
    <t>79.49亿</t>
  </si>
  <si>
    <t>587962650亿</t>
  </si>
  <si>
    <t>6.90亿</t>
  </si>
  <si>
    <t>21156350000亿</t>
  </si>
  <si>
    <t>44.11亿</t>
  </si>
  <si>
    <t>86.70亿</t>
  </si>
  <si>
    <t>40.58亿</t>
  </si>
  <si>
    <t>19.83亿</t>
  </si>
  <si>
    <t>239.87亿</t>
  </si>
  <si>
    <t>65.76亿</t>
  </si>
  <si>
    <t>10.53亿</t>
  </si>
  <si>
    <t>-9.04亿</t>
  </si>
  <si>
    <t>-2.16亿</t>
  </si>
  <si>
    <t>69.44亿</t>
  </si>
  <si>
    <t>5.01亿</t>
  </si>
  <si>
    <t>20.32亿</t>
  </si>
  <si>
    <t>57.88亿</t>
  </si>
  <si>
    <t>16.99亿</t>
  </si>
  <si>
    <t>71.11亿</t>
  </si>
  <si>
    <t>15.95亿</t>
  </si>
  <si>
    <t>14.79亿</t>
  </si>
  <si>
    <t>1033.00万</t>
  </si>
  <si>
    <t>4016.87万</t>
  </si>
  <si>
    <t>5417485亿</t>
  </si>
  <si>
    <t>5.75万</t>
  </si>
  <si>
    <t>117062819亿</t>
  </si>
  <si>
    <t>1809580400亿</t>
  </si>
  <si>
    <t>5021366000亿</t>
  </si>
  <si>
    <t>2074.17万</t>
  </si>
  <si>
    <t>3.31亿</t>
  </si>
  <si>
    <t>7.87亿</t>
  </si>
  <si>
    <t>1500.00万</t>
  </si>
  <si>
    <t>-7080.14万</t>
  </si>
  <si>
    <t>621.90万</t>
  </si>
  <si>
    <t>14.90亿</t>
  </si>
  <si>
    <t>10派3.249994元(含税)</t>
  </si>
  <si>
    <t>3642.35万</t>
  </si>
  <si>
    <t>771.02万</t>
  </si>
  <si>
    <t>10.59亿</t>
  </si>
  <si>
    <t>15.55亿</t>
  </si>
  <si>
    <t>4.08亿</t>
  </si>
  <si>
    <t>28.24亿</t>
  </si>
  <si>
    <t>2686.29万</t>
  </si>
  <si>
    <t>445.02万</t>
  </si>
  <si>
    <t>1133.95万</t>
  </si>
  <si>
    <t>-29514亿</t>
  </si>
  <si>
    <t>6750303亿</t>
  </si>
  <si>
    <t>5.28亿</t>
  </si>
  <si>
    <t>470848030亿</t>
  </si>
  <si>
    <t>1877727900亿</t>
  </si>
  <si>
    <t>587.20万</t>
  </si>
  <si>
    <t>3900.00万</t>
  </si>
  <si>
    <t>8549.79万</t>
  </si>
  <si>
    <t>67.72万</t>
  </si>
  <si>
    <t>9.82亿</t>
  </si>
  <si>
    <t>2340.00万</t>
  </si>
  <si>
    <t>7622.68万</t>
  </si>
  <si>
    <t>-5280.76万</t>
  </si>
  <si>
    <t>-3048.87万</t>
  </si>
  <si>
    <t>967.13万</t>
  </si>
  <si>
    <t>10派0.4元(含税)</t>
  </si>
  <si>
    <t>4954.04万</t>
  </si>
  <si>
    <t>225.32万</t>
  </si>
  <si>
    <t>29.05亿</t>
  </si>
  <si>
    <t>442.43万</t>
  </si>
  <si>
    <t>3554.81万</t>
  </si>
  <si>
    <t>-1912669亿</t>
  </si>
  <si>
    <t>16381395亿</t>
  </si>
  <si>
    <t>667557330亿</t>
  </si>
  <si>
    <t>2413057700亿</t>
  </si>
  <si>
    <t>7896.77万</t>
  </si>
  <si>
    <t>-1.29亿</t>
  </si>
  <si>
    <t>29.99亿</t>
  </si>
  <si>
    <t>5.31亿</t>
  </si>
  <si>
    <t>2459.05万</t>
  </si>
  <si>
    <t>10派1.905641元(含税)</t>
  </si>
  <si>
    <t>810.12万</t>
  </si>
  <si>
    <t>6065.38万</t>
  </si>
  <si>
    <t>180.00万</t>
  </si>
  <si>
    <t>33.77亿</t>
  </si>
  <si>
    <t>14.11亿</t>
  </si>
  <si>
    <t>59.86亿</t>
  </si>
  <si>
    <t>13.57亿</t>
  </si>
  <si>
    <t>12.42亿</t>
  </si>
  <si>
    <t>2165.32万</t>
  </si>
  <si>
    <t>2244.50万</t>
  </si>
  <si>
    <t>-3037137亿</t>
  </si>
  <si>
    <t>97.96万</t>
  </si>
  <si>
    <t>58269860亿</t>
  </si>
  <si>
    <t>2.56亿</t>
  </si>
  <si>
    <t>1791614200亿</t>
  </si>
  <si>
    <t>3521506600亿</t>
  </si>
  <si>
    <t>4600.84万</t>
  </si>
  <si>
    <t>8099.60万</t>
  </si>
  <si>
    <t>1.57万</t>
  </si>
  <si>
    <t>22.39亿</t>
  </si>
  <si>
    <t>-6561.65万</t>
  </si>
  <si>
    <t>-5987.97万</t>
  </si>
  <si>
    <t>-2058.68万</t>
  </si>
  <si>
    <t>2115.05万</t>
  </si>
  <si>
    <t>905.46万</t>
  </si>
  <si>
    <t>6522.54万</t>
  </si>
  <si>
    <t>266.19万</t>
  </si>
  <si>
    <t>49.88亿</t>
  </si>
  <si>
    <t>32.76亿</t>
  </si>
  <si>
    <t>119.45亿</t>
  </si>
  <si>
    <t>29.54亿</t>
  </si>
  <si>
    <t>28.66亿</t>
  </si>
  <si>
    <t>585.91万</t>
  </si>
  <si>
    <t>2762.63万</t>
  </si>
  <si>
    <t>2507514亿</t>
  </si>
  <si>
    <t>256.96万</t>
  </si>
  <si>
    <t>44444656亿</t>
  </si>
  <si>
    <t>2501514000亿</t>
  </si>
  <si>
    <t>2.98亿</t>
  </si>
  <si>
    <t>6997760400亿</t>
  </si>
  <si>
    <t>33.71亿</t>
  </si>
  <si>
    <t>1.66亿</t>
  </si>
  <si>
    <t>9.07万</t>
  </si>
  <si>
    <t>42.22亿</t>
  </si>
  <si>
    <t>-1.85亿</t>
  </si>
  <si>
    <t>-1.70亿</t>
  </si>
  <si>
    <t>22.35亿</t>
  </si>
  <si>
    <t>5060.76万</t>
  </si>
  <si>
    <t>10转3股派1元(含税)</t>
  </si>
  <si>
    <t>1376.50万</t>
  </si>
  <si>
    <t>185.15万</t>
  </si>
  <si>
    <t>55.45亿</t>
  </si>
  <si>
    <t>30.68亿</t>
  </si>
  <si>
    <t>17.68亿</t>
  </si>
  <si>
    <t>68.21亿</t>
  </si>
  <si>
    <t>17.57亿</t>
  </si>
  <si>
    <t>16.04亿</t>
  </si>
  <si>
    <t>653.64万</t>
  </si>
  <si>
    <t>3114.53万</t>
  </si>
  <si>
    <t>1495839亿</t>
  </si>
  <si>
    <t>472.96万</t>
  </si>
  <si>
    <t>34399991亿</t>
  </si>
  <si>
    <t>25.17亿</t>
  </si>
  <si>
    <t>1874652100亿</t>
  </si>
  <si>
    <t>860.32万</t>
  </si>
  <si>
    <t>5899969500亿</t>
  </si>
  <si>
    <t>44.03亿</t>
  </si>
  <si>
    <t>1008.05万</t>
  </si>
  <si>
    <t>51.20亿</t>
  </si>
  <si>
    <t>2591.39万</t>
  </si>
  <si>
    <t>-4.37亿</t>
  </si>
  <si>
    <t>2620.27万</t>
  </si>
  <si>
    <t>10转4股派4元(含税)</t>
  </si>
  <si>
    <t>968.06万</t>
  </si>
  <si>
    <t>9678.14万</t>
  </si>
  <si>
    <t>906.57万</t>
  </si>
  <si>
    <t>47.66亿</t>
  </si>
  <si>
    <t>54.33亿</t>
  </si>
  <si>
    <t>53.70亿</t>
  </si>
  <si>
    <t>-4989.03万</t>
  </si>
  <si>
    <t>13.16亿</t>
  </si>
  <si>
    <t>1474.80万</t>
  </si>
  <si>
    <t>3807.62万</t>
  </si>
  <si>
    <t>1371322亿</t>
  </si>
  <si>
    <t>73.53万</t>
  </si>
  <si>
    <t>-28286034亿</t>
  </si>
  <si>
    <t>21.01亿</t>
  </si>
  <si>
    <t>1264049940亿</t>
  </si>
  <si>
    <t>126.02万</t>
  </si>
  <si>
    <t>5390944300亿</t>
  </si>
  <si>
    <t>8.46亿</t>
  </si>
  <si>
    <t>19.04亿</t>
  </si>
  <si>
    <t>11.85亿</t>
  </si>
  <si>
    <t>37.57亿</t>
  </si>
  <si>
    <t>-5896.52万</t>
  </si>
  <si>
    <t>11.42亿</t>
  </si>
  <si>
    <t>-485.69万</t>
  </si>
  <si>
    <t>6461.01万</t>
  </si>
  <si>
    <t>5.27亿</t>
  </si>
  <si>
    <t>459.33万</t>
  </si>
  <si>
    <t>5.02亿</t>
  </si>
  <si>
    <t>11.05亿</t>
  </si>
  <si>
    <t>5.13亿</t>
  </si>
  <si>
    <t>4.87亿</t>
  </si>
  <si>
    <t>331.85万</t>
  </si>
  <si>
    <t>1071.66万</t>
  </si>
  <si>
    <t>379009亿</t>
  </si>
  <si>
    <t>24.64万</t>
  </si>
  <si>
    <t>34831724亿</t>
  </si>
  <si>
    <t>560720700亿</t>
  </si>
  <si>
    <t>3183.33万</t>
  </si>
  <si>
    <t>1324414160亿</t>
  </si>
  <si>
    <t>4204.07万</t>
  </si>
  <si>
    <t>3.44亿</t>
  </si>
  <si>
    <t>8115.17万</t>
  </si>
  <si>
    <t>3747.14万</t>
  </si>
  <si>
    <t>-1799.96万</t>
  </si>
  <si>
    <t>-79.93万</t>
  </si>
  <si>
    <t>7958.91万</t>
  </si>
  <si>
    <t>5.75亿</t>
  </si>
  <si>
    <t>4876.22万</t>
  </si>
  <si>
    <t>2850.14万</t>
  </si>
  <si>
    <t>8518.21万</t>
  </si>
  <si>
    <t>532.66亿</t>
  </si>
  <si>
    <t>72.24亿</t>
  </si>
  <si>
    <t>17.17亿</t>
  </si>
  <si>
    <t>-1.00亿</t>
  </si>
  <si>
    <t>21907473亿</t>
  </si>
  <si>
    <t>488.96万</t>
  </si>
  <si>
    <t>830738900亿</t>
  </si>
  <si>
    <t>263.85亿</t>
  </si>
  <si>
    <t>3614278700亿</t>
  </si>
  <si>
    <t>39919939000亿</t>
  </si>
  <si>
    <t>25.10亿</t>
  </si>
  <si>
    <t>11.57亿</t>
  </si>
  <si>
    <t>-8.58亿</t>
  </si>
  <si>
    <t>349.51亿</t>
  </si>
  <si>
    <t>35.16亿</t>
  </si>
  <si>
    <t>288.44亿</t>
  </si>
  <si>
    <t>34.74亿</t>
  </si>
  <si>
    <t>-195.54万</t>
  </si>
  <si>
    <t>4.93亿</t>
  </si>
  <si>
    <t>1957.46万</t>
  </si>
  <si>
    <t>22.66亿</t>
  </si>
  <si>
    <t>32.92亿</t>
  </si>
  <si>
    <t>803.43亿</t>
  </si>
  <si>
    <t>3.27亿</t>
  </si>
  <si>
    <t>404.73万</t>
  </si>
  <si>
    <t>3990.37万</t>
  </si>
  <si>
    <t>-4118亿</t>
  </si>
  <si>
    <t>-24551753亿</t>
  </si>
  <si>
    <t>612.96万</t>
  </si>
  <si>
    <t>86850673亿</t>
  </si>
  <si>
    <t>714192120亿</t>
  </si>
  <si>
    <t>6.87亿</t>
  </si>
  <si>
    <t>1473.57万</t>
  </si>
  <si>
    <t>23.27亿</t>
  </si>
  <si>
    <t>-7308.77万</t>
  </si>
  <si>
    <t>-3321.25万</t>
  </si>
  <si>
    <t>8071.18万</t>
  </si>
  <si>
    <t>7.15亿</t>
  </si>
  <si>
    <t>2558.52万</t>
  </si>
  <si>
    <t>5.95亿</t>
  </si>
  <si>
    <t>14.68亿</t>
  </si>
  <si>
    <t>149.89亿</t>
  </si>
  <si>
    <t>-2.14亿</t>
  </si>
  <si>
    <t>5601.80万</t>
  </si>
  <si>
    <t>96.39亿</t>
  </si>
  <si>
    <t>105.55亿</t>
  </si>
  <si>
    <t>177.79亿</t>
  </si>
  <si>
    <t>5218.93亿</t>
  </si>
  <si>
    <t>65.05亿</t>
  </si>
  <si>
    <t>174.13亿</t>
  </si>
  <si>
    <t>170.76亿</t>
  </si>
  <si>
    <t>2723.39万</t>
  </si>
  <si>
    <t>477597亿</t>
  </si>
  <si>
    <t>184.75万</t>
  </si>
  <si>
    <t>273465840亿</t>
  </si>
  <si>
    <t>28.35亿</t>
  </si>
  <si>
    <t>3357264900亿</t>
  </si>
  <si>
    <t>13422741000亿</t>
  </si>
  <si>
    <t>12.25亿</t>
  </si>
  <si>
    <t>55.80亿</t>
  </si>
  <si>
    <t>18.66亿</t>
  </si>
  <si>
    <t>100.27亿</t>
  </si>
  <si>
    <t>-19.65亿</t>
  </si>
  <si>
    <t>-5.27亿</t>
  </si>
  <si>
    <t>6.94亿</t>
  </si>
  <si>
    <t>10.90亿</t>
  </si>
  <si>
    <t>728.44亿</t>
  </si>
  <si>
    <t>1277.33亿</t>
  </si>
  <si>
    <t>9.58亿</t>
  </si>
  <si>
    <t>17.55亿</t>
  </si>
  <si>
    <t>2078.70万</t>
  </si>
  <si>
    <t>914.02亿</t>
  </si>
  <si>
    <t>814.04亿</t>
  </si>
  <si>
    <t>1225.17亿</t>
  </si>
  <si>
    <t>32.40亿</t>
  </si>
  <si>
    <t>1203.72亿</t>
  </si>
  <si>
    <t>1184.96亿</t>
  </si>
  <si>
    <t>5.54亿</t>
  </si>
  <si>
    <t>95274609亿</t>
  </si>
  <si>
    <t>3376.97万</t>
  </si>
  <si>
    <t>1806323400亿</t>
  </si>
  <si>
    <t>449.03亿</t>
  </si>
  <si>
    <t>5126491200亿</t>
  </si>
  <si>
    <t>124974314000亿</t>
  </si>
  <si>
    <t>81.47亿</t>
  </si>
  <si>
    <t>576.84亿</t>
  </si>
  <si>
    <t>54.66亿</t>
  </si>
  <si>
    <t>105.00亿</t>
  </si>
  <si>
    <t>914.84亿</t>
  </si>
  <si>
    <t>154.82亿</t>
  </si>
  <si>
    <t>-60.69亿</t>
  </si>
  <si>
    <t>-27.63亿</t>
  </si>
  <si>
    <t>30.58亿</t>
  </si>
  <si>
    <t>7.89亿</t>
  </si>
  <si>
    <t>9438.96万</t>
  </si>
  <si>
    <t>10派6元(含税)</t>
  </si>
  <si>
    <t>7975.92万</t>
  </si>
  <si>
    <t>0339000000</t>
  </si>
  <si>
    <t>01017000000</t>
  </si>
  <si>
    <t>02034000000</t>
  </si>
  <si>
    <t>03390000000</t>
  </si>
  <si>
    <t>06780000000</t>
  </si>
  <si>
    <t>3857.59万</t>
  </si>
  <si>
    <t>24.21亿</t>
  </si>
  <si>
    <t>58.69亿</t>
  </si>
  <si>
    <t>5.96亿</t>
  </si>
  <si>
    <t>90.04亿</t>
  </si>
  <si>
    <t>-13.11亿</t>
  </si>
  <si>
    <t>6.53亿</t>
  </si>
  <si>
    <t>3022.66万</t>
  </si>
  <si>
    <t>6664.49万</t>
  </si>
  <si>
    <t>-2591486亿</t>
  </si>
  <si>
    <t>5443.42万</t>
  </si>
  <si>
    <t>-11333584亿</t>
  </si>
  <si>
    <t>4.88亿</t>
  </si>
  <si>
    <t>83342386亿</t>
  </si>
  <si>
    <t>2350869200亿</t>
  </si>
  <si>
    <t>4.64亿</t>
  </si>
  <si>
    <t>5.87亿</t>
  </si>
  <si>
    <t>232.53万</t>
  </si>
  <si>
    <t>-1.66亿</t>
  </si>
  <si>
    <t>-7576.28万</t>
  </si>
  <si>
    <t>-3255.41万</t>
  </si>
  <si>
    <t>53.73亿</t>
  </si>
  <si>
    <t>-1.08亿</t>
  </si>
  <si>
    <t>8257.65万</t>
  </si>
  <si>
    <t>84.65亿</t>
  </si>
  <si>
    <t>187.54亿</t>
  </si>
  <si>
    <t>46.72亿</t>
  </si>
  <si>
    <t>311.30亿</t>
  </si>
  <si>
    <t>41.35亿</t>
  </si>
  <si>
    <t>37.38亿</t>
  </si>
  <si>
    <t>939.76万</t>
  </si>
  <si>
    <t>-202384亿</t>
  </si>
  <si>
    <t>327.90万</t>
  </si>
  <si>
    <t>460102070亿</t>
  </si>
  <si>
    <t>204008150亿</t>
  </si>
  <si>
    <t>3591958700亿</t>
  </si>
  <si>
    <t>20.31亿</t>
  </si>
  <si>
    <t>15.27亿</t>
  </si>
  <si>
    <t>44.93亿</t>
  </si>
  <si>
    <t>22.78亿</t>
  </si>
  <si>
    <t>7.12亿</t>
  </si>
  <si>
    <t>-8.03亿</t>
  </si>
  <si>
    <t>-9447.92万</t>
  </si>
  <si>
    <t>6.71亿</t>
  </si>
  <si>
    <t>219.54亿</t>
  </si>
  <si>
    <t>50.16亿</t>
  </si>
  <si>
    <t>14.33亿</t>
  </si>
  <si>
    <t>3739.04万</t>
  </si>
  <si>
    <t>3.56亿</t>
  </si>
  <si>
    <t>24.55亿</t>
  </si>
  <si>
    <t>XD豫光金</t>
  </si>
  <si>
    <t>4116.71万</t>
  </si>
  <si>
    <t>99.83亿</t>
  </si>
  <si>
    <t>49.97亿</t>
  </si>
  <si>
    <t>85.71亿</t>
  </si>
  <si>
    <t>47.68亿</t>
  </si>
  <si>
    <t>83.34亿</t>
  </si>
  <si>
    <t>1025.97万</t>
  </si>
  <si>
    <t>3497.68万</t>
  </si>
  <si>
    <t>75624441亿</t>
  </si>
  <si>
    <t>70.99万</t>
  </si>
  <si>
    <t>168490930亿</t>
  </si>
  <si>
    <t>20.23亿</t>
  </si>
  <si>
    <t>431520710亿</t>
  </si>
  <si>
    <t>8884.37万</t>
  </si>
  <si>
    <t>12095562500亿</t>
  </si>
  <si>
    <t>56.79亿</t>
  </si>
  <si>
    <t>11.51亿</t>
  </si>
  <si>
    <t>96.47亿</t>
  </si>
  <si>
    <t>14.82亿</t>
  </si>
  <si>
    <t>-1.22亿</t>
  </si>
  <si>
    <t>321.45亿</t>
  </si>
  <si>
    <t>5.81亿</t>
  </si>
  <si>
    <t>992.27万</t>
  </si>
  <si>
    <t>16.78亿</t>
  </si>
  <si>
    <t>2765.66万</t>
  </si>
  <si>
    <t>79.63亿</t>
  </si>
  <si>
    <t>152.01亿</t>
  </si>
  <si>
    <t>51.82亿</t>
  </si>
  <si>
    <t>146.31亿</t>
  </si>
  <si>
    <t>48.78亿</t>
  </si>
  <si>
    <t>953.15万</t>
  </si>
  <si>
    <t>8260.47万</t>
  </si>
  <si>
    <t>15860385亿</t>
  </si>
  <si>
    <t>144.94万</t>
  </si>
  <si>
    <t>17545751亿</t>
  </si>
  <si>
    <t>1438088500亿</t>
  </si>
  <si>
    <t>5588565400亿</t>
  </si>
  <si>
    <t>17.87亿</t>
  </si>
  <si>
    <t>7911.54万</t>
  </si>
  <si>
    <t>-1.73亿</t>
  </si>
  <si>
    <t>3677.50万</t>
  </si>
  <si>
    <t>187.93亿</t>
  </si>
  <si>
    <t>38.80亿</t>
  </si>
  <si>
    <t>1.94亿</t>
  </si>
  <si>
    <t>-3-0</t>
  </si>
  <si>
    <t>103.79万</t>
  </si>
  <si>
    <t>8270.09万</t>
  </si>
  <si>
    <t>6.42亿</t>
  </si>
  <si>
    <t>2723.27万</t>
  </si>
  <si>
    <t>5.73亿</t>
  </si>
  <si>
    <t>3138.85万</t>
  </si>
  <si>
    <t>2575.49万</t>
  </si>
  <si>
    <t>42.76万</t>
  </si>
  <si>
    <t>473.63万</t>
  </si>
  <si>
    <t>3856138亿</t>
  </si>
  <si>
    <t>16.36万</t>
  </si>
  <si>
    <t>467930亿</t>
  </si>
  <si>
    <t>755.85万</t>
  </si>
  <si>
    <t>57456500亿</t>
  </si>
  <si>
    <t>1210.62万</t>
  </si>
  <si>
    <t>641583260亿</t>
  </si>
  <si>
    <t>5.76万</t>
  </si>
  <si>
    <t>552.43万</t>
  </si>
  <si>
    <t>1920.95万</t>
  </si>
  <si>
    <t>5055.17万</t>
  </si>
  <si>
    <t>400.62万</t>
  </si>
  <si>
    <t>-1403.44万</t>
  </si>
  <si>
    <t>-119.38万</t>
  </si>
  <si>
    <t>423.69万</t>
  </si>
  <si>
    <t>973.32万</t>
  </si>
  <si>
    <t>6121.58万</t>
  </si>
  <si>
    <t>125.07万</t>
  </si>
  <si>
    <t>6317.23万</t>
  </si>
  <si>
    <t>6659.71万</t>
  </si>
  <si>
    <t>1215.93万</t>
  </si>
  <si>
    <t>6465.95万</t>
  </si>
  <si>
    <t>6232.90万</t>
  </si>
  <si>
    <t>12.32万</t>
  </si>
  <si>
    <t>282.27万</t>
  </si>
  <si>
    <t>-1471855亿</t>
  </si>
  <si>
    <t>32356224亿</t>
  </si>
  <si>
    <t>261075170亿</t>
  </si>
  <si>
    <t>397.95万</t>
  </si>
  <si>
    <t>-1233.91万</t>
  </si>
  <si>
    <t>-17.40万</t>
  </si>
  <si>
    <t>1.72亿</t>
  </si>
  <si>
    <t>3.29亿</t>
  </si>
  <si>
    <t>1625.85万</t>
  </si>
  <si>
    <t>1573.91万</t>
  </si>
  <si>
    <t>345.33万</t>
  </si>
  <si>
    <t>836.51万</t>
  </si>
  <si>
    <t>6559.33万</t>
  </si>
  <si>
    <t>开始亏损</t>
  </si>
  <si>
    <t>036477900</t>
  </si>
  <si>
    <t>072955800</t>
  </si>
  <si>
    <t>0121593000</t>
  </si>
  <si>
    <t>0243186000</t>
  </si>
  <si>
    <t>765.74万</t>
  </si>
  <si>
    <t>69.82亿</t>
  </si>
  <si>
    <t>103.16亿</t>
  </si>
  <si>
    <t>16.29亿</t>
  </si>
  <si>
    <t>13.74亿</t>
  </si>
  <si>
    <t>1494.68万</t>
  </si>
  <si>
    <t>7683.94万</t>
  </si>
  <si>
    <t>205141510亿</t>
  </si>
  <si>
    <t>702.42万</t>
  </si>
  <si>
    <t>314079940亿</t>
  </si>
  <si>
    <t>27.09亿</t>
  </si>
  <si>
    <t>552025380亿</t>
  </si>
  <si>
    <t>6.62亿</t>
  </si>
  <si>
    <t>6951038800亿</t>
  </si>
  <si>
    <t>5.09亿</t>
  </si>
  <si>
    <t>5520.14万</t>
  </si>
  <si>
    <t>17.28亿</t>
  </si>
  <si>
    <t>37.64万</t>
  </si>
  <si>
    <t>40.09亿</t>
  </si>
  <si>
    <t>12.47亿</t>
  </si>
  <si>
    <t>6716.53万</t>
  </si>
  <si>
    <t>-6.35亿</t>
  </si>
  <si>
    <t>65.35亿</t>
  </si>
  <si>
    <t>-4421.29万</t>
  </si>
  <si>
    <t>4425.25万</t>
  </si>
  <si>
    <t>1880.25万</t>
  </si>
  <si>
    <t>53.57亿</t>
  </si>
  <si>
    <t>39.09亿</t>
  </si>
  <si>
    <t>14.87亿</t>
  </si>
  <si>
    <t>5821.99万</t>
  </si>
  <si>
    <t>40.34亿</t>
  </si>
  <si>
    <t>460.32万</t>
  </si>
  <si>
    <t>-1960846亿</t>
  </si>
  <si>
    <t>78.11万</t>
  </si>
  <si>
    <t>132881367亿</t>
  </si>
  <si>
    <t>7.28亿</t>
  </si>
  <si>
    <t>353092250亿</t>
  </si>
  <si>
    <t>3460993800亿</t>
  </si>
  <si>
    <t>15.51亿</t>
  </si>
  <si>
    <t>4.39亿</t>
  </si>
  <si>
    <t>34.01亿</t>
  </si>
  <si>
    <t>-4239.61万</t>
  </si>
  <si>
    <t>-3.37亿</t>
  </si>
  <si>
    <t>204.08亿</t>
  </si>
  <si>
    <t>194.06亿</t>
  </si>
  <si>
    <t>6.11亿</t>
  </si>
  <si>
    <t>637.87万</t>
  </si>
  <si>
    <t>5890.50万</t>
  </si>
  <si>
    <t>058219900</t>
  </si>
  <si>
    <t>0174659700</t>
  </si>
  <si>
    <t>0349319400</t>
  </si>
  <si>
    <t>0582199000</t>
  </si>
  <si>
    <t>01164398000</t>
  </si>
  <si>
    <t>4891.16万</t>
  </si>
  <si>
    <t>19.16亿</t>
  </si>
  <si>
    <t>35.39亿</t>
  </si>
  <si>
    <t>179.38亿</t>
  </si>
  <si>
    <t>23.70万</t>
  </si>
  <si>
    <t>3197.01万</t>
  </si>
  <si>
    <t>-358434亿</t>
  </si>
  <si>
    <t>201.10万</t>
  </si>
  <si>
    <t>36056625亿</t>
  </si>
  <si>
    <t>1.86亿</t>
  </si>
  <si>
    <t>1372417亿</t>
  </si>
  <si>
    <t>497831290亿</t>
  </si>
  <si>
    <t>4.69万</t>
  </si>
  <si>
    <t>1680.70万</t>
  </si>
  <si>
    <t>-3422.12万</t>
  </si>
  <si>
    <t>-1570.69万</t>
  </si>
  <si>
    <t>8.71亿</t>
  </si>
  <si>
    <t>7388.72万</t>
  </si>
  <si>
    <t>10派0.29元(含税)</t>
  </si>
  <si>
    <t>2593.35万</t>
  </si>
  <si>
    <t>317.23亿</t>
  </si>
  <si>
    <t>214.57亿</t>
  </si>
  <si>
    <t>667.11亿</t>
  </si>
  <si>
    <t>256.24亿</t>
  </si>
  <si>
    <t>89.47亿</t>
  </si>
  <si>
    <t>815.25万</t>
  </si>
  <si>
    <t>57733220亿</t>
  </si>
  <si>
    <t>2038.46万</t>
  </si>
  <si>
    <t>715403610亿</t>
  </si>
  <si>
    <t>49.02亿</t>
  </si>
  <si>
    <t>155557340亿</t>
  </si>
  <si>
    <t>12319517500亿</t>
  </si>
  <si>
    <t>22.16亿</t>
  </si>
  <si>
    <t>50.20亿</t>
  </si>
  <si>
    <t>6.31亿</t>
  </si>
  <si>
    <t>21.08亿</t>
  </si>
  <si>
    <t>147.20亿</t>
  </si>
  <si>
    <t>139.71亿</t>
  </si>
  <si>
    <t>-6.50亿</t>
  </si>
  <si>
    <t>-4.39亿</t>
  </si>
  <si>
    <t>402.38亿</t>
  </si>
  <si>
    <t>427.48亿</t>
  </si>
  <si>
    <t>27.89亿</t>
  </si>
  <si>
    <t>74.93亿</t>
  </si>
  <si>
    <t>5580.28万</t>
  </si>
  <si>
    <t>303.66亿</t>
  </si>
  <si>
    <t>177.45亿</t>
  </si>
  <si>
    <t>221.97亿</t>
  </si>
  <si>
    <t>191.24亿</t>
  </si>
  <si>
    <t>27.23亿</t>
  </si>
  <si>
    <t>220.10亿</t>
  </si>
  <si>
    <t>213.47亿</t>
  </si>
  <si>
    <t>8046.41万</t>
  </si>
  <si>
    <t>2.58亿</t>
  </si>
  <si>
    <t>-7549655亿</t>
  </si>
  <si>
    <t>711.66万</t>
  </si>
  <si>
    <t>-100714193亿</t>
  </si>
  <si>
    <t>1130291180亿</t>
  </si>
  <si>
    <t>27867961000亿</t>
  </si>
  <si>
    <t>102.49亿</t>
  </si>
  <si>
    <t>29.96亿</t>
  </si>
  <si>
    <t>218.23亿</t>
  </si>
  <si>
    <t>72.29亿</t>
  </si>
  <si>
    <t>-1.68亿</t>
  </si>
  <si>
    <t>869.71亿</t>
  </si>
  <si>
    <t>50.96亿</t>
  </si>
  <si>
    <t>8306.44万</t>
  </si>
  <si>
    <t>8.30亿</t>
  </si>
  <si>
    <t>10派0.034元(含税)</t>
  </si>
  <si>
    <t>21.41亿</t>
  </si>
  <si>
    <t>08169000000</t>
  </si>
  <si>
    <t>016338000000</t>
  </si>
  <si>
    <t>027230000000</t>
  </si>
  <si>
    <t>054460000000</t>
  </si>
  <si>
    <t>1774.19万</t>
  </si>
  <si>
    <t>13.90亿</t>
  </si>
  <si>
    <t>42.45亿</t>
  </si>
  <si>
    <t>15.78亿</t>
  </si>
  <si>
    <t>12608.41亿</t>
  </si>
  <si>
    <t>334.83亿</t>
  </si>
  <si>
    <t>15.32亿</t>
  </si>
  <si>
    <t>277.92万</t>
  </si>
  <si>
    <t>6214.87万</t>
  </si>
  <si>
    <t>3064885亿</t>
  </si>
  <si>
    <t>30.25万</t>
  </si>
  <si>
    <t>29726304亿</t>
  </si>
  <si>
    <t>599169430亿</t>
  </si>
  <si>
    <t>3215983400亿</t>
  </si>
  <si>
    <t>9.12亿</t>
  </si>
  <si>
    <t>3644.96万</t>
  </si>
  <si>
    <t>9.18亿</t>
  </si>
  <si>
    <t>4.04亿</t>
  </si>
  <si>
    <t>-1.10亿</t>
  </si>
  <si>
    <t>2556.91万</t>
  </si>
  <si>
    <t>1.60亿</t>
  </si>
  <si>
    <t>67.97亿</t>
  </si>
  <si>
    <t>2719.74亿</t>
  </si>
  <si>
    <t>78.79亿</t>
  </si>
  <si>
    <t>10派0.13元(含税)</t>
  </si>
  <si>
    <t>8532.24万</t>
  </si>
  <si>
    <t>10.51亿</t>
  </si>
  <si>
    <t>1128.67亿</t>
  </si>
  <si>
    <t>1033.64亿</t>
  </si>
  <si>
    <t>489.56亿</t>
  </si>
  <si>
    <t>3239.45亿</t>
  </si>
  <si>
    <t>272.57亿</t>
  </si>
  <si>
    <t>445.31亿</t>
  </si>
  <si>
    <t>414.44亿</t>
  </si>
  <si>
    <t>9057.40万</t>
  </si>
  <si>
    <t>85664000亿</t>
  </si>
  <si>
    <t>5119.70万</t>
  </si>
  <si>
    <t>2182750000亿</t>
  </si>
  <si>
    <t>204.03亿</t>
  </si>
  <si>
    <t>5385290000亿</t>
  </si>
  <si>
    <t>490.90万</t>
  </si>
  <si>
    <t>60238148000亿</t>
  </si>
  <si>
    <t>51.70亿</t>
  </si>
  <si>
    <t>49.25亿</t>
  </si>
  <si>
    <t>68.47亿</t>
  </si>
  <si>
    <t>156.10亿</t>
  </si>
  <si>
    <t>1.37亿</t>
  </si>
  <si>
    <t>532.95亿</t>
  </si>
  <si>
    <t>363.69亿</t>
  </si>
  <si>
    <t>17.04亿</t>
  </si>
  <si>
    <t>-51.04亿</t>
  </si>
  <si>
    <t>2250.71亿</t>
  </si>
  <si>
    <t>943.86亿</t>
  </si>
  <si>
    <t>67.17亿</t>
  </si>
  <si>
    <t>116.26亿</t>
  </si>
  <si>
    <t>42.31亿</t>
  </si>
  <si>
    <t>538.86万</t>
  </si>
  <si>
    <t>133.47亿</t>
  </si>
  <si>
    <t>85.91亿</t>
  </si>
  <si>
    <t>248.30亿</t>
  </si>
  <si>
    <t>1093.85亿</t>
  </si>
  <si>
    <t>20.63亿</t>
  </si>
  <si>
    <t>246.64亿</t>
  </si>
  <si>
    <t>241.34亿</t>
  </si>
  <si>
    <t>8702.86万</t>
  </si>
  <si>
    <t>-7377624亿</t>
  </si>
  <si>
    <t>106.50万</t>
  </si>
  <si>
    <t>111508106亿</t>
  </si>
  <si>
    <t>8.23亿</t>
  </si>
  <si>
    <t>7520201700亿</t>
  </si>
  <si>
    <t>6.63亿</t>
  </si>
  <si>
    <t>19089174000亿</t>
  </si>
  <si>
    <t>44.99亿</t>
  </si>
  <si>
    <t>12.62亿</t>
  </si>
  <si>
    <t>87.24亿</t>
  </si>
  <si>
    <t>52.76亿</t>
  </si>
  <si>
    <t>-32.35亿</t>
  </si>
  <si>
    <t>-6.74亿</t>
  </si>
  <si>
    <t>1105.00亿</t>
  </si>
  <si>
    <t>289.29亿</t>
  </si>
  <si>
    <t>2859.34万</t>
  </si>
  <si>
    <t>2.26亿</t>
  </si>
  <si>
    <t>863.18万</t>
  </si>
  <si>
    <t>52.99亿</t>
  </si>
  <si>
    <t>165.87亿</t>
  </si>
  <si>
    <t>71.85亿</t>
  </si>
  <si>
    <t>73.06亿</t>
  </si>
  <si>
    <t>69.01亿</t>
  </si>
  <si>
    <t>63.92亿</t>
  </si>
  <si>
    <t>2173.80万</t>
  </si>
  <si>
    <t>5833.92万</t>
  </si>
  <si>
    <t>682148亿</t>
  </si>
  <si>
    <t>10.09万</t>
  </si>
  <si>
    <t>267230170亿</t>
  </si>
  <si>
    <t>2377380500亿</t>
  </si>
  <si>
    <t>19.86亿</t>
  </si>
  <si>
    <t>13843772000亿</t>
  </si>
  <si>
    <t>7.54亿</t>
  </si>
  <si>
    <t>3.32亿</t>
  </si>
  <si>
    <t>24.41亿</t>
  </si>
  <si>
    <t>8.93亿</t>
  </si>
  <si>
    <t>50.92亿</t>
  </si>
  <si>
    <t>-5.69亿</t>
  </si>
  <si>
    <t>-9.45亿</t>
  </si>
  <si>
    <t>264.42亿</t>
  </si>
  <si>
    <t>17.56亿</t>
  </si>
  <si>
    <t>13.47亿</t>
  </si>
  <si>
    <t>7173.09万</t>
  </si>
  <si>
    <t>4751.90万</t>
  </si>
  <si>
    <t>1007.64万</t>
  </si>
  <si>
    <t>26.59亿</t>
  </si>
  <si>
    <t>47.78亿</t>
  </si>
  <si>
    <t>23.62亿</t>
  </si>
  <si>
    <t>363.96亿</t>
  </si>
  <si>
    <t>32.74亿</t>
  </si>
  <si>
    <t>21.02亿</t>
  </si>
  <si>
    <t>1660.03万</t>
  </si>
  <si>
    <t>3248.30万</t>
  </si>
  <si>
    <t>29.66万</t>
  </si>
  <si>
    <t>249545740亿</t>
  </si>
  <si>
    <t>5.69亿</t>
  </si>
  <si>
    <t>1454103600亿</t>
  </si>
  <si>
    <t>5568002600亿</t>
  </si>
  <si>
    <t>9276.05万</t>
  </si>
  <si>
    <t>11.40亿</t>
  </si>
  <si>
    <t>3999.00万</t>
  </si>
  <si>
    <t>-5361.25万</t>
  </si>
  <si>
    <t>-5227.62万</t>
  </si>
  <si>
    <t>92.91亿</t>
  </si>
  <si>
    <t>92.11亿</t>
  </si>
  <si>
    <t>8.99亿</t>
  </si>
  <si>
    <t>7.83亿</t>
  </si>
  <si>
    <t>2607.97万</t>
  </si>
  <si>
    <t>2046.43亿</t>
  </si>
  <si>
    <t>1484.31亿</t>
  </si>
  <si>
    <t>747.77亿</t>
  </si>
  <si>
    <t>93.65亿</t>
  </si>
  <si>
    <t>666.84亿</t>
  </si>
  <si>
    <t>623.60亿</t>
  </si>
  <si>
    <t>1.79亿</t>
  </si>
  <si>
    <t>790727750亿</t>
  </si>
  <si>
    <t>2828.25万</t>
  </si>
  <si>
    <t>6223991600亿</t>
  </si>
  <si>
    <t>211.48亿</t>
  </si>
  <si>
    <t>8125146000亿</t>
  </si>
  <si>
    <t>82601658000亿</t>
  </si>
  <si>
    <t>386.79亿</t>
  </si>
  <si>
    <t>241.63亿</t>
  </si>
  <si>
    <t>147.24亿</t>
  </si>
  <si>
    <t>8581.13万</t>
  </si>
  <si>
    <t>874.07亿</t>
  </si>
  <si>
    <t>779.54亿</t>
  </si>
  <si>
    <t>81.72亿</t>
  </si>
  <si>
    <t>-78.91亿</t>
  </si>
  <si>
    <t>24.03亿</t>
  </si>
  <si>
    <t>2934.03亿</t>
  </si>
  <si>
    <t>21.95亿</t>
  </si>
  <si>
    <t>211.19亿</t>
  </si>
  <si>
    <t>7.14亿</t>
  </si>
  <si>
    <t>347.65万</t>
  </si>
  <si>
    <t>11.03亿</t>
  </si>
  <si>
    <t>19.76亿</t>
  </si>
  <si>
    <t>-2.32亿</t>
  </si>
  <si>
    <t>17.16亿</t>
  </si>
  <si>
    <t>505.56万</t>
  </si>
  <si>
    <t>888.19万</t>
  </si>
  <si>
    <t>188117亿</t>
  </si>
  <si>
    <t>1.97万</t>
  </si>
  <si>
    <t>17865489亿</t>
  </si>
  <si>
    <t>706351560亿</t>
  </si>
  <si>
    <t>1854548500亿</t>
  </si>
  <si>
    <t>5.88亿</t>
  </si>
  <si>
    <t>5336.00万</t>
  </si>
  <si>
    <t>-2.11亿</t>
  </si>
  <si>
    <t>-6455.34万</t>
  </si>
  <si>
    <t>2158.76万</t>
  </si>
  <si>
    <t>75.82亿</t>
  </si>
  <si>
    <t>1.54亿</t>
  </si>
  <si>
    <t>305.04万</t>
  </si>
  <si>
    <t>2189.81万</t>
  </si>
  <si>
    <t>XD鼎胜新</t>
  </si>
  <si>
    <t>380.76万</t>
  </si>
  <si>
    <t>136.81亿</t>
  </si>
  <si>
    <t>65.86亿</t>
  </si>
  <si>
    <t>51.21亿</t>
  </si>
  <si>
    <t>77.92亿</t>
  </si>
  <si>
    <t>50.12亿</t>
  </si>
  <si>
    <t>46.23亿</t>
  </si>
  <si>
    <t>4245.51万</t>
  </si>
  <si>
    <t>6773.84万</t>
  </si>
  <si>
    <t>-41489891亿</t>
  </si>
  <si>
    <t>44.43万</t>
  </si>
  <si>
    <t>27018684亿</t>
  </si>
  <si>
    <t>67.61亿</t>
  </si>
  <si>
    <t>2743849800亿</t>
  </si>
  <si>
    <t>15432931000亿</t>
  </si>
  <si>
    <t>35.72亿</t>
  </si>
  <si>
    <t>73.80亿</t>
  </si>
  <si>
    <t>14.06亿</t>
  </si>
  <si>
    <t>137.66亿</t>
  </si>
  <si>
    <t>21.45亿</t>
  </si>
  <si>
    <t>-5.47亿</t>
  </si>
  <si>
    <t>-7401.59万</t>
  </si>
  <si>
    <t>190.64亿</t>
  </si>
  <si>
    <t>20.74亿</t>
  </si>
  <si>
    <t>5.35亿</t>
  </si>
  <si>
    <t>10派1.9元(含税)</t>
  </si>
  <si>
    <t>2847.21万</t>
  </si>
  <si>
    <t>233.54万</t>
  </si>
  <si>
    <t>9.74亿</t>
  </si>
  <si>
    <t>16.43亿</t>
  </si>
  <si>
    <t>21.29亿</t>
  </si>
  <si>
    <t>328.75万</t>
  </si>
  <si>
    <t>711.28万</t>
  </si>
  <si>
    <t>911597亿</t>
  </si>
  <si>
    <t>109144亿</t>
  </si>
  <si>
    <t>198162450亿</t>
  </si>
  <si>
    <t>5652.29万</t>
  </si>
  <si>
    <t>1404268100亿</t>
  </si>
  <si>
    <t>6.25亿</t>
  </si>
  <si>
    <t>-4160.86万</t>
  </si>
  <si>
    <t>14.07亿</t>
  </si>
  <si>
    <t>5.74亿</t>
  </si>
  <si>
    <t>6743.67万</t>
  </si>
  <si>
    <t>10派0.97元(含税)</t>
  </si>
  <si>
    <t>1143.38万</t>
  </si>
  <si>
    <t>7878.95万</t>
  </si>
  <si>
    <t>692.33万</t>
  </si>
  <si>
    <t>63.46亿</t>
  </si>
  <si>
    <t>77.01亿</t>
  </si>
  <si>
    <t>16.91亿</t>
  </si>
  <si>
    <t>-2.41亿</t>
  </si>
  <si>
    <t>16.14亿</t>
  </si>
  <si>
    <t>13.96亿</t>
  </si>
  <si>
    <t>877.17万</t>
  </si>
  <si>
    <t>8006.55万</t>
  </si>
  <si>
    <t>-1279542亿</t>
  </si>
  <si>
    <t>16.06万</t>
  </si>
  <si>
    <t>269865880亿</t>
  </si>
  <si>
    <t>2426897900亿</t>
  </si>
  <si>
    <t>1421.49万</t>
  </si>
  <si>
    <t>7314467800亿</t>
  </si>
  <si>
    <t>8.24亿</t>
  </si>
  <si>
    <t>9.35亿</t>
  </si>
  <si>
    <t>36.32亿</t>
  </si>
  <si>
    <t>15.13亿</t>
  </si>
  <si>
    <t>6906.72万</t>
  </si>
  <si>
    <t>-3.79亿</t>
  </si>
  <si>
    <t>3816.90万</t>
  </si>
  <si>
    <t>73.99亿</t>
  </si>
  <si>
    <t>10.31亿</t>
  </si>
  <si>
    <t>-1726.79万</t>
  </si>
  <si>
    <t>2618.55万</t>
  </si>
  <si>
    <t>315.71万</t>
  </si>
  <si>
    <t>20.91亿</t>
  </si>
  <si>
    <t>15.68亿</t>
  </si>
  <si>
    <t>1.18亿</t>
  </si>
  <si>
    <t>256.12万</t>
  </si>
  <si>
    <t>2905.10万</t>
  </si>
  <si>
    <t>-2848400亿</t>
  </si>
  <si>
    <t>1282954亿</t>
  </si>
  <si>
    <t>960537440亿</t>
  </si>
  <si>
    <t>604.78万</t>
  </si>
  <si>
    <t>1985148000亿</t>
  </si>
  <si>
    <t>2219.00万</t>
  </si>
  <si>
    <t>9.48亿</t>
  </si>
  <si>
    <t>4.31亿</t>
  </si>
  <si>
    <t>-6978.23万</t>
  </si>
  <si>
    <t>-8454.92万</t>
  </si>
  <si>
    <t>35.36亿</t>
  </si>
  <si>
    <t>2.88亿</t>
  </si>
  <si>
    <t>3091.10万</t>
  </si>
  <si>
    <t>1096.79万</t>
  </si>
  <si>
    <t>10派0.2元(含税)</t>
  </si>
  <si>
    <t>1831.31万</t>
  </si>
  <si>
    <t>0118000000</t>
  </si>
  <si>
    <t>0354000000</t>
  </si>
  <si>
    <t>0708000000</t>
  </si>
  <si>
    <t>01180000000</t>
  </si>
  <si>
    <t>02360000000</t>
  </si>
  <si>
    <t>4763.75万</t>
  </si>
  <si>
    <t>28.73亿</t>
  </si>
  <si>
    <t>16.49亿</t>
  </si>
  <si>
    <t>11.25亿</t>
  </si>
  <si>
    <t>44.57亿</t>
  </si>
  <si>
    <t>6448.41万</t>
  </si>
  <si>
    <t>10.11亿</t>
  </si>
  <si>
    <t>423.57万</t>
  </si>
  <si>
    <t>1483.85万</t>
  </si>
  <si>
    <t>27934816亿</t>
  </si>
  <si>
    <t>830605400亿</t>
  </si>
  <si>
    <t>1581.41万</t>
  </si>
  <si>
    <t>2443704100亿</t>
  </si>
  <si>
    <t>7.90亿</t>
  </si>
  <si>
    <t>4.46亿</t>
  </si>
  <si>
    <t>20.10亿</t>
  </si>
  <si>
    <t>-4108.48万</t>
  </si>
  <si>
    <t>-1.47亿</t>
  </si>
  <si>
    <t>7105.96万</t>
  </si>
  <si>
    <t>6730.61万</t>
  </si>
  <si>
    <t>10.03亿</t>
  </si>
  <si>
    <t>1236.57万</t>
  </si>
  <si>
    <t>8-0</t>
  </si>
  <si>
    <t>699.43万</t>
  </si>
  <si>
    <t>32.66亿</t>
  </si>
  <si>
    <t>11.17亿</t>
  </si>
  <si>
    <t>26.45万</t>
  </si>
  <si>
    <t>3734.77万</t>
  </si>
  <si>
    <t>5.39万</t>
  </si>
  <si>
    <t>80414955亿</t>
  </si>
  <si>
    <t>12.64亿</t>
  </si>
  <si>
    <t>23211627亿</t>
  </si>
  <si>
    <t>1365269600亿</t>
  </si>
  <si>
    <t>5836.24万</t>
  </si>
  <si>
    <t>21.05亿</t>
  </si>
  <si>
    <t>8.35亿</t>
  </si>
  <si>
    <t>3829.95万</t>
  </si>
  <si>
    <t>-2.90亿</t>
  </si>
  <si>
    <t>12.83亿</t>
  </si>
  <si>
    <t>4950.22万</t>
  </si>
  <si>
    <t>2935.94万</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</si>
</sst>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宋体"/>
      <family val="2"/>
      <charset val="134"/>
      <scheme val="minor"/>
    </font>
    <font>
      <sz val="9"/>
      <name val="宋体"/>
      <family val="2"/>
      <charset val="134"/>
      <scheme val="minor"/>
    </font>
    <font>
      <sz val="11"/>
      <color indexed="8"/>
      <name val="Calibri"/>
      <family val="2"/>
    </font>
    <font>
      <sz val="9"/>
      <color theme="1"/>
      <name val="宋体"/>
      <family val="2"/>
      <charset val="134"/>
      <scheme val="minor"/>
    </font>
    <font>
      <sz val="11"/>
      <color rgb="FFFF0000"/>
      <name val="宋体"/>
      <family val="2"/>
      <charset val="134"/>
      <scheme val="minor"/>
    </font>
    <font>
      <sz val="11"/>
      <name val="宋体"/>
      <family val="2"/>
      <charset val="134"/>
      <scheme val="minor"/>
    </font>
    <font>
      <b/>
      <sz val="9"/>
      <color theme="1"/>
      <name val="宋体"/>
      <family val="3"/>
      <charset val="134"/>
      <scheme val="minor"/>
    </font>
    <font>
      <sz val="9"/>
      <color rgb="FFFF0000"/>
      <name val="宋体"/>
      <family val="3"/>
      <charset val="134"/>
      <scheme val="minor"/>
    </font>
    <font>
      <sz val="11"/>
      <color rgb="FF000000"/>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4">
    <xf numFmtId="0" fontId="0" fillId="0" borderId="0" xfId="0">
      <alignment vertical="center"/>
    </xf>
    <xf numFmtId="0" fontId="0" fillId="0" borderId="0" xfId="0" applyFill="1">
      <alignment vertical="center"/>
    </xf>
    <xf numFmtId="0" fontId="0" fillId="2" borderId="0" xfId="0" applyFill="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0" fontId="3" fillId="0" borderId="0" xfId="0" applyFont="1" applyAlignment="1">
      <alignment vertical="center" wrapText="1"/>
    </xf>
    <xf numFmtId="0" fontId="0" fillId="4" borderId="0" xfId="0" applyFill="1">
      <alignment vertical="center"/>
    </xf>
    <xf numFmtId="0" fontId="0" fillId="5" borderId="0" xfId="0" applyFill="1">
      <alignment vertical="center"/>
    </xf>
    <xf numFmtId="0" fontId="5" fillId="0" borderId="0" xfId="0" applyFont="1">
      <alignment vertical="center"/>
    </xf>
    <xf numFmtId="0" fontId="4" fillId="0" borderId="0" xfId="0" applyFont="1">
      <alignment vertical="center"/>
    </xf>
    <xf numFmtId="0" fontId="5" fillId="0" borderId="0" xfId="0" applyFont="1" applyFill="1">
      <alignment vertical="center"/>
    </xf>
    <xf numFmtId="14" fontId="0" fillId="0" borderId="0" xfId="0" applyNumberFormat="1">
      <alignment vertical="center"/>
    </xf>
    <xf numFmtId="0" fontId="0" fillId="0" borderId="0" xfId="0" applyNumberFormat="1">
      <alignment vertical="center"/>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222250</xdr:colOff>
          <xdr:row>0</xdr:row>
          <xdr:rowOff>139700</xdr:rowOff>
        </xdr:from>
        <xdr:to>
          <xdr:col>147</xdr:col>
          <xdr:colOff>1663700</xdr:colOff>
          <xdr:row>0</xdr:row>
          <xdr:rowOff>450850</xdr:rowOff>
        </xdr:to>
        <xdr:sp macro="" textlink="">
          <xdr:nvSpPr>
            <xdr:cNvPr id="2050" name="Button 2" descr="更新基本面按钮&#10;"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57"/>
  <sheetViews>
    <sheetView tabSelected="1" zoomScale="85" zoomScaleNormal="85" workbookViewId="0">
      <pane xSplit="5" ySplit="1" topLeftCell="F39" activePane="bottomRight" state="frozen"/>
      <selection pane="topRight" activeCell="F1" sqref="F1"/>
      <selection pane="bottomLeft" activeCell="A2" sqref="A2"/>
      <selection pane="bottomRight" activeCell="A58" sqref="A58:XFD58"/>
    </sheetView>
  </sheetViews>
  <sheetFormatPr defaultRowHeight="14" x14ac:dyDescent="0.25"/>
  <cols>
    <col min="1" max="1" width="34.1796875" customWidth="1"/>
    <col min="2" max="2" width="38.54296875" customWidth="1"/>
    <col min="3" max="3" width="43.36328125" customWidth="1"/>
    <col min="148" max="148" width="26.08984375" customWidth="1"/>
  </cols>
  <sheetData>
    <row r="1" spans="1:146" ht="48" customHeight="1" x14ac:dyDescent="0.25">
      <c r="A1" s="3" t="s">
        <v>10</v>
      </c>
      <c r="B1" s="4" t="s">
        <v>11</v>
      </c>
      <c r="C1" s="3" t="s">
        <v>12</v>
      </c>
      <c r="D1" t="s">
        <v>6</v>
      </c>
      <c r="E1" t="s">
        <v>592</v>
      </c>
      <c r="F1" t="s">
        <v>3</v>
      </c>
      <c r="G1" t="s">
        <v>657</v>
      </c>
      <c r="H1" t="s">
        <v>658</v>
      </c>
      <c r="I1" t="s">
        <v>7</v>
      </c>
      <c r="J1" t="s">
        <v>8</v>
      </c>
      <c r="K1" t="s">
        <v>4</v>
      </c>
      <c r="L1" t="s">
        <v>9</v>
      </c>
      <c r="M1" t="s">
        <v>13</v>
      </c>
      <c r="N1" t="s">
        <v>14</v>
      </c>
      <c r="O1" t="s">
        <v>15</v>
      </c>
      <c r="P1" t="s">
        <v>659</v>
      </c>
      <c r="Q1" t="s">
        <v>615</v>
      </c>
      <c r="R1" t="s">
        <v>593</v>
      </c>
      <c r="S1" t="s">
        <v>16</v>
      </c>
      <c r="T1" t="s">
        <v>660</v>
      </c>
      <c r="U1" t="s">
        <v>495</v>
      </c>
      <c r="V1" t="s">
        <v>17</v>
      </c>
      <c r="W1" t="s">
        <v>616</v>
      </c>
      <c r="X1" t="s">
        <v>617</v>
      </c>
      <c r="Y1" t="s">
        <v>618</v>
      </c>
      <c r="Z1" t="s">
        <v>619</v>
      </c>
      <c r="AA1" t="s">
        <v>620</v>
      </c>
      <c r="AB1" t="s">
        <v>661</v>
      </c>
      <c r="AC1" t="s">
        <v>621</v>
      </c>
      <c r="AD1" t="s">
        <v>622</v>
      </c>
      <c r="AE1" t="s">
        <v>18</v>
      </c>
      <c r="AF1" t="s">
        <v>19</v>
      </c>
      <c r="AG1" t="s">
        <v>662</v>
      </c>
      <c r="AH1" t="s">
        <v>594</v>
      </c>
      <c r="AI1" t="s">
        <v>663</v>
      </c>
      <c r="AJ1" t="s">
        <v>20</v>
      </c>
      <c r="AK1" t="s">
        <v>664</v>
      </c>
      <c r="AL1" t="s">
        <v>39</v>
      </c>
      <c r="AM1" t="s">
        <v>665</v>
      </c>
      <c r="AN1" t="s">
        <v>666</v>
      </c>
      <c r="AO1" t="s">
        <v>667</v>
      </c>
      <c r="AP1" t="s">
        <v>668</v>
      </c>
      <c r="AQ1" t="s">
        <v>669</v>
      </c>
      <c r="AR1" t="s">
        <v>670</v>
      </c>
      <c r="AS1" t="s">
        <v>671</v>
      </c>
      <c r="AT1" t="s">
        <v>672</v>
      </c>
      <c r="AU1" t="s">
        <v>673</v>
      </c>
      <c r="AV1" t="s">
        <v>674</v>
      </c>
      <c r="AW1" t="s">
        <v>675</v>
      </c>
      <c r="AX1" t="s">
        <v>595</v>
      </c>
      <c r="AY1" t="s">
        <v>40</v>
      </c>
      <c r="AZ1" t="s">
        <v>41</v>
      </c>
      <c r="BA1" t="s">
        <v>498</v>
      </c>
      <c r="BB1" t="s">
        <v>42</v>
      </c>
      <c r="BC1" t="s">
        <v>499</v>
      </c>
      <c r="BD1" t="s">
        <v>43</v>
      </c>
      <c r="BE1" t="s">
        <v>44</v>
      </c>
      <c r="BF1" t="s">
        <v>45</v>
      </c>
      <c r="BG1" t="s">
        <v>46</v>
      </c>
      <c r="BH1" t="s">
        <v>676</v>
      </c>
      <c r="BI1" t="s">
        <v>677</v>
      </c>
      <c r="BJ1" t="s">
        <v>678</v>
      </c>
      <c r="BK1" t="s">
        <v>679</v>
      </c>
      <c r="BL1" t="s">
        <v>680</v>
      </c>
      <c r="BM1" t="s">
        <v>681</v>
      </c>
      <c r="BN1" t="s">
        <v>596</v>
      </c>
      <c r="BO1" t="s">
        <v>496</v>
      </c>
      <c r="BP1" t="s">
        <v>47</v>
      </c>
      <c r="BQ1" t="s">
        <v>597</v>
      </c>
      <c r="BR1" t="s">
        <v>497</v>
      </c>
      <c r="BS1" t="s">
        <v>48</v>
      </c>
      <c r="BT1" t="s">
        <v>682</v>
      </c>
      <c r="BU1" t="s">
        <v>623</v>
      </c>
      <c r="BV1" t="s">
        <v>683</v>
      </c>
      <c r="BW1" t="s">
        <v>91</v>
      </c>
      <c r="BX1" t="s">
        <v>49</v>
      </c>
      <c r="BY1" t="s">
        <v>684</v>
      </c>
      <c r="BZ1" t="s">
        <v>92</v>
      </c>
      <c r="CA1" t="s">
        <v>50</v>
      </c>
      <c r="CB1" t="s">
        <v>685</v>
      </c>
      <c r="CC1" t="s">
        <v>686</v>
      </c>
      <c r="CD1" t="s">
        <v>687</v>
      </c>
      <c r="CE1" t="s">
        <v>688</v>
      </c>
      <c r="CF1" s="1" t="s">
        <v>76</v>
      </c>
      <c r="CG1" s="1" t="s">
        <v>77</v>
      </c>
      <c r="CH1" s="1" t="s">
        <v>78</v>
      </c>
      <c r="CI1" s="1" t="s">
        <v>79</v>
      </c>
      <c r="CJ1" s="1" t="s">
        <v>80</v>
      </c>
      <c r="CK1" s="1" t="s">
        <v>81</v>
      </c>
      <c r="CL1" s="1" t="s">
        <v>82</v>
      </c>
      <c r="CM1" s="1" t="s">
        <v>83</v>
      </c>
      <c r="CN1" s="1" t="s">
        <v>84</v>
      </c>
      <c r="CO1" s="1" t="s">
        <v>85</v>
      </c>
      <c r="CP1" s="1" t="s">
        <v>86</v>
      </c>
      <c r="CQ1" s="1" t="s">
        <v>87</v>
      </c>
      <c r="CR1" s="1" t="s">
        <v>704</v>
      </c>
      <c r="CS1" s="1" t="s">
        <v>705</v>
      </c>
      <c r="CT1" s="1" t="s">
        <v>706</v>
      </c>
      <c r="CU1" s="1" t="s">
        <v>707</v>
      </c>
      <c r="CV1" s="1" t="s">
        <v>689</v>
      </c>
      <c r="CW1" s="1" t="s">
        <v>690</v>
      </c>
      <c r="CX1">
        <v>1</v>
      </c>
      <c r="CY1" t="s">
        <v>691</v>
      </c>
      <c r="CZ1" t="s">
        <v>708</v>
      </c>
      <c r="DA1">
        <v>3</v>
      </c>
      <c r="DB1" t="s">
        <v>709</v>
      </c>
      <c r="DC1" t="s">
        <v>692</v>
      </c>
      <c r="DD1">
        <v>6</v>
      </c>
      <c r="DE1" t="s">
        <v>693</v>
      </c>
      <c r="DF1" t="s">
        <v>710</v>
      </c>
      <c r="DG1">
        <v>10</v>
      </c>
      <c r="DH1" t="s">
        <v>694</v>
      </c>
      <c r="DI1" t="s">
        <v>711</v>
      </c>
      <c r="DJ1">
        <v>20</v>
      </c>
      <c r="DK1" t="s">
        <v>712</v>
      </c>
      <c r="DL1" t="s">
        <v>88</v>
      </c>
      <c r="DM1" t="s">
        <v>89</v>
      </c>
      <c r="DN1" s="2" t="s">
        <v>90</v>
      </c>
      <c r="DO1" t="s">
        <v>713</v>
      </c>
      <c r="DP1" t="s">
        <v>714</v>
      </c>
      <c r="DQ1" s="11" t="s">
        <v>715</v>
      </c>
      <c r="DR1" s="1" t="s">
        <v>716</v>
      </c>
      <c r="DS1" s="1" t="s">
        <v>695</v>
      </c>
      <c r="DT1" t="s">
        <v>717</v>
      </c>
      <c r="DU1" t="s">
        <v>718</v>
      </c>
      <c r="DV1" t="s">
        <v>719</v>
      </c>
      <c r="DW1" t="s">
        <v>720</v>
      </c>
      <c r="DX1" t="s">
        <v>696</v>
      </c>
      <c r="DY1" t="s">
        <v>697</v>
      </c>
      <c r="DZ1" t="s">
        <v>721</v>
      </c>
      <c r="EA1" t="s">
        <v>698</v>
      </c>
      <c r="EB1" t="s">
        <v>722</v>
      </c>
      <c r="EC1" t="s">
        <v>699</v>
      </c>
      <c r="ED1" t="s">
        <v>723</v>
      </c>
      <c r="EE1" t="s">
        <v>724</v>
      </c>
      <c r="EF1" t="s">
        <v>725</v>
      </c>
      <c r="EG1" t="s">
        <v>700</v>
      </c>
      <c r="EH1" t="s">
        <v>726</v>
      </c>
      <c r="EI1" t="s">
        <v>727</v>
      </c>
      <c r="EK1" s="12" t="s">
        <v>728</v>
      </c>
      <c r="EL1" t="s">
        <v>701</v>
      </c>
      <c r="EM1" t="s">
        <v>729</v>
      </c>
      <c r="EN1" t="s">
        <v>702</v>
      </c>
      <c r="EO1" t="s">
        <v>730</v>
      </c>
      <c r="EP1" t="s">
        <v>703</v>
      </c>
    </row>
    <row r="2" spans="1:146" ht="96" x14ac:dyDescent="0.25">
      <c r="A2" s="6"/>
      <c r="B2" s="6"/>
      <c r="C2" s="6" t="str">
        <f>""&amp;CHAR(10)&amp;Basic_Fundamental_Information_Constructure(F2)&amp;CHAR(10)&amp;Basic_Fundamental_Information_Concatenate("")</f>
        <v xml:space="preserve">
市值162.58519亿, 利润6.88亿; PE26.79; 平均PE16.71; 平均PEG.61, PB1.28; ROIC5.2533%; ROE7.7133%; 股利率1.2874%; 毛利5.3067%; 净利2.19%; 上一年度营收增18.53%, 利润增-43.23%; 当季营收增7.33%, 利润增-25.2%; 过往5年营收增27.37%, 利润增-2.53%
Income profile:
</v>
      </c>
      <c r="D2" t="s">
        <v>103</v>
      </c>
      <c r="E2" t="s">
        <v>104</v>
      </c>
      <c r="F2">
        <v>4.3499999999999996</v>
      </c>
      <c r="G2">
        <v>2.35</v>
      </c>
      <c r="H2" t="s">
        <v>973</v>
      </c>
      <c r="I2">
        <v>16258519000</v>
      </c>
      <c r="J2">
        <v>26.79</v>
      </c>
      <c r="K2">
        <v>1.28</v>
      </c>
      <c r="L2" t="s">
        <v>105</v>
      </c>
      <c r="M2" t="s">
        <v>974</v>
      </c>
      <c r="N2" t="s">
        <v>975</v>
      </c>
      <c r="O2" t="s">
        <v>976</v>
      </c>
      <c r="P2">
        <v>7.33</v>
      </c>
      <c r="Q2" t="s">
        <v>977</v>
      </c>
      <c r="R2">
        <v>239349140</v>
      </c>
      <c r="S2" s="5">
        <v>-0.25230000000000002</v>
      </c>
      <c r="T2" t="s">
        <v>493</v>
      </c>
      <c r="U2">
        <v>3737303800</v>
      </c>
      <c r="V2">
        <v>3737590700</v>
      </c>
      <c r="W2">
        <v>2.65</v>
      </c>
      <c r="X2">
        <v>0.41</v>
      </c>
      <c r="Y2">
        <v>1.77</v>
      </c>
      <c r="Z2" t="s">
        <v>978</v>
      </c>
      <c r="AA2" t="s">
        <v>979</v>
      </c>
      <c r="AB2" t="s">
        <v>980</v>
      </c>
      <c r="AC2" t="s">
        <v>981</v>
      </c>
      <c r="AD2" t="s">
        <v>5</v>
      </c>
      <c r="AE2">
        <v>117706790</v>
      </c>
      <c r="AF2" t="s">
        <v>982</v>
      </c>
      <c r="AG2" t="s">
        <v>983</v>
      </c>
      <c r="AH2" t="s">
        <v>984</v>
      </c>
      <c r="AI2" t="s">
        <v>985</v>
      </c>
      <c r="AJ2" t="s">
        <v>986</v>
      </c>
      <c r="AK2" t="s">
        <v>987</v>
      </c>
      <c r="AL2" t="s">
        <v>988</v>
      </c>
      <c r="AM2" t="s">
        <v>5</v>
      </c>
      <c r="AN2" t="s">
        <v>989</v>
      </c>
      <c r="AO2" t="s">
        <v>990</v>
      </c>
      <c r="AP2" t="s">
        <v>991</v>
      </c>
      <c r="AQ2" t="s">
        <v>992</v>
      </c>
      <c r="AR2" t="s">
        <v>5</v>
      </c>
      <c r="AS2" t="s">
        <v>993</v>
      </c>
      <c r="AT2" t="s">
        <v>994</v>
      </c>
      <c r="AU2" t="s">
        <v>740</v>
      </c>
      <c r="AV2" t="s">
        <v>995</v>
      </c>
      <c r="AW2" t="s">
        <v>996</v>
      </c>
      <c r="AX2" t="s">
        <v>997</v>
      </c>
      <c r="AY2" t="s">
        <v>794</v>
      </c>
      <c r="AZ2" t="s">
        <v>795</v>
      </c>
      <c r="BA2" t="s">
        <v>108</v>
      </c>
      <c r="BB2" t="s">
        <v>109</v>
      </c>
      <c r="BC2" t="s">
        <v>792</v>
      </c>
      <c r="BD2" t="s">
        <v>500</v>
      </c>
      <c r="BE2" t="s">
        <v>106</v>
      </c>
      <c r="BF2" t="s">
        <v>110</v>
      </c>
      <c r="BG2" t="s">
        <v>111</v>
      </c>
      <c r="BH2" t="s">
        <v>977</v>
      </c>
      <c r="BI2" t="s">
        <v>998</v>
      </c>
      <c r="BJ2" t="s">
        <v>997</v>
      </c>
      <c r="BK2" t="s">
        <v>493</v>
      </c>
      <c r="BL2" t="s">
        <v>999</v>
      </c>
      <c r="BM2" t="s">
        <v>792</v>
      </c>
      <c r="BN2">
        <v>4.01</v>
      </c>
      <c r="BO2">
        <v>5.54</v>
      </c>
      <c r="BP2">
        <v>6.21</v>
      </c>
      <c r="BQ2">
        <v>5.17</v>
      </c>
      <c r="BR2">
        <v>8.61</v>
      </c>
      <c r="BS2">
        <v>9.36</v>
      </c>
      <c r="BT2" t="s">
        <v>1000</v>
      </c>
      <c r="BU2" t="s">
        <v>624</v>
      </c>
      <c r="BV2">
        <v>4.8499999999999996</v>
      </c>
      <c r="BW2">
        <v>5.1100000000000003</v>
      </c>
      <c r="BX2">
        <v>5.96</v>
      </c>
      <c r="BY2">
        <v>1.59</v>
      </c>
      <c r="BZ2">
        <v>2.23</v>
      </c>
      <c r="CA2">
        <v>2.75</v>
      </c>
      <c r="CB2">
        <v>2.59</v>
      </c>
      <c r="CC2">
        <v>-5.84</v>
      </c>
      <c r="CD2" t="s">
        <v>96</v>
      </c>
      <c r="CE2" t="s">
        <v>1001</v>
      </c>
      <c r="CF2" s="7">
        <v>7.3348030745397003E-2</v>
      </c>
      <c r="CG2" s="8">
        <v>-0.25203393750000003</v>
      </c>
      <c r="CH2" s="7">
        <v>0.18534846603870392</v>
      </c>
      <c r="CI2" s="7">
        <v>0.24499984085559845</v>
      </c>
      <c r="CJ2" s="7">
        <v>0.47055521607398987</v>
      </c>
      <c r="CK2" s="7">
        <v>0.32564356923103333</v>
      </c>
      <c r="CL2" s="7">
        <v>0.1421629786491394</v>
      </c>
      <c r="CM2" s="8">
        <v>-0.4323432445526123</v>
      </c>
      <c r="CN2" s="8">
        <v>3.4129694104194641E-2</v>
      </c>
      <c r="CO2" s="8">
        <v>0.17788945138454437</v>
      </c>
      <c r="CP2" s="8">
        <v>0.167840376496315</v>
      </c>
      <c r="CQ2" s="8">
        <v>-7.3913045227527618E-2</v>
      </c>
      <c r="CR2">
        <v>16.706818633327625</v>
      </c>
      <c r="CS2">
        <v>0.61031254862364848</v>
      </c>
      <c r="CT2">
        <v>1.2873563218390807</v>
      </c>
      <c r="CU2" s="7">
        <v>0.27374201416969302</v>
      </c>
      <c r="CV2" s="8">
        <v>-2.5279353559017181E-2</v>
      </c>
      <c r="CW2">
        <v>0.06</v>
      </c>
      <c r="CX2">
        <v>30.28255759177938</v>
      </c>
      <c r="CY2">
        <v>826730665.80070627</v>
      </c>
      <c r="CZ2">
        <v>0.27374201416969302</v>
      </c>
      <c r="DA2">
        <v>8.4989142135313891</v>
      </c>
      <c r="DB2">
        <v>2945731462.9838433</v>
      </c>
      <c r="DC2">
        <v>0.26005491346120835</v>
      </c>
      <c r="DD2">
        <v>3.3706417330312202</v>
      </c>
      <c r="DE2">
        <v>7427523000.934763</v>
      </c>
      <c r="DF2">
        <v>0.24089297246932986</v>
      </c>
      <c r="DG2">
        <v>1.5585107526217694</v>
      </c>
      <c r="DH2">
        <v>16063744801.172892</v>
      </c>
      <c r="DI2">
        <v>0.21899361133575443</v>
      </c>
      <c r="DJ2">
        <v>0.42802037772864837</v>
      </c>
      <c r="DK2">
        <v>58491418405.952019</v>
      </c>
      <c r="DL2">
        <v>0.19161940991878509</v>
      </c>
      <c r="DM2">
        <v>688000000</v>
      </c>
      <c r="DN2">
        <v>0.27374201416969302</v>
      </c>
      <c r="DO2">
        <v>25035519000</v>
      </c>
      <c r="DP2">
        <v>6816512000</v>
      </c>
      <c r="DQ2">
        <v>41</v>
      </c>
      <c r="DR2">
        <v>-0.20039398342429601</v>
      </c>
      <c r="DS2">
        <v>-0.22675458394098286</v>
      </c>
      <c r="DT2" s="9">
        <v>0.12666666666666662</v>
      </c>
      <c r="DU2">
        <v>-0.13666666666666669</v>
      </c>
      <c r="DV2">
        <v>-1.0000000000000064E-2</v>
      </c>
      <c r="DW2">
        <v>6.3072360616844598</v>
      </c>
      <c r="DX2">
        <v>0.41658082975679406</v>
      </c>
      <c r="DY2">
        <v>6.03274547438554</v>
      </c>
      <c r="DZ2">
        <v>1737</v>
      </c>
      <c r="EA2">
        <v>6.0216145763409834</v>
      </c>
      <c r="EB2">
        <v>6</v>
      </c>
      <c r="EC2">
        <v>3.9865253303418162E-2</v>
      </c>
      <c r="ED2">
        <v>0.37403774575958787</v>
      </c>
      <c r="EE2" s="10">
        <v>0.11341</v>
      </c>
      <c r="EF2">
        <v>0.13451000000000002</v>
      </c>
      <c r="EG2">
        <v>31.106580829756794</v>
      </c>
      <c r="EH2">
        <v>-1</v>
      </c>
      <c r="EI2">
        <v>0</v>
      </c>
      <c r="EJ2">
        <v>0</v>
      </c>
      <c r="EK2" s="12">
        <v>45470</v>
      </c>
      <c r="EL2" s="13">
        <v>0.23</v>
      </c>
      <c r="EM2" s="13">
        <v>-3.02</v>
      </c>
      <c r="EN2" s="13">
        <v>0.72</v>
      </c>
      <c r="EO2" s="13">
        <v>1.43</v>
      </c>
      <c r="EP2" s="13">
        <v>-2.11</v>
      </c>
    </row>
    <row r="3" spans="1:146" ht="96" x14ac:dyDescent="0.25">
      <c r="A3" s="6"/>
      <c r="B3" s="6"/>
      <c r="C3" s="6" t="str">
        <f>""&amp;CHAR(10)&amp;Basic_Fundamental_Information_Constructure(F3)&amp;CHAR(10)&amp;Basic_Fundamental_Information_Concatenate("")</f>
        <v xml:space="preserve">
市值259.77898亿, 利润9.69亿; PE21.93; 平均PE137.21; 平均PEG4.95, PB3.88; ROIC5.7067%; ROE5.7367%; 股利率.4597%; 毛利48.8633%; 净利15.4433%; 上一年度营收增77.66%, 利润增456.9%; 当季营收增66.45%, 利润增1539.37%; 过往5年营收增27.72%, 利润增108.12%
Income profile:
</v>
      </c>
      <c r="D3" t="s">
        <v>112</v>
      </c>
      <c r="E3" t="s">
        <v>796</v>
      </c>
      <c r="F3">
        <v>14.14</v>
      </c>
      <c r="G3">
        <v>5.76</v>
      </c>
      <c r="H3" t="s">
        <v>1002</v>
      </c>
      <c r="I3">
        <v>25977898000</v>
      </c>
      <c r="J3">
        <v>21.93</v>
      </c>
      <c r="K3">
        <v>3.88</v>
      </c>
      <c r="L3" t="s">
        <v>105</v>
      </c>
      <c r="M3" t="s">
        <v>1003</v>
      </c>
      <c r="N3" t="s">
        <v>1004</v>
      </c>
      <c r="O3" t="s">
        <v>570</v>
      </c>
      <c r="P3">
        <v>66.510000000000005</v>
      </c>
      <c r="Q3" t="s">
        <v>1005</v>
      </c>
      <c r="R3">
        <v>229351080</v>
      </c>
      <c r="S3" s="5">
        <v>15.39</v>
      </c>
      <c r="T3" t="s">
        <v>891</v>
      </c>
      <c r="U3">
        <v>1477884900</v>
      </c>
      <c r="V3">
        <v>1837192200</v>
      </c>
      <c r="W3">
        <v>1.67</v>
      </c>
      <c r="X3">
        <v>7.0000000000000007E-2</v>
      </c>
      <c r="Y3">
        <v>29.42</v>
      </c>
      <c r="Z3" t="s">
        <v>182</v>
      </c>
      <c r="AA3" t="s">
        <v>1006</v>
      </c>
      <c r="AB3" t="s">
        <v>1007</v>
      </c>
      <c r="AC3" t="s">
        <v>1008</v>
      </c>
      <c r="AD3" t="s">
        <v>5</v>
      </c>
      <c r="AE3">
        <v>33806677</v>
      </c>
      <c r="AF3" t="s">
        <v>1009</v>
      </c>
      <c r="AG3" t="s">
        <v>1010</v>
      </c>
      <c r="AH3" t="s">
        <v>1011</v>
      </c>
      <c r="AI3" t="s">
        <v>1012</v>
      </c>
      <c r="AJ3" t="s">
        <v>1013</v>
      </c>
      <c r="AK3" t="s">
        <v>102</v>
      </c>
      <c r="AL3" t="s">
        <v>1014</v>
      </c>
      <c r="AM3" t="s">
        <v>5</v>
      </c>
      <c r="AN3" t="s">
        <v>98</v>
      </c>
      <c r="AO3" t="s">
        <v>760</v>
      </c>
      <c r="AP3" t="s">
        <v>5</v>
      </c>
      <c r="AQ3" t="s">
        <v>1015</v>
      </c>
      <c r="AR3" t="s">
        <v>5</v>
      </c>
      <c r="AS3" t="s">
        <v>1016</v>
      </c>
      <c r="AT3" t="s">
        <v>848</v>
      </c>
      <c r="AU3" t="s">
        <v>1017</v>
      </c>
      <c r="AV3" t="s">
        <v>1018</v>
      </c>
      <c r="AW3" t="s">
        <v>1019</v>
      </c>
      <c r="AX3" t="s">
        <v>758</v>
      </c>
      <c r="AY3" t="s">
        <v>501</v>
      </c>
      <c r="AZ3" t="s">
        <v>113</v>
      </c>
      <c r="BA3" t="s">
        <v>116</v>
      </c>
      <c r="BB3" t="s">
        <v>117</v>
      </c>
      <c r="BC3" t="s">
        <v>132</v>
      </c>
      <c r="BD3" t="s">
        <v>502</v>
      </c>
      <c r="BE3" t="s">
        <v>114</v>
      </c>
      <c r="BF3" t="s">
        <v>26</v>
      </c>
      <c r="BG3" t="s">
        <v>119</v>
      </c>
      <c r="BH3" t="s">
        <v>1005</v>
      </c>
      <c r="BI3" t="s">
        <v>1020</v>
      </c>
      <c r="BJ3" t="s">
        <v>758</v>
      </c>
      <c r="BK3" t="s">
        <v>891</v>
      </c>
      <c r="BL3" t="s">
        <v>1021</v>
      </c>
      <c r="BM3" t="s">
        <v>132</v>
      </c>
      <c r="BN3">
        <v>8.07</v>
      </c>
      <c r="BO3">
        <v>4.22</v>
      </c>
      <c r="BP3">
        <v>4.83</v>
      </c>
      <c r="BQ3">
        <v>9.33</v>
      </c>
      <c r="BR3">
        <v>3.19</v>
      </c>
      <c r="BS3">
        <v>4.6900000000000004</v>
      </c>
      <c r="BT3" t="s">
        <v>1022</v>
      </c>
      <c r="BU3" t="s">
        <v>624</v>
      </c>
      <c r="BV3">
        <v>52.88</v>
      </c>
      <c r="BW3">
        <v>44.47</v>
      </c>
      <c r="BX3">
        <v>49.24</v>
      </c>
      <c r="BY3">
        <v>25.72</v>
      </c>
      <c r="BZ3">
        <v>8.34</v>
      </c>
      <c r="CA3">
        <v>12.27</v>
      </c>
      <c r="CB3">
        <v>4.12</v>
      </c>
      <c r="CC3">
        <v>1.73</v>
      </c>
      <c r="CD3" t="s">
        <v>334</v>
      </c>
      <c r="CE3" t="s">
        <v>636</v>
      </c>
      <c r="CF3" s="7">
        <v>0.66448801742919394</v>
      </c>
      <c r="CG3" s="8">
        <v>15.393695586910837</v>
      </c>
      <c r="CH3" s="7">
        <v>0.77660590410232544</v>
      </c>
      <c r="CI3" s="7">
        <v>3.832755982875824E-2</v>
      </c>
      <c r="CJ3" s="7">
        <v>1.1372339725494385</v>
      </c>
      <c r="CK3" s="7">
        <v>7.551487535238266E-2</v>
      </c>
      <c r="CL3" s="7">
        <v>-0.64165639877319336</v>
      </c>
      <c r="CM3" s="8">
        <v>4.5689654350280762</v>
      </c>
      <c r="CN3" s="8">
        <v>-0.29268291592597961</v>
      </c>
      <c r="CO3" s="8">
        <v>2.3369565010070801</v>
      </c>
      <c r="CP3" s="8">
        <v>-2.8039214611053467</v>
      </c>
      <c r="CQ3" s="8">
        <v>1.5964912176132202</v>
      </c>
      <c r="CR3">
        <v>137.20720774647887</v>
      </c>
      <c r="CS3">
        <v>4.9496624288786961</v>
      </c>
      <c r="CT3">
        <v>0.45968882602545968</v>
      </c>
      <c r="CU3" s="7">
        <v>0.27720518261194227</v>
      </c>
      <c r="CV3" s="8">
        <v>1.0811617553234101</v>
      </c>
      <c r="CW3">
        <v>0.06</v>
      </c>
      <c r="CX3">
        <v>20.2747028066075</v>
      </c>
      <c r="CY3">
        <v>1167558322.5952568</v>
      </c>
      <c r="CZ3">
        <v>0.27720518261194227</v>
      </c>
      <c r="DA3">
        <v>5.6742544217392235</v>
      </c>
      <c r="DB3">
        <v>4171807649.1790957</v>
      </c>
      <c r="DC3">
        <v>0.26334492348134514</v>
      </c>
      <c r="DD3">
        <v>2.2409868287592278</v>
      </c>
      <c r="DE3">
        <v>10563158023.158249</v>
      </c>
      <c r="DF3">
        <v>0.2439405606985092</v>
      </c>
      <c r="DG3">
        <v>1.0306679916744435</v>
      </c>
      <c r="DH3">
        <v>22967529981.737541</v>
      </c>
      <c r="DI3">
        <v>0.22176414608955383</v>
      </c>
      <c r="DJ3">
        <v>0.27922764408703754</v>
      </c>
      <c r="DK3">
        <v>84776341101.174332</v>
      </c>
      <c r="DL3">
        <v>0.19404362782835957</v>
      </c>
      <c r="DM3">
        <v>969000000</v>
      </c>
      <c r="DN3">
        <v>0.27720518261194227</v>
      </c>
      <c r="DO3">
        <v>23671898000</v>
      </c>
      <c r="DP3">
        <v>-1759419450</v>
      </c>
      <c r="DQ3">
        <v>87</v>
      </c>
      <c r="DR3">
        <v>0.38728283481725168</v>
      </c>
      <c r="DS3">
        <v>14.312533831587427</v>
      </c>
      <c r="DT3" s="9">
        <v>-3.9999999999999959E-2</v>
      </c>
      <c r="DU3">
        <v>0.52500000000000002</v>
      </c>
      <c r="DV3">
        <v>0.48500000000000004</v>
      </c>
      <c r="DW3">
        <v>4.4199029126213594</v>
      </c>
      <c r="DX3">
        <v>0.51516367476240987</v>
      </c>
      <c r="DY3">
        <v>4.0567556207133411</v>
      </c>
      <c r="DZ3">
        <v>730</v>
      </c>
      <c r="EA3">
        <v>4.0486476748971496</v>
      </c>
      <c r="EB3">
        <v>4</v>
      </c>
      <c r="EC3">
        <v>6.9671534638564223E-2</v>
      </c>
      <c r="ED3">
        <v>0.51546049455250254</v>
      </c>
      <c r="EE3" s="10">
        <v>2.171E-2</v>
      </c>
      <c r="EF3">
        <v>5.6310000000000006E-2</v>
      </c>
      <c r="EG3">
        <v>38.13516367476241</v>
      </c>
      <c r="EH3">
        <v>-1</v>
      </c>
      <c r="EI3">
        <v>0</v>
      </c>
      <c r="EJ3">
        <v>1</v>
      </c>
      <c r="EK3" s="12">
        <v>45470</v>
      </c>
      <c r="EL3" s="13">
        <v>0.5</v>
      </c>
      <c r="EM3" s="13">
        <v>-1.98</v>
      </c>
      <c r="EN3" s="13">
        <v>1.37</v>
      </c>
      <c r="EO3" s="13">
        <v>-1.28</v>
      </c>
      <c r="EP3" s="13">
        <v>-3.46</v>
      </c>
    </row>
    <row r="4" spans="1:146" ht="96" x14ac:dyDescent="0.25">
      <c r="A4" s="6"/>
      <c r="B4" s="6"/>
      <c r="C4" s="6" t="str">
        <f>""&amp;CHAR(10)&amp;Basic_Fundamental_Information_Constructure(F4)&amp;CHAR(10)&amp;Basic_Fundamental_Information_Concatenate("")</f>
        <v xml:space="preserve">
市值87.005135亿, 利润1.48亿; PE70.77; 平均PE25.03; 平均PEG10.51, PB2.81; ROIC11.1733%; ROE11.6667%; 股利率.5959%; 毛利51.09%; 净利24.08%; 上一年度营收增19.96%, 利润增-59.45%; 当季营收增-6.41%, 利润增-153.98%; 过往5年营收增2.38%, 利润增-10.85%
Income profile:
</v>
      </c>
      <c r="D4" t="s">
        <v>121</v>
      </c>
      <c r="E4" t="s">
        <v>122</v>
      </c>
      <c r="F4">
        <v>12.61</v>
      </c>
      <c r="G4">
        <v>7.41</v>
      </c>
      <c r="H4" t="s">
        <v>1023</v>
      </c>
      <c r="I4">
        <v>8700513500</v>
      </c>
      <c r="J4">
        <v>70.77</v>
      </c>
      <c r="K4">
        <v>2.81</v>
      </c>
      <c r="L4" t="s">
        <v>105</v>
      </c>
      <c r="M4" t="s">
        <v>1024</v>
      </c>
      <c r="N4" t="s">
        <v>1025</v>
      </c>
      <c r="O4" t="s">
        <v>1026</v>
      </c>
      <c r="P4">
        <v>-6.27</v>
      </c>
      <c r="Q4" t="s">
        <v>1027</v>
      </c>
      <c r="R4">
        <v>-8778350</v>
      </c>
      <c r="S4" s="5">
        <v>-1.54</v>
      </c>
      <c r="T4" t="s">
        <v>774</v>
      </c>
      <c r="U4">
        <v>632489860</v>
      </c>
      <c r="V4">
        <v>689969350</v>
      </c>
      <c r="W4">
        <v>1.68</v>
      </c>
      <c r="X4">
        <v>0.04</v>
      </c>
      <c r="Y4">
        <v>-7.59</v>
      </c>
      <c r="Z4" t="s">
        <v>1028</v>
      </c>
      <c r="AA4" t="s">
        <v>651</v>
      </c>
      <c r="AB4" t="s">
        <v>1029</v>
      </c>
      <c r="AC4" t="s">
        <v>1030</v>
      </c>
      <c r="AD4" t="s">
        <v>5</v>
      </c>
      <c r="AE4">
        <v>18427290</v>
      </c>
      <c r="AF4" t="s">
        <v>1031</v>
      </c>
      <c r="AG4" t="s">
        <v>1032</v>
      </c>
      <c r="AH4" t="s">
        <v>1033</v>
      </c>
      <c r="AI4" t="s">
        <v>951</v>
      </c>
      <c r="AJ4" t="s">
        <v>1034</v>
      </c>
      <c r="AK4" t="s">
        <v>1035</v>
      </c>
      <c r="AL4" t="s">
        <v>1036</v>
      </c>
      <c r="AM4" t="s">
        <v>5</v>
      </c>
      <c r="AN4" t="s">
        <v>742</v>
      </c>
      <c r="AO4" t="s">
        <v>512</v>
      </c>
      <c r="AP4" t="s">
        <v>1037</v>
      </c>
      <c r="AQ4" t="s">
        <v>1038</v>
      </c>
      <c r="AR4" t="s">
        <v>5</v>
      </c>
      <c r="AS4" t="s">
        <v>965</v>
      </c>
      <c r="AT4" t="s">
        <v>31</v>
      </c>
      <c r="AU4" t="s">
        <v>1039</v>
      </c>
      <c r="AV4" t="s">
        <v>1040</v>
      </c>
      <c r="AW4" t="s">
        <v>1041</v>
      </c>
      <c r="AX4" t="s">
        <v>800</v>
      </c>
      <c r="AY4" t="s">
        <v>123</v>
      </c>
      <c r="AZ4" t="s">
        <v>123</v>
      </c>
      <c r="BA4" t="s">
        <v>129</v>
      </c>
      <c r="BB4" t="s">
        <v>130</v>
      </c>
      <c r="BC4" t="s">
        <v>588</v>
      </c>
      <c r="BD4" t="s">
        <v>348</v>
      </c>
      <c r="BE4" t="s">
        <v>124</v>
      </c>
      <c r="BF4" t="s">
        <v>68</v>
      </c>
      <c r="BG4" t="s">
        <v>131</v>
      </c>
      <c r="BH4" t="s">
        <v>1027</v>
      </c>
      <c r="BI4" t="s">
        <v>602</v>
      </c>
      <c r="BJ4" t="s">
        <v>800</v>
      </c>
      <c r="BK4" t="s">
        <v>774</v>
      </c>
      <c r="BL4" t="s">
        <v>1042</v>
      </c>
      <c r="BM4" t="s">
        <v>588</v>
      </c>
      <c r="BN4">
        <v>4.5999999999999996</v>
      </c>
      <c r="BO4">
        <v>12.88</v>
      </c>
      <c r="BP4">
        <v>16.04</v>
      </c>
      <c r="BQ4">
        <v>4.3899999999999997</v>
      </c>
      <c r="BR4">
        <v>13.05</v>
      </c>
      <c r="BS4">
        <v>17.559999999999999</v>
      </c>
      <c r="BT4" t="s">
        <v>1043</v>
      </c>
      <c r="BU4" t="s">
        <v>624</v>
      </c>
      <c r="BV4">
        <v>31.96</v>
      </c>
      <c r="BW4">
        <v>54.3</v>
      </c>
      <c r="BX4">
        <v>67.010000000000005</v>
      </c>
      <c r="BY4">
        <v>9.0399999999999991</v>
      </c>
      <c r="BZ4">
        <v>26.88</v>
      </c>
      <c r="CA4">
        <v>36.32</v>
      </c>
      <c r="CB4">
        <v>6.59</v>
      </c>
      <c r="CC4">
        <v>-9.48</v>
      </c>
      <c r="CD4" t="s">
        <v>1044</v>
      </c>
      <c r="CE4" t="s">
        <v>1045</v>
      </c>
      <c r="CF4" s="7">
        <v>-6.4056939501779361E-2</v>
      </c>
      <c r="CG4" s="8">
        <v>-1.5398340835854674</v>
      </c>
      <c r="CH4" s="7">
        <v>0.19957426190376282</v>
      </c>
      <c r="CI4" s="7">
        <v>0.14713068306446075</v>
      </c>
      <c r="CJ4" s="7">
        <v>0</v>
      </c>
      <c r="CK4" s="7">
        <v>-0.43536710739135742</v>
      </c>
      <c r="CL4" s="7">
        <v>0.20774358510971069</v>
      </c>
      <c r="CM4" s="8">
        <v>-0.59452056884765625</v>
      </c>
      <c r="CN4" s="8">
        <v>-0.13507108390331268</v>
      </c>
      <c r="CO4" s="8">
        <v>0.4501718282699585</v>
      </c>
      <c r="CP4" s="8">
        <v>-0.3504464328289032</v>
      </c>
      <c r="CQ4" s="8">
        <v>8.7378643453121185E-2</v>
      </c>
      <c r="CR4">
        <v>25.025446308724831</v>
      </c>
      <c r="CS4">
        <v>10.507703781215305</v>
      </c>
      <c r="CT4">
        <v>0.59587232355273601</v>
      </c>
      <c r="CU4" s="7">
        <v>2.3816284537315369E-2</v>
      </c>
      <c r="CV4" s="8">
        <v>-0.10849752277135849</v>
      </c>
      <c r="CW4">
        <v>0.06</v>
      </c>
      <c r="CX4">
        <v>52.477243193029565</v>
      </c>
      <c r="CY4">
        <v>142947934.06747422</v>
      </c>
      <c r="CZ4">
        <v>2.3816284537315369E-2</v>
      </c>
      <c r="DA4">
        <v>18.145040262732909</v>
      </c>
      <c r="DB4">
        <v>413419501.49358124</v>
      </c>
      <c r="DC4">
        <v>2.2625470310449598E-2</v>
      </c>
      <c r="DD4">
        <v>9.6136177596755861</v>
      </c>
      <c r="DE4">
        <v>780300786.60555565</v>
      </c>
      <c r="DF4">
        <v>2.0958330392837524E-2</v>
      </c>
      <c r="DG4">
        <v>6.2547570144590381</v>
      </c>
      <c r="DH4">
        <v>1199329323.6905689</v>
      </c>
      <c r="DI4">
        <v>1.9053027629852295E-2</v>
      </c>
      <c r="DJ4">
        <v>3.8165302602361209</v>
      </c>
      <c r="DK4">
        <v>1965532299.889559</v>
      </c>
      <c r="DL4">
        <v>1.6671399176120757E-2</v>
      </c>
      <c r="DM4">
        <v>148000000</v>
      </c>
      <c r="DN4">
        <v>2.3816284537315369E-2</v>
      </c>
      <c r="DO4">
        <v>7501513500</v>
      </c>
      <c r="DP4">
        <v>-20591500</v>
      </c>
      <c r="DQ4">
        <v>169</v>
      </c>
      <c r="DR4">
        <v>-8.7873224039094727E-2</v>
      </c>
      <c r="DS4">
        <v>-1.4313365608141089</v>
      </c>
      <c r="DT4" s="9">
        <v>-0.28999999999999998</v>
      </c>
      <c r="DU4">
        <v>-1.0483333333333333</v>
      </c>
      <c r="DV4">
        <v>-1.3383333333333334</v>
      </c>
      <c r="DW4">
        <v>7.4100808960796511</v>
      </c>
      <c r="DX4">
        <v>0.76279904942965915</v>
      </c>
      <c r="DY4">
        <v>7.0503575442278432</v>
      </c>
      <c r="DZ4">
        <v>3889</v>
      </c>
      <c r="EA4">
        <v>7.012032595205909</v>
      </c>
      <c r="EB4">
        <v>7</v>
      </c>
      <c r="EC4">
        <v>9.3616187443688617E-2</v>
      </c>
      <c r="ED4">
        <v>0.76235270450781623</v>
      </c>
      <c r="EE4" s="10">
        <v>1.0783100000000001</v>
      </c>
      <c r="EF4">
        <v>1.12531</v>
      </c>
      <c r="EG4">
        <v>64.122799049429659</v>
      </c>
      <c r="EH4" t="s">
        <v>907</v>
      </c>
      <c r="EI4">
        <v>1</v>
      </c>
      <c r="EJ4">
        <v>0</v>
      </c>
      <c r="EK4" s="12">
        <v>45470</v>
      </c>
      <c r="EL4" s="13">
        <v>-1.72</v>
      </c>
      <c r="EM4" s="13">
        <v>-3.81</v>
      </c>
      <c r="EN4" s="13">
        <v>0.66</v>
      </c>
      <c r="EO4" s="13">
        <v>-0.56999999999999995</v>
      </c>
      <c r="EP4" s="13">
        <v>-4.7</v>
      </c>
    </row>
    <row r="5" spans="1:146" ht="156" x14ac:dyDescent="0.25">
      <c r="A5" s="6"/>
      <c r="B5" s="6"/>
      <c r="C5" s="6" t="str">
        <f>"公司是一家以电解铝产品为主的企业，主营业务为铝冶炼及加工，铝制品、金属材料销售；主要产品电解铝液、铝锭及铝合金制品。公司年电解铝产能42万吨，是河南省百强企业和河南省电解铝骨干企业，也是国内首先产业化采用大型预焙电解槽技术的电解铝厂。"&amp;CHAR(10)&amp;Basic_Fundamental_Information_Constructure(F5)&amp;CHAR(10)&amp;Basic_Fundamental_Information_Concatenate("电解铝产品 33.48亿 96.22% 95.27% 8.96%
其他业务 1.32亿 3.78% 4.73% 11.32%")</f>
        <v>公司是一家以电解铝产品为主的企业，主营业务为铝冶炼及加工，铝制品、金属材料销售；主要产品电解铝液、铝锭及铝合金制品。公司年电解铝产能42万吨，是河南省百强企业和河南省电解铝骨干企业，也是国内首先产业化采用大型预焙电解槽技术的电解铝厂。
市值77.492961亿, 利润5.93亿; PE10.91; 平均PE30.47; 平均PEG5.3, PB1.3; ROIC5.5767%; ROE6.78%; 股利率2.1538%; 毛利9.22%; 净利7.3967%; 上一年度营收增-7.32%, 利润增95.71%; 当季营收增19.6%, 利润增496.87%; 过往5年营收增5.74%, 利润增119.4%
Income profile:
电解铝产品 33.48亿 96.22% 95.27% 8.96%
其他业务 1.32亿 3.78% 4.73% 11.32%</v>
      </c>
      <c r="D5" t="s">
        <v>133</v>
      </c>
      <c r="E5" t="s">
        <v>134</v>
      </c>
      <c r="F5">
        <v>6.5</v>
      </c>
      <c r="G5">
        <v>2.69</v>
      </c>
      <c r="H5" t="s">
        <v>1046</v>
      </c>
      <c r="I5">
        <v>7749296100</v>
      </c>
      <c r="J5">
        <v>10.91</v>
      </c>
      <c r="K5">
        <v>1.3</v>
      </c>
      <c r="L5" t="s">
        <v>105</v>
      </c>
      <c r="M5" t="s">
        <v>1047</v>
      </c>
      <c r="N5" t="s">
        <v>1048</v>
      </c>
      <c r="O5" t="s">
        <v>1049</v>
      </c>
      <c r="P5">
        <v>19.600000000000001</v>
      </c>
      <c r="Q5" t="s">
        <v>1050</v>
      </c>
      <c r="R5">
        <v>140798600</v>
      </c>
      <c r="S5" s="5">
        <v>4.9690000000000003</v>
      </c>
      <c r="T5" t="s">
        <v>1051</v>
      </c>
      <c r="U5">
        <v>1191420140</v>
      </c>
      <c r="V5">
        <v>1192199390</v>
      </c>
      <c r="W5">
        <v>1.36</v>
      </c>
      <c r="X5">
        <v>0.17</v>
      </c>
      <c r="Y5">
        <v>10.63</v>
      </c>
      <c r="Z5" t="s">
        <v>463</v>
      </c>
      <c r="AA5" t="s">
        <v>822</v>
      </c>
      <c r="AB5" t="s">
        <v>1052</v>
      </c>
      <c r="AC5" t="s">
        <v>1053</v>
      </c>
      <c r="AD5" t="s">
        <v>5</v>
      </c>
      <c r="AE5">
        <v>-1394669</v>
      </c>
      <c r="AF5" t="s">
        <v>1054</v>
      </c>
      <c r="AG5" t="s">
        <v>1055</v>
      </c>
      <c r="AH5" t="s">
        <v>1056</v>
      </c>
      <c r="AI5" t="s">
        <v>1057</v>
      </c>
      <c r="AJ5" t="s">
        <v>1058</v>
      </c>
      <c r="AK5" t="s">
        <v>5</v>
      </c>
      <c r="AL5" t="s">
        <v>1059</v>
      </c>
      <c r="AM5" t="s">
        <v>5</v>
      </c>
      <c r="AN5" t="s">
        <v>1060</v>
      </c>
      <c r="AO5" t="s">
        <v>394</v>
      </c>
      <c r="AP5" t="s">
        <v>1061</v>
      </c>
      <c r="AQ5" t="s">
        <v>1062</v>
      </c>
      <c r="AR5" t="s">
        <v>5</v>
      </c>
      <c r="AS5" t="s">
        <v>1063</v>
      </c>
      <c r="AT5" t="s">
        <v>774</v>
      </c>
      <c r="AU5" t="s">
        <v>1064</v>
      </c>
      <c r="AV5" t="s">
        <v>489</v>
      </c>
      <c r="AW5" t="s">
        <v>1065</v>
      </c>
      <c r="AX5" t="s">
        <v>811</v>
      </c>
      <c r="AY5" t="s">
        <v>503</v>
      </c>
      <c r="AZ5" t="s">
        <v>135</v>
      </c>
      <c r="BA5" t="s">
        <v>139</v>
      </c>
      <c r="BB5" t="s">
        <v>140</v>
      </c>
      <c r="BC5" t="s">
        <v>812</v>
      </c>
      <c r="BD5" t="s">
        <v>504</v>
      </c>
      <c r="BE5" t="s">
        <v>136</v>
      </c>
      <c r="BF5" t="s">
        <v>23</v>
      </c>
      <c r="BG5" t="s">
        <v>141</v>
      </c>
      <c r="BH5" t="s">
        <v>1050</v>
      </c>
      <c r="BI5" t="s">
        <v>531</v>
      </c>
      <c r="BJ5" t="s">
        <v>811</v>
      </c>
      <c r="BK5" t="s">
        <v>1051</v>
      </c>
      <c r="BL5" t="s">
        <v>1066</v>
      </c>
      <c r="BM5" t="s">
        <v>812</v>
      </c>
      <c r="BN5">
        <v>5.38</v>
      </c>
      <c r="BO5">
        <v>4.8600000000000003</v>
      </c>
      <c r="BP5">
        <v>6.49</v>
      </c>
      <c r="BQ5">
        <v>6.49</v>
      </c>
      <c r="BR5">
        <v>5.84</v>
      </c>
      <c r="BS5">
        <v>8.01</v>
      </c>
      <c r="BT5" t="s">
        <v>1067</v>
      </c>
      <c r="BU5" t="s">
        <v>627</v>
      </c>
      <c r="BV5">
        <v>9.75</v>
      </c>
      <c r="BW5">
        <v>1.47</v>
      </c>
      <c r="BX5">
        <v>16.440000000000001</v>
      </c>
      <c r="BY5">
        <v>9.59</v>
      </c>
      <c r="BZ5">
        <v>4.54</v>
      </c>
      <c r="CA5">
        <v>8.06</v>
      </c>
      <c r="CB5">
        <v>0</v>
      </c>
      <c r="CC5">
        <v>-12.99</v>
      </c>
      <c r="CD5" t="s">
        <v>60</v>
      </c>
      <c r="CE5" t="s">
        <v>1068</v>
      </c>
      <c r="CF5" s="7">
        <v>0.19602529358626919</v>
      </c>
      <c r="CG5" s="8">
        <v>4.9686726353986499</v>
      </c>
      <c r="CH5" s="7">
        <v>-7.3247514665126801E-2</v>
      </c>
      <c r="CI5" s="7">
        <v>0.35746240615844727</v>
      </c>
      <c r="CJ5" s="7">
        <v>3.6677934229373932E-2</v>
      </c>
      <c r="CK5" s="7">
        <v>-3.5706651397049427E-3</v>
      </c>
      <c r="CL5" s="7">
        <v>-3.0148757621645927E-2</v>
      </c>
      <c r="CM5" s="8">
        <v>0.9570956826210022</v>
      </c>
      <c r="CN5" s="8">
        <v>-0.23677581548690796</v>
      </c>
      <c r="CO5" s="8">
        <v>-0.30105632543563843</v>
      </c>
      <c r="CP5" s="8">
        <v>4.3084111213684082</v>
      </c>
      <c r="CQ5" s="8">
        <v>1.2420814037322998</v>
      </c>
      <c r="CR5">
        <v>30.469054128440366</v>
      </c>
      <c r="CS5">
        <v>5.3049923520497151</v>
      </c>
      <c r="CT5">
        <v>2.1538461538461537</v>
      </c>
      <c r="CU5" s="7">
        <v>5.7434680592268708E-2</v>
      </c>
      <c r="CV5" s="8">
        <v>1.1939512133598327</v>
      </c>
      <c r="CW5">
        <v>0.06</v>
      </c>
      <c r="CX5">
        <v>6.5864223460874616</v>
      </c>
      <c r="CY5">
        <v>591564873.19925976</v>
      </c>
      <c r="CZ5">
        <v>5.7434680592268708E-2</v>
      </c>
      <c r="DA5">
        <v>2.2127833368354946</v>
      </c>
      <c r="DB5">
        <v>1760812292.437135</v>
      </c>
      <c r="DC5">
        <v>5.4562946562655271E-2</v>
      </c>
      <c r="DD5">
        <v>1.1298426072398029</v>
      </c>
      <c r="DE5">
        <v>3448529976.6828785</v>
      </c>
      <c r="DF5">
        <v>5.0542518921196461E-2</v>
      </c>
      <c r="DG5">
        <v>0.70657061263359688</v>
      </c>
      <c r="DH5">
        <v>5514376101.034483</v>
      </c>
      <c r="DI5">
        <v>4.5947744473814972E-2</v>
      </c>
      <c r="DJ5">
        <v>0.39807990539881122</v>
      </c>
      <c r="DK5">
        <v>9787723638.2895184</v>
      </c>
      <c r="DL5">
        <v>4.020427641458809E-2</v>
      </c>
      <c r="DM5">
        <v>593000000</v>
      </c>
      <c r="DN5">
        <v>5.7434680592268708E-2</v>
      </c>
      <c r="DO5">
        <v>3896296100</v>
      </c>
      <c r="DP5">
        <v>710099400.00000024</v>
      </c>
      <c r="DQ5">
        <v>175</v>
      </c>
      <c r="DR5">
        <v>0.13859061299400049</v>
      </c>
      <c r="DS5">
        <v>3.7747214220388172</v>
      </c>
      <c r="DT5" s="9">
        <v>-0.28999999999999998</v>
      </c>
      <c r="DU5">
        <v>1.1449999999999998</v>
      </c>
      <c r="DV5">
        <v>0.85499999999999976</v>
      </c>
      <c r="DW5">
        <v>-2.1299000000000001</v>
      </c>
      <c r="DX5">
        <v>0.34225140712945445</v>
      </c>
      <c r="DY5">
        <v>-2.0132824577861164</v>
      </c>
      <c r="DZ5">
        <v>303</v>
      </c>
      <c r="EA5">
        <v>-2.0124948678234564</v>
      </c>
      <c r="EB5">
        <v>2</v>
      </c>
      <c r="EC5">
        <v>9.1427659596437144E-2</v>
      </c>
      <c r="ED5">
        <v>0.89414573513579809</v>
      </c>
      <c r="EE5" s="10">
        <v>2.0276100000000001</v>
      </c>
      <c r="EF5">
        <v>2.0653100000000002</v>
      </c>
      <c r="EG5">
        <v>24.102251407129454</v>
      </c>
      <c r="EH5" t="s">
        <v>808</v>
      </c>
      <c r="EI5">
        <v>0</v>
      </c>
      <c r="EJ5">
        <v>1</v>
      </c>
      <c r="EK5" s="12">
        <v>45470</v>
      </c>
      <c r="EL5" s="13">
        <v>-0.3</v>
      </c>
      <c r="EM5" s="13">
        <v>-3.33</v>
      </c>
      <c r="EN5" s="13">
        <v>1.56</v>
      </c>
      <c r="EO5" s="13">
        <v>2.16</v>
      </c>
      <c r="EP5" s="13">
        <v>-3.77</v>
      </c>
    </row>
    <row r="6" spans="1:146" ht="180" x14ac:dyDescent="0.25">
      <c r="A6" s="6" t="s">
        <v>789</v>
      </c>
      <c r="B6" s="6"/>
      <c r="C6" s="6" t="str">
        <f>"公司主营业务为铜、铁、硫金矿采选，铜、金、银、稀有贵金属冶炼及压延加工，硫酸、电子产品生产、铜加工产品等。公司主要产品有阴极铜、铜加工产品、黄金、白银、硫酸。公司为国内主要阴极铜生产企业和内资最大的铜箔生产企业，在铜矿采选、铜冶炼及铜箔加工等领域有着深厚的技术积累。"&amp;CHAR(10)&amp;Basic_Fundamental_Information_Constructure(F6)&amp;CHAR(10)&amp;Basic_Fundamental_Information_Concatenate("铜产品 538.51亿 86.96% 49.05% 3.28%
黄金等副产品 59.02亿 9.53% 18.00% 10.99%
化工及其他产品 17.53亿 2.83% 29.23% 60.11%")</f>
        <v>公司主营业务为铜、铁、硫金矿采选，铜、金、银、稀有贵金属冶炼及压延加工，硫酸、电子产品生产、铜加工产品等。公司主要产品有阴极铜、铜加工产品、黄金、白银、硫酸。公司为国内主要阴极铜生产企业和内资最大的铜箔生产企业，在铜矿采选、铜冶炼及铜箔加工等领域有着深厚的技术积累。
市值472.05876亿, 利润26.99亿; PE17.01; 平均PE22.87; 平均PEG2.1, PB1.43; ROIC7.7067%; ROE11.55%; 股利率2.1467%; 毛利6.3067%; 净利2.6733%; 上一年度营收增12.81%, 利润增-35.49%; 当季营收增-4.71%, 利润增7.41%; 过往5年营收增10.89%, 利润增55.95%
Income profile:
铜产品 538.51亿 86.96% 49.05% 3.28%
黄金等副产品 59.02亿 9.53% 18.00% 10.99%
化工及其他产品 17.53亿 2.83% 29.23% 60.11%</v>
      </c>
      <c r="D6" t="s">
        <v>143</v>
      </c>
      <c r="E6" t="s">
        <v>144</v>
      </c>
      <c r="F6">
        <v>3.69</v>
      </c>
      <c r="G6">
        <v>1.93</v>
      </c>
      <c r="H6" t="s">
        <v>138</v>
      </c>
      <c r="I6">
        <v>47205876000</v>
      </c>
      <c r="J6">
        <v>17.010000000000002</v>
      </c>
      <c r="K6">
        <v>1.43</v>
      </c>
      <c r="L6" t="s">
        <v>105</v>
      </c>
      <c r="M6" t="s">
        <v>1069</v>
      </c>
      <c r="N6" t="s">
        <v>1070</v>
      </c>
      <c r="O6" t="s">
        <v>1071</v>
      </c>
      <c r="P6">
        <v>-4.71</v>
      </c>
      <c r="Q6" t="s">
        <v>1072</v>
      </c>
      <c r="R6">
        <v>1096690760</v>
      </c>
      <c r="S6" s="5">
        <v>7.3899999999999993E-2</v>
      </c>
      <c r="T6" t="s">
        <v>1073</v>
      </c>
      <c r="U6">
        <v>10526464200</v>
      </c>
      <c r="V6">
        <v>12792920400</v>
      </c>
      <c r="W6">
        <v>2.0099999999999998</v>
      </c>
      <c r="X6">
        <v>0.41</v>
      </c>
      <c r="Y6">
        <v>4.1900000000000004</v>
      </c>
      <c r="Z6" t="s">
        <v>1074</v>
      </c>
      <c r="AA6" t="s">
        <v>1075</v>
      </c>
      <c r="AB6" t="s">
        <v>1076</v>
      </c>
      <c r="AC6" t="s">
        <v>1077</v>
      </c>
      <c r="AD6" t="s">
        <v>5</v>
      </c>
      <c r="AE6">
        <v>128113571</v>
      </c>
      <c r="AF6" t="s">
        <v>1078</v>
      </c>
      <c r="AG6" t="s">
        <v>1079</v>
      </c>
      <c r="AH6" t="s">
        <v>1080</v>
      </c>
      <c r="AI6" t="s">
        <v>1081</v>
      </c>
      <c r="AJ6" t="s">
        <v>1082</v>
      </c>
      <c r="AK6" t="s">
        <v>1083</v>
      </c>
      <c r="AL6" t="s">
        <v>1084</v>
      </c>
      <c r="AM6" t="s">
        <v>5</v>
      </c>
      <c r="AN6" t="s">
        <v>1085</v>
      </c>
      <c r="AO6" t="s">
        <v>1086</v>
      </c>
      <c r="AP6" t="s">
        <v>1087</v>
      </c>
      <c r="AQ6" t="s">
        <v>1088</v>
      </c>
      <c r="AR6" t="s">
        <v>5</v>
      </c>
      <c r="AS6" t="s">
        <v>1089</v>
      </c>
      <c r="AT6" t="s">
        <v>1090</v>
      </c>
      <c r="AU6" t="s">
        <v>278</v>
      </c>
      <c r="AV6" t="s">
        <v>1091</v>
      </c>
      <c r="AW6" t="s">
        <v>1092</v>
      </c>
      <c r="AX6" t="s">
        <v>1093</v>
      </c>
      <c r="AY6" t="s">
        <v>505</v>
      </c>
      <c r="AZ6" t="s">
        <v>145</v>
      </c>
      <c r="BA6" t="s">
        <v>146</v>
      </c>
      <c r="BB6" t="s">
        <v>147</v>
      </c>
      <c r="BC6" t="s">
        <v>1094</v>
      </c>
      <c r="BD6" t="s">
        <v>506</v>
      </c>
      <c r="BE6" t="s">
        <v>118</v>
      </c>
      <c r="BF6" t="s">
        <v>148</v>
      </c>
      <c r="BG6" t="s">
        <v>149</v>
      </c>
      <c r="BH6" t="s">
        <v>1072</v>
      </c>
      <c r="BI6" t="s">
        <v>1095</v>
      </c>
      <c r="BJ6" t="s">
        <v>1093</v>
      </c>
      <c r="BK6" t="s">
        <v>1073</v>
      </c>
      <c r="BL6" t="s">
        <v>155</v>
      </c>
      <c r="BM6" t="s">
        <v>1094</v>
      </c>
      <c r="BN6">
        <v>5.8</v>
      </c>
      <c r="BO6">
        <v>7</v>
      </c>
      <c r="BP6">
        <v>10.32</v>
      </c>
      <c r="BQ6">
        <v>8.17</v>
      </c>
      <c r="BR6">
        <v>11.21</v>
      </c>
      <c r="BS6">
        <v>15.27</v>
      </c>
      <c r="BT6" t="s">
        <v>1096</v>
      </c>
      <c r="BU6" t="s">
        <v>628</v>
      </c>
      <c r="BV6">
        <v>7.26</v>
      </c>
      <c r="BW6">
        <v>5.86</v>
      </c>
      <c r="BX6">
        <v>5.8</v>
      </c>
      <c r="BY6">
        <v>2.76</v>
      </c>
      <c r="BZ6">
        <v>2.61</v>
      </c>
      <c r="CA6">
        <v>2.65</v>
      </c>
      <c r="CB6">
        <v>2.2200000000000002</v>
      </c>
      <c r="CC6">
        <v>-4.18</v>
      </c>
      <c r="CD6" t="s">
        <v>1097</v>
      </c>
      <c r="CE6" t="s">
        <v>1098</v>
      </c>
      <c r="CF6" s="7">
        <v>-4.7092058129714301E-2</v>
      </c>
      <c r="CG6" s="8">
        <v>7.4133947110675683E-2</v>
      </c>
      <c r="CH6" s="7">
        <v>0.12807758152484894</v>
      </c>
      <c r="CI6" s="7">
        <v>-7.0103950798511505E-2</v>
      </c>
      <c r="CJ6" s="7">
        <v>0.31774568557739258</v>
      </c>
      <c r="CK6" s="7">
        <v>7.0203982293605804E-2</v>
      </c>
      <c r="CL6" s="7">
        <v>9.8649710416793823E-2</v>
      </c>
      <c r="CM6" s="8">
        <v>-0.35492351651191711</v>
      </c>
      <c r="CN6" s="8">
        <v>0.34924221038818359</v>
      </c>
      <c r="CO6" s="8">
        <v>2.5808312892913818</v>
      </c>
      <c r="CP6" s="8">
        <v>4.2117930948734283E-2</v>
      </c>
      <c r="CQ6" s="8">
        <v>0.18039773404598236</v>
      </c>
      <c r="CR6">
        <v>22.869217278966492</v>
      </c>
      <c r="CS6">
        <v>2.0997384097651008</v>
      </c>
      <c r="CT6">
        <v>2.1466829268292682</v>
      </c>
      <c r="CU6" s="7">
        <v>0.10891460180282593</v>
      </c>
      <c r="CV6" s="8">
        <v>0.55953312963247304</v>
      </c>
      <c r="CW6">
        <v>0.06</v>
      </c>
      <c r="CX6">
        <v>15.912207460355068</v>
      </c>
      <c r="CY6">
        <v>2823547651.1941762</v>
      </c>
      <c r="CZ6">
        <v>0.10891460180282593</v>
      </c>
      <c r="DA6">
        <v>5.1175156124843806</v>
      </c>
      <c r="DB6">
        <v>8779431154.1315556</v>
      </c>
      <c r="DC6">
        <v>0.10346887171268462</v>
      </c>
      <c r="DD6">
        <v>2.465584844627954</v>
      </c>
      <c r="DE6">
        <v>18222401106.127651</v>
      </c>
      <c r="DF6">
        <v>9.5844849586486813E-2</v>
      </c>
      <c r="DG6">
        <v>1.4448054709278857</v>
      </c>
      <c r="DH6">
        <v>31096834074.933071</v>
      </c>
      <c r="DI6">
        <v>8.7131681442260744E-2</v>
      </c>
      <c r="DJ6">
        <v>0.70678863931177061</v>
      </c>
      <c r="DK6">
        <v>63567626162.963104</v>
      </c>
      <c r="DL6">
        <v>7.6240221261978144E-2</v>
      </c>
      <c r="DM6">
        <v>2699000000</v>
      </c>
      <c r="DN6">
        <v>0.10891460180282593</v>
      </c>
      <c r="DO6">
        <v>44928876000</v>
      </c>
      <c r="DP6">
        <v>17776733000.000004</v>
      </c>
      <c r="DQ6">
        <v>187</v>
      </c>
      <c r="DR6">
        <v>-0.15600665993254023</v>
      </c>
      <c r="DS6">
        <v>-0.48539918252179737</v>
      </c>
      <c r="DT6" s="9">
        <v>-0.3066666666666667</v>
      </c>
      <c r="DU6">
        <v>0.48166666666666669</v>
      </c>
      <c r="DV6">
        <v>0.17499999999999999</v>
      </c>
      <c r="DW6">
        <v>-1.0418000000000001</v>
      </c>
      <c r="DX6">
        <v>0.37827387259425294</v>
      </c>
      <c r="DY6">
        <v>-1.0053618478744397</v>
      </c>
      <c r="DZ6">
        <v>1312</v>
      </c>
      <c r="EA6">
        <v>-1.0039851855630375</v>
      </c>
      <c r="EB6">
        <v>1</v>
      </c>
      <c r="EC6">
        <v>4.8620641773085685E-2</v>
      </c>
      <c r="ED6">
        <v>0.37903776842072745</v>
      </c>
      <c r="EE6" s="10">
        <v>1.0065</v>
      </c>
      <c r="EF6">
        <v>1.01851</v>
      </c>
      <c r="EG6">
        <v>25.128273872594253</v>
      </c>
      <c r="EH6" t="s">
        <v>907</v>
      </c>
      <c r="EI6">
        <v>0</v>
      </c>
      <c r="EJ6">
        <v>1</v>
      </c>
      <c r="EK6" s="12">
        <v>45470</v>
      </c>
      <c r="EL6" s="13">
        <v>0</v>
      </c>
      <c r="EM6" s="13">
        <v>-1.96</v>
      </c>
      <c r="EN6" s="13">
        <v>1.71</v>
      </c>
      <c r="EO6" s="13">
        <v>0.84</v>
      </c>
      <c r="EP6" s="13">
        <v>-2.5</v>
      </c>
    </row>
    <row r="7" spans="1:146" ht="132" x14ac:dyDescent="0.25">
      <c r="A7" s="6"/>
      <c r="B7" s="6"/>
      <c r="C7" s="6" t="str">
        <f>"公司主营业务为有色金属采选业务及工业硫酸生产业务，主要产品包括铅精矿、锌精矿、铜精矿、硫精矿、硫酸、次铁精粉、硫铁粉等。"&amp;CHAR(10)&amp;Basic_Fundamental_Information_Constructure(F7)&amp;CHAR(10)&amp;Basic_Fundamental_Information_Concatenate("锌精矿 4.15亿 40.11% 97.95% 44.05%
贸易业务 3.73亿 36.01% 1.91% 0.96%")</f>
        <v>公司主营业务为有色金属采选业务及工业硫酸生产业务，主要产品包括铅精矿、锌精矿、铜精矿、硫精矿、硫酸、次铁精粉、硫铁粉等。
市值106.740241亿, 利润6271.44万; PE219.1; 平均PE54.33; 平均PEG9.61, PB3.79; ROIC4.985%; ROE5.02%; 股利率.1885%; 毛利34.7%; 净利7.84%; 上一年度营收增-22.69%, 利润增-66.1%; 当季营收增5.28%, 利润增-80.8%; 过往5年营收增5.65%, 利润增-21.49%
Income profile:
锌精矿 4.15亿 40.11% 97.95% 44.05%
贸易业务 3.73亿 36.01% 1.91% 0.96%</v>
      </c>
      <c r="D7" t="s">
        <v>151</v>
      </c>
      <c r="E7" t="s">
        <v>152</v>
      </c>
      <c r="F7">
        <v>9.5500000000000007</v>
      </c>
      <c r="G7">
        <v>2.69</v>
      </c>
      <c r="H7" t="s">
        <v>1099</v>
      </c>
      <c r="I7">
        <v>10674024100</v>
      </c>
      <c r="J7">
        <v>219.1</v>
      </c>
      <c r="K7">
        <v>3.79</v>
      </c>
      <c r="L7" t="s">
        <v>105</v>
      </c>
      <c r="M7" t="s">
        <v>1100</v>
      </c>
      <c r="N7" t="s">
        <v>1101</v>
      </c>
      <c r="O7" t="s">
        <v>840</v>
      </c>
      <c r="P7">
        <v>5.38</v>
      </c>
      <c r="Q7" t="s">
        <v>1102</v>
      </c>
      <c r="R7">
        <v>3327690</v>
      </c>
      <c r="S7" s="5">
        <v>-0.80800000000000005</v>
      </c>
      <c r="T7" t="s">
        <v>1103</v>
      </c>
      <c r="U7">
        <v>1117694540</v>
      </c>
      <c r="V7">
        <v>1117698860</v>
      </c>
      <c r="W7">
        <v>2.65</v>
      </c>
      <c r="X7">
        <v>0.03</v>
      </c>
      <c r="Y7">
        <v>0.5</v>
      </c>
      <c r="Z7" t="s">
        <v>602</v>
      </c>
      <c r="AA7" t="s">
        <v>161</v>
      </c>
      <c r="AB7" t="s">
        <v>1104</v>
      </c>
      <c r="AC7" t="s">
        <v>1105</v>
      </c>
      <c r="AD7" t="s">
        <v>5</v>
      </c>
      <c r="AE7">
        <v>9618646</v>
      </c>
      <c r="AF7" t="s">
        <v>1106</v>
      </c>
      <c r="AG7">
        <v>8430.15</v>
      </c>
      <c r="AH7" t="s">
        <v>1107</v>
      </c>
      <c r="AI7" t="s">
        <v>1108</v>
      </c>
      <c r="AJ7" t="s">
        <v>1109</v>
      </c>
      <c r="AK7" t="s">
        <v>5</v>
      </c>
      <c r="AL7" t="s">
        <v>1110</v>
      </c>
      <c r="AM7" t="s">
        <v>5</v>
      </c>
      <c r="AN7" t="s">
        <v>1111</v>
      </c>
      <c r="AO7" t="s">
        <v>221</v>
      </c>
      <c r="AP7" t="s">
        <v>1112</v>
      </c>
      <c r="AQ7" t="s">
        <v>1113</v>
      </c>
      <c r="AR7" t="s">
        <v>5</v>
      </c>
      <c r="AS7" t="s">
        <v>1114</v>
      </c>
      <c r="AT7" t="s">
        <v>565</v>
      </c>
      <c r="AU7" t="s">
        <v>1115</v>
      </c>
      <c r="AV7" t="s">
        <v>1116</v>
      </c>
      <c r="AW7" t="s">
        <v>1117</v>
      </c>
      <c r="AX7" t="s">
        <v>820</v>
      </c>
      <c r="AY7" t="s">
        <v>507</v>
      </c>
      <c r="AZ7" t="s">
        <v>153</v>
      </c>
      <c r="BA7" t="s">
        <v>155</v>
      </c>
      <c r="BB7" t="s">
        <v>156</v>
      </c>
      <c r="BC7" t="s">
        <v>747</v>
      </c>
      <c r="BD7" t="s">
        <v>65</v>
      </c>
      <c r="BE7" t="s">
        <v>33</v>
      </c>
      <c r="BF7" t="s">
        <v>157</v>
      </c>
      <c r="BG7" t="s">
        <v>158</v>
      </c>
      <c r="BH7" t="s">
        <v>1102</v>
      </c>
      <c r="BI7" t="s">
        <v>760</v>
      </c>
      <c r="BJ7" t="s">
        <v>820</v>
      </c>
      <c r="BK7" t="s">
        <v>1103</v>
      </c>
      <c r="BL7" t="s">
        <v>1118</v>
      </c>
      <c r="BM7" t="s">
        <v>747</v>
      </c>
      <c r="BN7" t="s">
        <v>5</v>
      </c>
      <c r="BO7">
        <v>4.08</v>
      </c>
      <c r="BP7">
        <v>5.89</v>
      </c>
      <c r="BQ7">
        <v>-0.09</v>
      </c>
      <c r="BR7">
        <v>6.85</v>
      </c>
      <c r="BS7">
        <v>8.3000000000000007</v>
      </c>
      <c r="BT7" t="s">
        <v>1119</v>
      </c>
      <c r="BU7" t="s">
        <v>624</v>
      </c>
      <c r="BV7">
        <v>36.42</v>
      </c>
      <c r="BW7">
        <v>36.58</v>
      </c>
      <c r="BX7">
        <v>31.1</v>
      </c>
      <c r="BY7">
        <v>2.48</v>
      </c>
      <c r="BZ7">
        <v>10.050000000000001</v>
      </c>
      <c r="CA7">
        <v>10.99</v>
      </c>
      <c r="CB7">
        <v>0.32</v>
      </c>
      <c r="CC7">
        <v>-25.91</v>
      </c>
      <c r="CD7" t="s">
        <v>1120</v>
      </c>
      <c r="CE7" t="s">
        <v>128</v>
      </c>
      <c r="CF7" s="7">
        <v>5.2816901408450703E-2</v>
      </c>
      <c r="CG7" s="8">
        <v>-0.80795214515738079</v>
      </c>
      <c r="CH7" s="7">
        <v>-0.22689078748226166</v>
      </c>
      <c r="CI7" s="7">
        <v>-9.4792202115058899E-2</v>
      </c>
      <c r="CJ7" s="7">
        <v>0.88215851783752441</v>
      </c>
      <c r="CK7" s="7">
        <v>-0.11067580431699753</v>
      </c>
      <c r="CL7" s="7">
        <v>-0.16721044480800629</v>
      </c>
      <c r="CM7" s="8">
        <v>-0.6610032320022583</v>
      </c>
      <c r="CN7" s="8">
        <v>-0.11057692021131516</v>
      </c>
      <c r="CO7" s="8">
        <v>0.41496598720550537</v>
      </c>
      <c r="CP7" s="8">
        <v>-0.14035087823867798</v>
      </c>
      <c r="CQ7" s="8">
        <v>-0.57777780294418335</v>
      </c>
      <c r="CR7">
        <v>54.333895131848735</v>
      </c>
      <c r="CS7">
        <v>9.6135804058049636</v>
      </c>
      <c r="CT7">
        <v>0.18848167539267013</v>
      </c>
      <c r="CU7" s="7">
        <v>5.651785582304001E-2</v>
      </c>
      <c r="CV7" s="8">
        <v>-0.21494856923818589</v>
      </c>
      <c r="CW7">
        <v>0.06</v>
      </c>
      <c r="CX7">
        <v>205.41284193239298</v>
      </c>
      <c r="CY7">
        <v>62508380.582290985</v>
      </c>
      <c r="CZ7">
        <v>5.651785582304001E-2</v>
      </c>
      <c r="DA7">
        <v>69.064766942556432</v>
      </c>
      <c r="DB7">
        <v>185912798.49940702</v>
      </c>
      <c r="DC7">
        <v>5.3691963031888008E-2</v>
      </c>
      <c r="DD7">
        <v>35.300265862848015</v>
      </c>
      <c r="DE7">
        <v>363737319.99320614</v>
      </c>
      <c r="DF7">
        <v>4.9735713124275209E-2</v>
      </c>
      <c r="DG7">
        <v>22.10029375325233</v>
      </c>
      <c r="DH7">
        <v>580988843.10578144</v>
      </c>
      <c r="DI7">
        <v>4.5214284658432011E-2</v>
      </c>
      <c r="DJ7">
        <v>12.480027481118139</v>
      </c>
      <c r="DK7">
        <v>1028845819.4043661</v>
      </c>
      <c r="DL7">
        <v>3.9562499076128008E-2</v>
      </c>
      <c r="DM7">
        <v>62714399.999999993</v>
      </c>
      <c r="DN7">
        <v>5.651785582304001E-2</v>
      </c>
      <c r="DO7">
        <v>12840024100</v>
      </c>
      <c r="DP7">
        <v>-2775586870</v>
      </c>
      <c r="DQ7">
        <v>220</v>
      </c>
      <c r="DR7">
        <v>-3.7009544145893067E-3</v>
      </c>
      <c r="DS7">
        <v>-0.59300357591919495</v>
      </c>
      <c r="DT7" s="9">
        <v>-0.44</v>
      </c>
      <c r="DU7">
        <v>-0.73999999999999988</v>
      </c>
      <c r="DV7">
        <v>-1.18</v>
      </c>
      <c r="DW7">
        <v>-3.112077380952381</v>
      </c>
      <c r="DX7">
        <v>0.35962318840579882</v>
      </c>
      <c r="DY7">
        <v>-3.0201316965148379</v>
      </c>
      <c r="DZ7">
        <v>3741</v>
      </c>
      <c r="EA7">
        <v>-3.0053934036259906</v>
      </c>
      <c r="EB7">
        <v>3</v>
      </c>
      <c r="EC7">
        <v>2.2177708940313314E-2</v>
      </c>
      <c r="ED7">
        <v>0.12346796166545254</v>
      </c>
      <c r="EE7" s="10">
        <v>-3.0744099999999999</v>
      </c>
      <c r="EF7">
        <v>-3.1375099999999998</v>
      </c>
      <c r="EG7">
        <v>18.179623188405799</v>
      </c>
      <c r="EH7" t="s">
        <v>888</v>
      </c>
      <c r="EI7">
        <v>0</v>
      </c>
      <c r="EJ7">
        <v>0</v>
      </c>
      <c r="EK7" s="12">
        <v>45470</v>
      </c>
      <c r="EL7" s="13">
        <v>-0.65</v>
      </c>
      <c r="EM7" s="13">
        <v>-6.05</v>
      </c>
      <c r="EN7" s="13">
        <v>-2.2799999999999998</v>
      </c>
      <c r="EO7" s="13">
        <v>2.84</v>
      </c>
      <c r="EP7" s="13">
        <v>-6.31</v>
      </c>
    </row>
    <row r="8" spans="1:146" ht="156" x14ac:dyDescent="0.25">
      <c r="A8" s="6"/>
      <c r="B8" s="6"/>
      <c r="C8" s="6" t="str">
        <f>"公司从事的主要业务为铜矿开采、铜选矿、冶炼、加工制品、含金铜精矿、阳极泥、金锭、银锭、硫酸、硒粉、铜及铜合金、高精度铜板带、高性能压延铜箔、覆铜板的生产销售。"&amp;CHAR(10)&amp;Basic_Fundamental_Information_Constructure(F8)&amp;CHAR(10)&amp;Basic_Fundamental_Information_Concatenate("阴极铜 48.04亿 82.91% 73.06% 14.52%
贵金属 7.55亿 13.03% 13.38% 16.91%
硫酸 1.60亿 2.76% 10.25% 61.13%")</f>
        <v>公司从事的主要业务为铜矿开采、铜选矿、冶炼、加工制品、含金铜精矿、阳极泥、金锭、银锭、硫酸、硒粉、铜及铜合金、高精度铜板带、高性能压延铜箔、覆铜板的生产销售。
市值166.96537亿, 利润6.19亿; PE25.19; 平均PE35.17; 平均PEG.3, PB3.24; ROIC8.4633%; ROE16.3467%; 股利率1.0616%; 毛利14.91%; 净利6.92%; 上一年度营收增-12.68%, 利润增11.53%; 当季营收增112.78%, 利润增22.72%; 过往5年营收增115.94%, 利润增253.87%
Income profile:
阴极铜 48.04亿 82.91% 73.06% 14.52%
贵金属 7.55亿 13.03% 13.38% 16.91%
硫酸 1.60亿 2.76% 10.25% 61.13%</v>
      </c>
      <c r="D8" t="s">
        <v>508</v>
      </c>
      <c r="E8" t="s">
        <v>509</v>
      </c>
      <c r="F8">
        <v>9.42</v>
      </c>
      <c r="G8">
        <v>3.63</v>
      </c>
      <c r="H8" t="s">
        <v>1121</v>
      </c>
      <c r="I8">
        <v>16696537000</v>
      </c>
      <c r="J8">
        <v>25.19</v>
      </c>
      <c r="K8">
        <v>3.24</v>
      </c>
      <c r="L8" t="s">
        <v>105</v>
      </c>
      <c r="M8" t="s">
        <v>1122</v>
      </c>
      <c r="N8" t="s">
        <v>1123</v>
      </c>
      <c r="O8" t="s">
        <v>1124</v>
      </c>
      <c r="P8">
        <v>112.78</v>
      </c>
      <c r="Q8" t="s">
        <v>1125</v>
      </c>
      <c r="R8">
        <v>235614020</v>
      </c>
      <c r="S8" s="5">
        <v>0.2301</v>
      </c>
      <c r="T8" t="s">
        <v>283</v>
      </c>
      <c r="U8">
        <v>726276000</v>
      </c>
      <c r="V8">
        <v>1772456200</v>
      </c>
      <c r="W8">
        <v>3.13</v>
      </c>
      <c r="X8">
        <v>0.35</v>
      </c>
      <c r="Y8">
        <v>4.28</v>
      </c>
      <c r="Z8" t="s">
        <v>1126</v>
      </c>
      <c r="AA8" t="s">
        <v>852</v>
      </c>
      <c r="AB8" t="s">
        <v>1127</v>
      </c>
      <c r="AC8" t="s">
        <v>1128</v>
      </c>
      <c r="AD8" t="s">
        <v>5</v>
      </c>
      <c r="AE8">
        <v>81501955</v>
      </c>
      <c r="AF8" t="s">
        <v>1129</v>
      </c>
      <c r="AG8" t="s">
        <v>1130</v>
      </c>
      <c r="AH8" t="s">
        <v>1131</v>
      </c>
      <c r="AI8" t="s">
        <v>1132</v>
      </c>
      <c r="AJ8" t="s">
        <v>1133</v>
      </c>
      <c r="AK8" t="s">
        <v>5</v>
      </c>
      <c r="AL8" t="s">
        <v>1134</v>
      </c>
      <c r="AM8" t="s">
        <v>5</v>
      </c>
      <c r="AN8" t="s">
        <v>1135</v>
      </c>
      <c r="AO8" t="s">
        <v>1136</v>
      </c>
      <c r="AP8" t="s">
        <v>1137</v>
      </c>
      <c r="AQ8" t="s">
        <v>1138</v>
      </c>
      <c r="AR8" t="s">
        <v>5</v>
      </c>
      <c r="AS8" t="s">
        <v>1139</v>
      </c>
      <c r="AT8" t="s">
        <v>1140</v>
      </c>
      <c r="AU8" t="s">
        <v>1141</v>
      </c>
      <c r="AV8" t="s">
        <v>1142</v>
      </c>
      <c r="AW8" t="s">
        <v>830</v>
      </c>
      <c r="AX8" t="s">
        <v>1143</v>
      </c>
      <c r="AY8" t="s">
        <v>511</v>
      </c>
      <c r="AZ8" t="s">
        <v>513</v>
      </c>
      <c r="BA8" t="s">
        <v>485</v>
      </c>
      <c r="BB8" t="s">
        <v>514</v>
      </c>
      <c r="BC8" t="s">
        <v>1144</v>
      </c>
      <c r="BD8" t="s">
        <v>825</v>
      </c>
      <c r="BE8" t="s">
        <v>283</v>
      </c>
      <c r="BF8" t="s">
        <v>515</v>
      </c>
      <c r="BG8" t="s">
        <v>516</v>
      </c>
      <c r="BH8" t="s">
        <v>1125</v>
      </c>
      <c r="BI8" t="s">
        <v>1145</v>
      </c>
      <c r="BJ8" t="s">
        <v>1143</v>
      </c>
      <c r="BK8" t="s">
        <v>283</v>
      </c>
      <c r="BL8" t="s">
        <v>1146</v>
      </c>
      <c r="BM8" t="s">
        <v>1144</v>
      </c>
      <c r="BN8">
        <v>5.93</v>
      </c>
      <c r="BO8">
        <v>7.98</v>
      </c>
      <c r="BP8">
        <v>11.48</v>
      </c>
      <c r="BQ8">
        <v>11.09</v>
      </c>
      <c r="BR8">
        <v>13.93</v>
      </c>
      <c r="BS8">
        <v>24.02</v>
      </c>
      <c r="BT8" t="s">
        <v>1147</v>
      </c>
      <c r="BU8" t="s">
        <v>628</v>
      </c>
      <c r="BV8">
        <v>14.48</v>
      </c>
      <c r="BW8">
        <v>11.9</v>
      </c>
      <c r="BX8">
        <v>18.350000000000001</v>
      </c>
      <c r="BY8">
        <v>6.64</v>
      </c>
      <c r="BZ8">
        <v>5.71</v>
      </c>
      <c r="CA8">
        <v>8.41</v>
      </c>
      <c r="CB8">
        <v>1.51</v>
      </c>
      <c r="CC8">
        <v>-16.78</v>
      </c>
      <c r="CD8" t="s">
        <v>1148</v>
      </c>
      <c r="CE8" t="s">
        <v>1149</v>
      </c>
      <c r="CF8" s="7">
        <v>1.1277992277992277</v>
      </c>
      <c r="CG8" s="8">
        <v>0.22715635416666666</v>
      </c>
      <c r="CH8" s="7">
        <v>-0.12681467831134796</v>
      </c>
      <c r="CI8" s="7">
        <v>7.1450129151344299E-2</v>
      </c>
      <c r="CJ8" s="7">
        <v>0.16850371658802032</v>
      </c>
      <c r="CK8" s="7">
        <v>6.0189294815063477</v>
      </c>
      <c r="CL8" s="7">
        <v>-0.33497536182403564</v>
      </c>
      <c r="CM8" s="8">
        <v>0.11531531810760498</v>
      </c>
      <c r="CN8" s="8">
        <v>-0.33691754937171936</v>
      </c>
      <c r="CO8" s="8">
        <v>0.35218092799186707</v>
      </c>
      <c r="CP8" s="8">
        <v>13.744728088378906</v>
      </c>
      <c r="CQ8" s="8">
        <v>-1.1819067001342773</v>
      </c>
      <c r="CR8">
        <v>35.169967437159876</v>
      </c>
      <c r="CS8">
        <v>0.30334139624214168</v>
      </c>
      <c r="CT8">
        <v>1.0615711252653928</v>
      </c>
      <c r="CU8" s="7">
        <v>1.1594186574220657</v>
      </c>
      <c r="CV8" s="8">
        <v>2.5386800169944763</v>
      </c>
      <c r="CW8">
        <v>0.06</v>
      </c>
      <c r="CX8">
        <v>17.388744224531216</v>
      </c>
      <c r="CY8">
        <v>1261019008.4379797</v>
      </c>
      <c r="CZ8">
        <v>1.1594186574220657</v>
      </c>
      <c r="DA8">
        <v>2.5848346246427254</v>
      </c>
      <c r="DB8">
        <v>8483148898.9477673</v>
      </c>
      <c r="DC8">
        <v>1.1014477245509624</v>
      </c>
      <c r="DD8">
        <v>0.35875547679571756</v>
      </c>
      <c r="DE8">
        <v>61121121260.222519</v>
      </c>
      <c r="DF8">
        <v>1.0202884185314178</v>
      </c>
      <c r="DG8">
        <v>4.0431509087844646E-2</v>
      </c>
      <c r="DH8">
        <v>542337832415.76581</v>
      </c>
      <c r="DI8">
        <v>0.92753492593765263</v>
      </c>
      <c r="DJ8">
        <v>3.2518856426943545E-4</v>
      </c>
      <c r="DK8">
        <v>67430221752299.719</v>
      </c>
      <c r="DL8">
        <v>0.81159306019544597</v>
      </c>
      <c r="DM8">
        <v>619000000</v>
      </c>
      <c r="DN8">
        <v>1.1594186574220657</v>
      </c>
      <c r="DO8">
        <v>21927537000</v>
      </c>
      <c r="DP8">
        <v>3231591799.9999995</v>
      </c>
      <c r="DQ8">
        <v>257</v>
      </c>
      <c r="DR8">
        <v>-3.1619429622838036E-2</v>
      </c>
      <c r="DS8">
        <v>-2.3115236628278097</v>
      </c>
      <c r="DT8" s="9">
        <v>5.6666666666666719E-2</v>
      </c>
      <c r="DU8">
        <v>3.4999999999999996E-2</v>
      </c>
      <c r="DV8">
        <v>9.1666666666666716E-2</v>
      </c>
      <c r="DW8">
        <v>-3.0088214285714288</v>
      </c>
      <c r="DX8">
        <v>0.46772852489877292</v>
      </c>
      <c r="DY8">
        <v>-3.0010385337732144</v>
      </c>
      <c r="DZ8">
        <v>1502</v>
      </c>
      <c r="EA8">
        <v>-3.0007332739439838</v>
      </c>
      <c r="EB8">
        <v>3</v>
      </c>
      <c r="EC8">
        <v>0.14386815313123111</v>
      </c>
      <c r="ED8">
        <v>1.2220330183617514</v>
      </c>
      <c r="EE8" s="10">
        <v>5.0521099999999999</v>
      </c>
      <c r="EF8">
        <v>5.0919100000000004</v>
      </c>
      <c r="EG8">
        <v>35.117728524898773</v>
      </c>
      <c r="EH8" t="s">
        <v>1150</v>
      </c>
      <c r="EI8">
        <v>0</v>
      </c>
      <c r="EJ8">
        <v>0</v>
      </c>
      <c r="EK8" s="12">
        <v>45470</v>
      </c>
      <c r="EL8" s="13">
        <v>-2.87</v>
      </c>
      <c r="EM8" s="13">
        <v>-5.4</v>
      </c>
      <c r="EN8" s="13">
        <v>-0.11</v>
      </c>
      <c r="EO8" s="13">
        <v>0.32</v>
      </c>
      <c r="EP8" s="13">
        <v>-3.98</v>
      </c>
    </row>
    <row r="9" spans="1:146" ht="96" x14ac:dyDescent="0.25">
      <c r="A9" s="6"/>
      <c r="B9" s="6"/>
      <c r="C9" s="6" t="str">
        <f>""&amp;CHAR(10)&amp;Basic_Fundamental_Information_Constructure(F9)&amp;CHAR(10)&amp;Basic_Fundamental_Information_Concatenate("")</f>
        <v xml:space="preserve">
市值42.814211亿, 利润8910.68万; PE62.98; 平均PE28.07; 平均PEG1.31, PB1.2; ROIC4.7433%; ROE3.38%; 股利率0%; 毛利3.4867%; 净利.6433%; 上一年度营收增-16.03%, 利润增35.3%; 当季营收增-29.02%, 利润增-93.96%; 过往5年营收增21.38%, 利润增53.07%
Income profile:
</v>
      </c>
      <c r="D9" t="s">
        <v>159</v>
      </c>
      <c r="E9" t="s">
        <v>160</v>
      </c>
      <c r="F9">
        <v>2.65</v>
      </c>
      <c r="G9">
        <v>2.3199999999999998</v>
      </c>
      <c r="H9" t="s">
        <v>1151</v>
      </c>
      <c r="I9">
        <v>4281421100</v>
      </c>
      <c r="J9">
        <v>62.98</v>
      </c>
      <c r="K9">
        <v>1.2</v>
      </c>
      <c r="L9" t="s">
        <v>105</v>
      </c>
      <c r="M9" t="s">
        <v>1152</v>
      </c>
      <c r="N9" t="s">
        <v>1153</v>
      </c>
      <c r="O9" t="s">
        <v>1154</v>
      </c>
      <c r="P9">
        <v>-29.01</v>
      </c>
      <c r="Q9" t="s">
        <v>1155</v>
      </c>
      <c r="R9">
        <v>1358455</v>
      </c>
      <c r="S9" s="5">
        <v>-0.93959999999999999</v>
      </c>
      <c r="T9" t="s">
        <v>1156</v>
      </c>
      <c r="U9">
        <v>1409868800</v>
      </c>
      <c r="V9">
        <v>1615630600</v>
      </c>
      <c r="W9">
        <v>2.5</v>
      </c>
      <c r="X9">
        <v>0.37</v>
      </c>
      <c r="Y9">
        <v>0.04</v>
      </c>
      <c r="Z9" t="s">
        <v>1157</v>
      </c>
      <c r="AA9" t="s">
        <v>1158</v>
      </c>
      <c r="AB9" t="s">
        <v>1159</v>
      </c>
      <c r="AC9" t="s">
        <v>1160</v>
      </c>
      <c r="AD9" t="s">
        <v>5</v>
      </c>
      <c r="AE9">
        <v>44994463</v>
      </c>
      <c r="AF9" t="s">
        <v>1161</v>
      </c>
      <c r="AG9" t="s">
        <v>1162</v>
      </c>
      <c r="AH9" t="s">
        <v>1163</v>
      </c>
      <c r="AI9" t="s">
        <v>1164</v>
      </c>
      <c r="AJ9" t="s">
        <v>1165</v>
      </c>
      <c r="AK9" t="s">
        <v>5</v>
      </c>
      <c r="AL9" t="s">
        <v>1166</v>
      </c>
      <c r="AM9" t="s">
        <v>5</v>
      </c>
      <c r="AN9" t="s">
        <v>788</v>
      </c>
      <c r="AO9" t="s">
        <v>1167</v>
      </c>
      <c r="AP9" t="s">
        <v>1168</v>
      </c>
      <c r="AQ9" t="s">
        <v>635</v>
      </c>
      <c r="AR9" t="s">
        <v>5</v>
      </c>
      <c r="AS9" t="s">
        <v>1169</v>
      </c>
      <c r="AT9" t="s">
        <v>5</v>
      </c>
      <c r="AU9" t="s">
        <v>625</v>
      </c>
      <c r="AV9" t="s">
        <v>1170</v>
      </c>
      <c r="AW9" t="s">
        <v>1171</v>
      </c>
      <c r="AX9" t="s">
        <v>829</v>
      </c>
      <c r="AY9" t="s">
        <v>517</v>
      </c>
      <c r="AZ9" t="s">
        <v>518</v>
      </c>
      <c r="BA9" t="s">
        <v>162</v>
      </c>
      <c r="BB9" t="s">
        <v>163</v>
      </c>
      <c r="BC9" t="s">
        <v>1172</v>
      </c>
      <c r="BD9" t="s">
        <v>490</v>
      </c>
      <c r="BE9" t="s">
        <v>59</v>
      </c>
      <c r="BF9" t="s">
        <v>164</v>
      </c>
      <c r="BG9" t="s">
        <v>165</v>
      </c>
      <c r="BH9" t="s">
        <v>1155</v>
      </c>
      <c r="BI9" t="s">
        <v>1173</v>
      </c>
      <c r="BJ9" t="s">
        <v>829</v>
      </c>
      <c r="BK9" t="s">
        <v>1156</v>
      </c>
      <c r="BL9" t="s">
        <v>1174</v>
      </c>
      <c r="BM9" t="s">
        <v>1172</v>
      </c>
      <c r="BN9">
        <v>2.65</v>
      </c>
      <c r="BO9">
        <v>4.1900000000000004</v>
      </c>
      <c r="BP9">
        <v>7.39</v>
      </c>
      <c r="BQ9">
        <v>1.58</v>
      </c>
      <c r="BR9">
        <v>2.2200000000000002</v>
      </c>
      <c r="BS9">
        <v>6.34</v>
      </c>
      <c r="BT9" t="s">
        <v>733</v>
      </c>
      <c r="BU9" t="s">
        <v>624</v>
      </c>
      <c r="BV9">
        <v>4.0599999999999996</v>
      </c>
      <c r="BW9">
        <v>2.92</v>
      </c>
      <c r="BX9">
        <v>3.48</v>
      </c>
      <c r="BY9">
        <v>0.56999999999999995</v>
      </c>
      <c r="BZ9">
        <v>0.35</v>
      </c>
      <c r="CA9">
        <v>1.01</v>
      </c>
      <c r="CB9">
        <v>1.1499999999999999</v>
      </c>
      <c r="CC9">
        <v>-12.25</v>
      </c>
      <c r="CD9" t="s">
        <v>1175</v>
      </c>
      <c r="CE9" t="s">
        <v>1176</v>
      </c>
      <c r="CF9" s="7">
        <v>-0.29016216216216217</v>
      </c>
      <c r="CG9" s="8">
        <v>-0.93959200462468873</v>
      </c>
      <c r="CH9" s="7">
        <v>-0.16026152670383453</v>
      </c>
      <c r="CI9" s="7">
        <v>-0.18328666687011719</v>
      </c>
      <c r="CJ9" s="7">
        <v>1.0892629623413086</v>
      </c>
      <c r="CK9" s="7">
        <v>0.364021897315979</v>
      </c>
      <c r="CL9" s="7">
        <v>-4.0918894112110138E-2</v>
      </c>
      <c r="CM9" s="8">
        <v>0.35304486751556396</v>
      </c>
      <c r="CN9" s="8">
        <v>-0.71366739273071289</v>
      </c>
      <c r="CO9" s="8">
        <v>-0.16058394312858582</v>
      </c>
      <c r="CP9" s="8">
        <v>0.34975370764732361</v>
      </c>
      <c r="CQ9" s="8">
        <v>2.8249275684356689</v>
      </c>
      <c r="CR9">
        <v>28.073781780436661</v>
      </c>
      <c r="CS9">
        <v>1.3133100195676972</v>
      </c>
      <c r="CT9">
        <v>0</v>
      </c>
      <c r="CU9" s="7">
        <v>0.21376355439424516</v>
      </c>
      <c r="CV9" s="8">
        <v>0.53069496154785156</v>
      </c>
      <c r="CW9">
        <v>0.06</v>
      </c>
      <c r="CX9">
        <v>58.475618862044904</v>
      </c>
      <c r="CY9">
        <v>102032628.57424256</v>
      </c>
      <c r="CZ9">
        <v>0.21376355439424516</v>
      </c>
      <c r="DA9">
        <v>17.234166055220719</v>
      </c>
      <c r="DB9">
        <v>346197261.93206787</v>
      </c>
      <c r="DC9">
        <v>0.2030753766745329</v>
      </c>
      <c r="DD9">
        <v>7.3452997967342766</v>
      </c>
      <c r="DE9">
        <v>812277410.73995006</v>
      </c>
      <c r="DF9">
        <v>0.18811192786693573</v>
      </c>
      <c r="DG9">
        <v>3.7177081472624605</v>
      </c>
      <c r="DH9">
        <v>1604865380.4073842</v>
      </c>
      <c r="DI9">
        <v>0.17101084351539614</v>
      </c>
      <c r="DJ9">
        <v>1.2824377520814791</v>
      </c>
      <c r="DK9">
        <v>4652406005.9181147</v>
      </c>
      <c r="DL9">
        <v>0.1496344880759716</v>
      </c>
      <c r="DM9">
        <v>89106800</v>
      </c>
      <c r="DN9">
        <v>0.21376355439424516</v>
      </c>
      <c r="DO9">
        <v>5966421100</v>
      </c>
      <c r="DP9">
        <v>984056300</v>
      </c>
      <c r="DQ9">
        <v>261</v>
      </c>
      <c r="DR9">
        <v>-0.50392571655640728</v>
      </c>
      <c r="DS9">
        <v>-1.4702869661725404</v>
      </c>
      <c r="DT9" s="9">
        <v>-0.37333333333333335</v>
      </c>
      <c r="DU9">
        <v>-0.10500000000000005</v>
      </c>
      <c r="DV9">
        <v>-0.47833333333333339</v>
      </c>
      <c r="DW9">
        <v>-2.1225000000000001</v>
      </c>
      <c r="DX9">
        <v>0.33048951310861496</v>
      </c>
      <c r="DY9">
        <v>-2.0110849653558054</v>
      </c>
      <c r="DZ9">
        <v>2852</v>
      </c>
      <c r="EA9">
        <v>-2.0048982097403929</v>
      </c>
      <c r="EB9">
        <v>2</v>
      </c>
      <c r="EC9">
        <v>2.9908693237179339E-2</v>
      </c>
      <c r="ED9">
        <v>0.33052109807774127</v>
      </c>
      <c r="EE9" s="10">
        <v>-2.0425</v>
      </c>
      <c r="EF9">
        <v>-2.0160999999999998</v>
      </c>
      <c r="EG9">
        <v>24.090489513108615</v>
      </c>
      <c r="EH9" t="s">
        <v>823</v>
      </c>
      <c r="EI9">
        <v>0</v>
      </c>
      <c r="EJ9">
        <v>0</v>
      </c>
      <c r="EK9" s="12">
        <v>45470</v>
      </c>
      <c r="EL9" s="13">
        <v>0</v>
      </c>
      <c r="EM9" s="13">
        <v>-4.53</v>
      </c>
      <c r="EN9" s="13">
        <v>1.98</v>
      </c>
      <c r="EO9" s="13">
        <v>2.71</v>
      </c>
      <c r="EP9" s="13">
        <v>-2.64</v>
      </c>
    </row>
    <row r="10" spans="1:146" ht="96" x14ac:dyDescent="0.25">
      <c r="A10" s="6"/>
      <c r="B10" s="6"/>
      <c r="C10" s="6" t="str">
        <f>""&amp;CHAR(10)&amp;Basic_Fundamental_Information_Constructure(F10)&amp;CHAR(10)&amp;Basic_Fundamental_Information_Concatenate("")</f>
        <v xml:space="preserve">
市值106.019161亿, 利润3.59亿; PE18.18; 平均PE-171.46; 平均PEG-30.83, PB1.91; ROIC2.91%; ROE3.4367%; 股利率0%; 毛利18.8867%; 净利4.7167%; 上一年度营收增26.98%, 利润增144.22%; 当季营收增26.81%, 利润增293.87%; 过往5年营收增-5.56%, 利润增-78.02%
Income profile:
</v>
      </c>
      <c r="D10" t="s">
        <v>167</v>
      </c>
      <c r="E10" t="s">
        <v>168</v>
      </c>
      <c r="F10">
        <v>5.32</v>
      </c>
      <c r="G10">
        <v>2.9</v>
      </c>
      <c r="H10" t="s">
        <v>1177</v>
      </c>
      <c r="I10">
        <v>10601916100</v>
      </c>
      <c r="J10">
        <v>18.18</v>
      </c>
      <c r="K10">
        <v>1.91</v>
      </c>
      <c r="L10" t="s">
        <v>105</v>
      </c>
      <c r="M10" t="s">
        <v>1178</v>
      </c>
      <c r="N10" t="s">
        <v>1179</v>
      </c>
      <c r="O10" t="s">
        <v>322</v>
      </c>
      <c r="P10">
        <v>26.83</v>
      </c>
      <c r="Q10" t="s">
        <v>1180</v>
      </c>
      <c r="R10">
        <v>300136230</v>
      </c>
      <c r="S10" s="5">
        <v>2.9390000000000001</v>
      </c>
      <c r="T10" t="s">
        <v>879</v>
      </c>
      <c r="U10">
        <v>1969314400</v>
      </c>
      <c r="V10">
        <v>1992841400</v>
      </c>
      <c r="W10">
        <v>2.17</v>
      </c>
      <c r="X10">
        <v>0.12</v>
      </c>
      <c r="Y10">
        <v>13.3</v>
      </c>
      <c r="Z10" t="s">
        <v>1181</v>
      </c>
      <c r="AA10" t="s">
        <v>1182</v>
      </c>
      <c r="AB10" t="s">
        <v>1183</v>
      </c>
      <c r="AC10" t="s">
        <v>138</v>
      </c>
      <c r="AD10" t="s">
        <v>5</v>
      </c>
      <c r="AE10">
        <v>23018750</v>
      </c>
      <c r="AF10" t="s">
        <v>1184</v>
      </c>
      <c r="AG10" t="s">
        <v>1185</v>
      </c>
      <c r="AH10" t="s">
        <v>1186</v>
      </c>
      <c r="AI10" t="s">
        <v>924</v>
      </c>
      <c r="AJ10" t="s">
        <v>1187</v>
      </c>
      <c r="AK10" t="s">
        <v>282</v>
      </c>
      <c r="AL10" t="s">
        <v>1188</v>
      </c>
      <c r="AM10" t="s">
        <v>5</v>
      </c>
      <c r="AN10" t="s">
        <v>913</v>
      </c>
      <c r="AO10" t="s">
        <v>1189</v>
      </c>
      <c r="AP10" t="s">
        <v>1190</v>
      </c>
      <c r="AQ10" t="s">
        <v>1191</v>
      </c>
      <c r="AR10" t="s">
        <v>5</v>
      </c>
      <c r="AS10" t="s">
        <v>1192</v>
      </c>
      <c r="AT10" t="s">
        <v>1193</v>
      </c>
      <c r="AU10" t="s">
        <v>1194</v>
      </c>
      <c r="AV10" t="s">
        <v>1195</v>
      </c>
      <c r="AW10" t="s">
        <v>1196</v>
      </c>
      <c r="AX10" t="s">
        <v>831</v>
      </c>
      <c r="AY10" t="s">
        <v>519</v>
      </c>
      <c r="AZ10" t="s">
        <v>169</v>
      </c>
      <c r="BA10" t="s">
        <v>171</v>
      </c>
      <c r="BB10" t="s">
        <v>172</v>
      </c>
      <c r="BC10" t="s">
        <v>33</v>
      </c>
      <c r="BD10" t="s">
        <v>520</v>
      </c>
      <c r="BE10" t="s">
        <v>170</v>
      </c>
      <c r="BF10" t="s">
        <v>173</v>
      </c>
      <c r="BG10" t="s">
        <v>97</v>
      </c>
      <c r="BH10" t="s">
        <v>1180</v>
      </c>
      <c r="BI10" t="s">
        <v>1197</v>
      </c>
      <c r="BJ10" t="s">
        <v>831</v>
      </c>
      <c r="BK10" t="s">
        <v>879</v>
      </c>
      <c r="BL10" t="s">
        <v>1198</v>
      </c>
      <c r="BM10" t="s">
        <v>33</v>
      </c>
      <c r="BN10">
        <v>3.56</v>
      </c>
      <c r="BO10">
        <v>3.25</v>
      </c>
      <c r="BP10">
        <v>1.92</v>
      </c>
      <c r="BQ10">
        <v>6.27</v>
      </c>
      <c r="BR10">
        <v>3.13</v>
      </c>
      <c r="BS10">
        <v>0.91</v>
      </c>
      <c r="BT10" t="s">
        <v>733</v>
      </c>
      <c r="BU10" t="s">
        <v>624</v>
      </c>
      <c r="BV10">
        <v>17.34</v>
      </c>
      <c r="BW10">
        <v>20.21</v>
      </c>
      <c r="BX10">
        <v>19.11</v>
      </c>
      <c r="BY10">
        <v>5.6</v>
      </c>
      <c r="BZ10">
        <v>5.17</v>
      </c>
      <c r="CA10">
        <v>3.38</v>
      </c>
      <c r="CB10">
        <v>4.72</v>
      </c>
      <c r="CC10">
        <v>2.5</v>
      </c>
      <c r="CD10" t="s">
        <v>73</v>
      </c>
      <c r="CE10" t="s">
        <v>1199</v>
      </c>
      <c r="CF10" s="7">
        <v>0.26805778491171733</v>
      </c>
      <c r="CG10" s="8">
        <v>2.9386767853463742</v>
      </c>
      <c r="CH10" s="7">
        <v>0.2698046863079071</v>
      </c>
      <c r="CI10" s="7">
        <v>0.12842492759227753</v>
      </c>
      <c r="CJ10" s="7">
        <v>-3.7282593548297882E-2</v>
      </c>
      <c r="CK10" s="7">
        <v>-0.38743454217910767</v>
      </c>
      <c r="CL10" s="7">
        <v>-0.2515876293182373</v>
      </c>
      <c r="CM10" s="8">
        <v>1.4421768188476563</v>
      </c>
      <c r="CN10" s="8">
        <v>2.5462102890014648</v>
      </c>
      <c r="CO10" s="8">
        <v>0.92365735769271851</v>
      </c>
      <c r="CP10" s="8">
        <v>1.0203291177749634</v>
      </c>
      <c r="CQ10" s="8">
        <v>-9.8333330154418945</v>
      </c>
      <c r="CR10">
        <v>-171.46029902015749</v>
      </c>
      <c r="CS10">
        <v>-30.829849109830814</v>
      </c>
      <c r="CT10">
        <v>0</v>
      </c>
      <c r="CU10" s="7">
        <v>-5.5615030229091644E-2</v>
      </c>
      <c r="CV10" s="8">
        <v>-0.78019188642501835</v>
      </c>
      <c r="CW10">
        <v>0.06</v>
      </c>
      <c r="CX10">
        <v>34.835420891364905</v>
      </c>
      <c r="CY10" t="s">
        <v>1200</v>
      </c>
      <c r="CZ10">
        <v>-5.5615030229091644E-2</v>
      </c>
      <c r="DA10">
        <v>11.6118069637883</v>
      </c>
      <c r="DB10" t="s">
        <v>1201</v>
      </c>
      <c r="DC10">
        <v>-5.2834278717637059E-2</v>
      </c>
      <c r="DD10">
        <v>5.8059034818941502</v>
      </c>
      <c r="DE10" t="s">
        <v>1202</v>
      </c>
      <c r="DF10">
        <v>-4.8941226601600649E-2</v>
      </c>
      <c r="DG10">
        <v>3.4835420891364901</v>
      </c>
      <c r="DH10" t="s">
        <v>1203</v>
      </c>
      <c r="DI10">
        <v>-4.4492024183273318E-2</v>
      </c>
      <c r="DJ10">
        <v>1.7417710445682451</v>
      </c>
      <c r="DK10" t="s">
        <v>1204</v>
      </c>
      <c r="DL10">
        <v>-3.8930521160364148E-2</v>
      </c>
      <c r="DM10">
        <v>359000000</v>
      </c>
      <c r="DN10">
        <v>-5.5615030229091644E-2</v>
      </c>
      <c r="DO10">
        <v>12505916100</v>
      </c>
      <c r="DP10">
        <v>1824969400</v>
      </c>
      <c r="DQ10">
        <v>267</v>
      </c>
      <c r="DR10">
        <v>0.32367281514080898</v>
      </c>
      <c r="DS10">
        <v>3.7188686717713928</v>
      </c>
      <c r="DT10" s="9">
        <v>-0.49</v>
      </c>
      <c r="DU10">
        <v>1.2</v>
      </c>
      <c r="DV10">
        <v>0.71</v>
      </c>
      <c r="DW10">
        <v>4.5296610169491522</v>
      </c>
      <c r="DX10">
        <v>0.44756177924217638</v>
      </c>
      <c r="DY10">
        <v>4.0728611118867448</v>
      </c>
      <c r="DZ10">
        <v>454</v>
      </c>
      <c r="EA10">
        <v>4.066387737171171</v>
      </c>
      <c r="EB10">
        <v>4</v>
      </c>
      <c r="EC10">
        <v>8.3799945143652674E-2</v>
      </c>
      <c r="ED10">
        <v>0.60918043954727152</v>
      </c>
      <c r="EE10" s="10">
        <v>1.0478099999999999</v>
      </c>
      <c r="EF10">
        <v>1.07321</v>
      </c>
      <c r="EG10">
        <v>31.137561779242176</v>
      </c>
      <c r="EH10" t="s">
        <v>907</v>
      </c>
      <c r="EI10">
        <v>0</v>
      </c>
      <c r="EJ10">
        <v>1</v>
      </c>
      <c r="EK10" s="12">
        <v>45470</v>
      </c>
      <c r="EL10" s="13">
        <v>0.99</v>
      </c>
      <c r="EM10" s="13">
        <v>-3.32</v>
      </c>
      <c r="EN10" s="13">
        <v>1.62</v>
      </c>
      <c r="EO10" s="13">
        <v>1.59</v>
      </c>
      <c r="EP10" s="13">
        <v>-2.54</v>
      </c>
    </row>
    <row r="11" spans="1:146" ht="144" x14ac:dyDescent="0.25">
      <c r="A11" s="6" t="s">
        <v>612</v>
      </c>
      <c r="B11" s="6" t="s">
        <v>609</v>
      </c>
      <c r="C11" s="6" t="str">
        <f>"公司是一家主营业务是铝土矿开采、氧化铝生产、铝冶炼、铝加工及铝用阳极炭素生产和销售，主要产品有氧化铝、铝用阳极炭素、重熔用铝锭、圆铝杆、铝合金、铝板带箔、铝焊材等"&amp;CHAR(10)&amp;Basic_Fundamental_Information_Constructure(F11)&amp;CHAR(10)&amp;Basic_Fundamental_Information_Concatenate("铝加工产品 126.22亿 50.92% 45.87% 15.84%
电解铝 119.48亿 48.21% 53.51% 19.52%")</f>
        <v>公司是一家主营业务是铝土矿开采、氧化铝生产、铝冶炼、铝加工及铝用阳极炭素生产和销售，主要产品有氧化铝、铝用阳极炭素、重熔用铝锭、圆铝杆、铝合金、铝板带箔、铝焊材等
市值473.37619亿, 利润39.56亿; PE11.18; 平均PE24.09; 平均PEG1.52, PB1.76; ROIC14.2033%; ROE19.1633%; 股利率1.685%; 毛利17.04%; 净利10.68%; 上一年度营收增-11.96%, 利润增-13.4%; 当季营收增20.28%, 利润增31.48%; 过往5年营收增15.81%, 利润增101.79%
Income profile:
铝加工产品 126.22亿 50.92% 45.87% 15.84%
电解铝 119.48亿 48.21% 53.51% 19.52%</v>
      </c>
      <c r="D11" t="s">
        <v>175</v>
      </c>
      <c r="E11" t="s">
        <v>176</v>
      </c>
      <c r="F11">
        <v>13.65</v>
      </c>
      <c r="G11">
        <v>2.09</v>
      </c>
      <c r="H11" t="s">
        <v>1205</v>
      </c>
      <c r="I11">
        <v>47337619000</v>
      </c>
      <c r="J11">
        <v>11.18</v>
      </c>
      <c r="K11">
        <v>1.76</v>
      </c>
      <c r="L11" t="s">
        <v>105</v>
      </c>
      <c r="M11" t="s">
        <v>1206</v>
      </c>
      <c r="N11" t="s">
        <v>1207</v>
      </c>
      <c r="O11" t="s">
        <v>1208</v>
      </c>
      <c r="P11">
        <v>20.28</v>
      </c>
      <c r="Q11" t="s">
        <v>1209</v>
      </c>
      <c r="R11">
        <v>1163629820</v>
      </c>
      <c r="S11" s="5">
        <v>0.31530000000000002</v>
      </c>
      <c r="T11" t="s">
        <v>824</v>
      </c>
      <c r="U11">
        <v>3467908000</v>
      </c>
      <c r="V11">
        <v>3467957400</v>
      </c>
      <c r="W11">
        <v>1.31</v>
      </c>
      <c r="X11">
        <v>0.28999999999999998</v>
      </c>
      <c r="Y11">
        <v>11.84</v>
      </c>
      <c r="Z11" t="s">
        <v>1210</v>
      </c>
      <c r="AA11" t="s">
        <v>1211</v>
      </c>
      <c r="AB11" t="s">
        <v>1212</v>
      </c>
      <c r="AC11" t="s">
        <v>774</v>
      </c>
      <c r="AD11" t="s">
        <v>5</v>
      </c>
      <c r="AE11">
        <v>13836271</v>
      </c>
      <c r="AF11" t="s">
        <v>1213</v>
      </c>
      <c r="AG11" t="s">
        <v>1214</v>
      </c>
      <c r="AH11" t="s">
        <v>1215</v>
      </c>
      <c r="AI11" t="s">
        <v>1216</v>
      </c>
      <c r="AJ11" t="s">
        <v>1217</v>
      </c>
      <c r="AK11" t="s">
        <v>5</v>
      </c>
      <c r="AL11" t="s">
        <v>1218</v>
      </c>
      <c r="AM11" t="s">
        <v>5</v>
      </c>
      <c r="AN11" t="s">
        <v>558</v>
      </c>
      <c r="AO11" t="s">
        <v>1219</v>
      </c>
      <c r="AP11" t="s">
        <v>1220</v>
      </c>
      <c r="AQ11" t="s">
        <v>1221</v>
      </c>
      <c r="AR11" t="s">
        <v>5</v>
      </c>
      <c r="AS11" t="s">
        <v>1222</v>
      </c>
      <c r="AT11" t="s">
        <v>1223</v>
      </c>
      <c r="AU11" t="s">
        <v>1224</v>
      </c>
      <c r="AV11" t="s">
        <v>749</v>
      </c>
      <c r="AW11" t="s">
        <v>369</v>
      </c>
      <c r="AX11" t="s">
        <v>833</v>
      </c>
      <c r="AY11" t="s">
        <v>834</v>
      </c>
      <c r="AZ11" t="s">
        <v>177</v>
      </c>
      <c r="BA11" t="s">
        <v>180</v>
      </c>
      <c r="BB11" t="s">
        <v>181</v>
      </c>
      <c r="BC11" t="s">
        <v>1225</v>
      </c>
      <c r="BD11" t="s">
        <v>835</v>
      </c>
      <c r="BE11" t="s">
        <v>178</v>
      </c>
      <c r="BF11" t="s">
        <v>182</v>
      </c>
      <c r="BG11" t="s">
        <v>183</v>
      </c>
      <c r="BH11" t="s">
        <v>1209</v>
      </c>
      <c r="BI11" t="s">
        <v>1226</v>
      </c>
      <c r="BJ11" t="s">
        <v>833</v>
      </c>
      <c r="BK11" t="s">
        <v>824</v>
      </c>
      <c r="BL11" t="s">
        <v>921</v>
      </c>
      <c r="BM11" t="s">
        <v>1225</v>
      </c>
      <c r="BN11">
        <v>9.58</v>
      </c>
      <c r="BO11">
        <v>17.510000000000002</v>
      </c>
      <c r="BP11">
        <v>15.52</v>
      </c>
      <c r="BQ11">
        <v>10.61</v>
      </c>
      <c r="BR11">
        <v>22.32</v>
      </c>
      <c r="BS11">
        <v>24.56</v>
      </c>
      <c r="BT11" t="s">
        <v>1227</v>
      </c>
      <c r="BU11" t="s">
        <v>627</v>
      </c>
      <c r="BV11">
        <v>15.81</v>
      </c>
      <c r="BW11">
        <v>14.94</v>
      </c>
      <c r="BX11">
        <v>20.37</v>
      </c>
      <c r="BY11">
        <v>11.06</v>
      </c>
      <c r="BZ11">
        <v>10.87</v>
      </c>
      <c r="CA11">
        <v>10.11</v>
      </c>
      <c r="CB11">
        <v>1.04</v>
      </c>
      <c r="CC11">
        <v>-1.73</v>
      </c>
      <c r="CD11" t="s">
        <v>1228</v>
      </c>
      <c r="CE11" t="s">
        <v>1229</v>
      </c>
      <c r="CF11" s="7">
        <v>0.20279572169861274</v>
      </c>
      <c r="CG11" s="8">
        <v>0.3148359548022599</v>
      </c>
      <c r="CH11" s="7">
        <v>-0.11955514550209045</v>
      </c>
      <c r="CI11" s="7">
        <v>0.16076263785362244</v>
      </c>
      <c r="CJ11" s="7">
        <v>0.41179454326629639</v>
      </c>
      <c r="CK11" s="7">
        <v>0.21779768168926239</v>
      </c>
      <c r="CL11" s="7">
        <v>0.11964591592550278</v>
      </c>
      <c r="CM11" s="8">
        <v>-0.13397547602653503</v>
      </c>
      <c r="CN11" s="8">
        <v>0.37053707242012024</v>
      </c>
      <c r="CO11" s="8">
        <v>2.6910297870635986</v>
      </c>
      <c r="CP11" s="8">
        <v>0.82424241304397583</v>
      </c>
      <c r="CQ11" s="8">
        <v>1.3376533985137939</v>
      </c>
      <c r="CR11">
        <v>24.092434812112987</v>
      </c>
      <c r="CS11">
        <v>1.5239779814827341</v>
      </c>
      <c r="CT11">
        <v>1.6849816849816848</v>
      </c>
      <c r="CU11" s="7">
        <v>0.1580891266465187</v>
      </c>
      <c r="CV11" s="8">
        <v>1.0178974390029907</v>
      </c>
      <c r="CW11">
        <v>0.06</v>
      </c>
      <c r="CX11">
        <v>6.1992475036791657</v>
      </c>
      <c r="CY11">
        <v>4322076023.5977621</v>
      </c>
      <c r="CZ11">
        <v>0.1580891266465187</v>
      </c>
      <c r="DA11">
        <v>1.9132237525404676</v>
      </c>
      <c r="DB11">
        <v>14004435688.41448</v>
      </c>
      <c r="DC11">
        <v>0.15018467031419275</v>
      </c>
      <c r="DD11">
        <v>0.87081631630729672</v>
      </c>
      <c r="DE11">
        <v>30768393400.82481</v>
      </c>
      <c r="DF11">
        <v>0.13911843144893646</v>
      </c>
      <c r="DG11">
        <v>0.47740849710964522</v>
      </c>
      <c r="DH11">
        <v>56123045907.677628</v>
      </c>
      <c r="DI11">
        <v>0.12647130131721496</v>
      </c>
      <c r="DJ11">
        <v>0.20008753772322532</v>
      </c>
      <c r="DK11">
        <v>133909484343.11163</v>
      </c>
      <c r="DL11">
        <v>0.11066238865256307</v>
      </c>
      <c r="DM11">
        <v>3956000000</v>
      </c>
      <c r="DN11">
        <v>0.1580891266465187</v>
      </c>
      <c r="DO11">
        <v>26793619000</v>
      </c>
      <c r="DP11">
        <v>5942988800</v>
      </c>
      <c r="DQ11">
        <v>297</v>
      </c>
      <c r="DR11">
        <v>4.4706595052094039E-2</v>
      </c>
      <c r="DS11">
        <v>-0.70306148420073078</v>
      </c>
      <c r="DT11" s="9">
        <v>-4.0000000000000036E-2</v>
      </c>
      <c r="DU11">
        <v>1.2183333333333335</v>
      </c>
      <c r="DV11">
        <v>1.1783333333333335</v>
      </c>
      <c r="DW11">
        <v>-1.7299999999999999E-2</v>
      </c>
      <c r="DX11">
        <v>0.39744938818076164</v>
      </c>
      <c r="DY11">
        <v>-1.5128744155271559E-3</v>
      </c>
      <c r="DZ11">
        <v>133</v>
      </c>
      <c r="EA11">
        <v>-1.4734982321093259E-3</v>
      </c>
      <c r="EB11">
        <v>0</v>
      </c>
      <c r="EC11">
        <v>3.1142251055333033E-2</v>
      </c>
      <c r="ED11">
        <v>0.35611740790126201</v>
      </c>
      <c r="EE11" s="10">
        <v>3.00421</v>
      </c>
      <c r="EF11">
        <v>3.02881</v>
      </c>
      <c r="EG11">
        <v>31.087449388180762</v>
      </c>
      <c r="EH11" t="s">
        <v>815</v>
      </c>
      <c r="EI11">
        <v>0</v>
      </c>
      <c r="EJ11">
        <v>1</v>
      </c>
      <c r="EK11" s="12">
        <v>45470</v>
      </c>
      <c r="EL11" s="13">
        <v>-0.74</v>
      </c>
      <c r="EM11" s="13">
        <v>-1.19</v>
      </c>
      <c r="EN11" s="13">
        <v>1.58</v>
      </c>
      <c r="EO11" s="13">
        <v>-0.67</v>
      </c>
      <c r="EP11" s="13">
        <v>-2.46</v>
      </c>
    </row>
    <row r="12" spans="1:146" ht="168" x14ac:dyDescent="0.25">
      <c r="A12" s="6"/>
      <c r="B12" s="6"/>
      <c r="C12" s="6" t="str">
        <f>"公司的主要业务涵盖了铜的勘探、采选、冶炼，贵金属和稀散金属的提取与加工，硫化工以及贸易等领域。产品包括：阴极铜、黄金、白银、硫酸和硒、碲、铼、铂、钯等多种稀贵/稀散金属等。"&amp;CHAR(10)&amp;Basic_Fundamental_Information_Constructure(F12)&amp;CHAR(10)&amp;Basic_Fundamental_Information_Concatenate("阴极铜 476.42亿 73.97% 43.70% 2.84%
其他产品 101.05亿 15.69% 18.49% 5.68%
贵金属 54.03亿 8.39% 7.93% 4.55%
硫酸 12.57亿 1.95% 29.88% 73.74%")</f>
        <v>公司的主要业务涵盖了铜的勘探、采选、冶炼，贵金属和稀散金属的提取与加工，硫化工以及贸易等领域。产品包括：阴极铜、黄金、白银、硫酸和硒、碲、铼、铂、钯等多种稀贵/稀散金属等。
市值254.66116亿, 利润15.79亿; PE16.41; 平均PE29.32; 平均PEG1.11, PB1.79; ROIC7.6733%; ROE12.0667%; 股利率2.3603%; 毛利4.3467%; 净利1.52%; 上一年度营收增8.95%, 利润增-12.71%; 当季营收增4.91%, 利润增-5.55%; 过往5年营收增26.4%, 利润增125.91%
Income profile:
阴极铜 476.42亿 73.97% 43.70% 2.84%
其他产品 101.05亿 15.69% 18.49% 5.68%
贵金属 54.03亿 8.39% 7.93% 4.55%
硫酸 12.57亿 1.95% 29.88% 73.74%</v>
      </c>
      <c r="D12" t="s">
        <v>185</v>
      </c>
      <c r="E12" t="s">
        <v>186</v>
      </c>
      <c r="F12">
        <v>12.71</v>
      </c>
      <c r="G12">
        <v>3.08</v>
      </c>
      <c r="H12" t="s">
        <v>1230</v>
      </c>
      <c r="I12">
        <v>25466116000</v>
      </c>
      <c r="J12">
        <v>16.41</v>
      </c>
      <c r="K12">
        <v>1.79</v>
      </c>
      <c r="L12" t="s">
        <v>105</v>
      </c>
      <c r="M12" t="s">
        <v>1231</v>
      </c>
      <c r="N12" t="s">
        <v>1232</v>
      </c>
      <c r="O12" t="s">
        <v>1233</v>
      </c>
      <c r="P12">
        <v>4.91</v>
      </c>
      <c r="Q12" t="s">
        <v>1234</v>
      </c>
      <c r="R12">
        <v>451486920</v>
      </c>
      <c r="S12" s="5">
        <v>-5.6399999999999999E-2</v>
      </c>
      <c r="T12" t="s">
        <v>1235</v>
      </c>
      <c r="U12">
        <v>2003584200</v>
      </c>
      <c r="V12">
        <v>2003628300</v>
      </c>
      <c r="W12">
        <v>2.78</v>
      </c>
      <c r="X12">
        <v>0.72</v>
      </c>
      <c r="Y12">
        <v>2.11</v>
      </c>
      <c r="Z12" t="s">
        <v>1236</v>
      </c>
      <c r="AA12" t="s">
        <v>1237</v>
      </c>
      <c r="AB12" t="s">
        <v>1238</v>
      </c>
      <c r="AC12" t="s">
        <v>1239</v>
      </c>
      <c r="AD12" t="s">
        <v>5</v>
      </c>
      <c r="AE12">
        <v>98026780</v>
      </c>
      <c r="AF12" t="s">
        <v>1240</v>
      </c>
      <c r="AG12" t="s">
        <v>1241</v>
      </c>
      <c r="AH12" t="s">
        <v>1242</v>
      </c>
      <c r="AI12" t="s">
        <v>1243</v>
      </c>
      <c r="AJ12" t="s">
        <v>1244</v>
      </c>
      <c r="AK12" t="s">
        <v>5</v>
      </c>
      <c r="AL12" t="s">
        <v>1245</v>
      </c>
      <c r="AM12" t="s">
        <v>5</v>
      </c>
      <c r="AN12" t="s">
        <v>341</v>
      </c>
      <c r="AO12" t="s">
        <v>1246</v>
      </c>
      <c r="AP12" t="s">
        <v>312</v>
      </c>
      <c r="AQ12" t="s">
        <v>1247</v>
      </c>
      <c r="AR12" t="s">
        <v>1248</v>
      </c>
      <c r="AS12" t="s">
        <v>1249</v>
      </c>
      <c r="AT12" t="s">
        <v>1250</v>
      </c>
      <c r="AU12" t="s">
        <v>1251</v>
      </c>
      <c r="AV12" t="s">
        <v>1252</v>
      </c>
      <c r="AW12" t="s">
        <v>1253</v>
      </c>
      <c r="AX12" t="s">
        <v>837</v>
      </c>
      <c r="AY12" t="s">
        <v>521</v>
      </c>
      <c r="AZ12" t="s">
        <v>187</v>
      </c>
      <c r="BA12" t="s">
        <v>188</v>
      </c>
      <c r="BB12" t="s">
        <v>189</v>
      </c>
      <c r="BC12" t="s">
        <v>838</v>
      </c>
      <c r="BD12" t="s">
        <v>522</v>
      </c>
      <c r="BE12" t="s">
        <v>154</v>
      </c>
      <c r="BF12" t="s">
        <v>190</v>
      </c>
      <c r="BG12" t="s">
        <v>71</v>
      </c>
      <c r="BH12" t="s">
        <v>1234</v>
      </c>
      <c r="BI12" t="s">
        <v>1254</v>
      </c>
      <c r="BJ12" t="s">
        <v>837</v>
      </c>
      <c r="BK12" t="s">
        <v>1235</v>
      </c>
      <c r="BL12" t="s">
        <v>251</v>
      </c>
      <c r="BM12" t="s">
        <v>838</v>
      </c>
      <c r="BN12">
        <v>7.33</v>
      </c>
      <c r="BO12">
        <v>9.74</v>
      </c>
      <c r="BP12">
        <v>5.95</v>
      </c>
      <c r="BQ12">
        <v>11.15</v>
      </c>
      <c r="BR12">
        <v>17.61</v>
      </c>
      <c r="BS12">
        <v>7.44</v>
      </c>
      <c r="BT12" t="s">
        <v>1255</v>
      </c>
      <c r="BU12" t="s">
        <v>628</v>
      </c>
      <c r="BV12">
        <v>4.13</v>
      </c>
      <c r="BW12">
        <v>4.84</v>
      </c>
      <c r="BX12">
        <v>4.07</v>
      </c>
      <c r="BY12">
        <v>1.57</v>
      </c>
      <c r="BZ12">
        <v>1.97</v>
      </c>
      <c r="CA12">
        <v>1.02</v>
      </c>
      <c r="CB12">
        <v>2.0099999999999998</v>
      </c>
      <c r="CC12">
        <v>-7.5</v>
      </c>
      <c r="CD12" t="s">
        <v>61</v>
      </c>
      <c r="CE12" t="s">
        <v>1256</v>
      </c>
      <c r="CF12" s="7">
        <v>4.9096896517313644E-2</v>
      </c>
      <c r="CG12" s="8">
        <v>-5.5466694560669459E-2</v>
      </c>
      <c r="CH12" s="7">
        <v>8.9463695883750916E-2</v>
      </c>
      <c r="CI12" s="7">
        <v>6.1837870627641678E-2</v>
      </c>
      <c r="CJ12" s="7">
        <v>0.439930260181427</v>
      </c>
      <c r="CK12" s="7">
        <v>0.39420127868652344</v>
      </c>
      <c r="CL12" s="7">
        <v>0.33438748121261597</v>
      </c>
      <c r="CM12" s="8">
        <v>-0.12714199721813202</v>
      </c>
      <c r="CN12" s="8">
        <v>1.787365198135376</v>
      </c>
      <c r="CO12" s="8">
        <v>0.70789474248886108</v>
      </c>
      <c r="CP12" s="8">
        <v>-0.43283581733703613</v>
      </c>
      <c r="CQ12" s="8">
        <v>4.3600001335144043</v>
      </c>
      <c r="CR12">
        <v>29.316326937835765</v>
      </c>
      <c r="CS12">
        <v>1.1106178838116318</v>
      </c>
      <c r="CT12">
        <v>2.3603461841070024</v>
      </c>
      <c r="CU12" s="7">
        <v>0.26396411731839181</v>
      </c>
      <c r="CV12" s="8">
        <v>1.2590564519166947</v>
      </c>
      <c r="CW12">
        <v>0.06</v>
      </c>
      <c r="CX12">
        <v>16.058870397258882</v>
      </c>
      <c r="CY12">
        <v>1882829567.2129626</v>
      </c>
      <c r="CZ12">
        <v>0.26396411731839181</v>
      </c>
      <c r="DA12">
        <v>4.5428328454564451</v>
      </c>
      <c r="DB12">
        <v>6655784403.3906994</v>
      </c>
      <c r="DC12">
        <v>0.25076591145247223</v>
      </c>
      <c r="DD12">
        <v>1.8230717128027196</v>
      </c>
      <c r="DE12">
        <v>16585258707.961723</v>
      </c>
      <c r="DF12">
        <v>0.23228842324018478</v>
      </c>
      <c r="DG12">
        <v>0.85569190103723436</v>
      </c>
      <c r="DH12">
        <v>35335283603.069084</v>
      </c>
      <c r="DI12">
        <v>0.21117129385471345</v>
      </c>
      <c r="DJ12">
        <v>0.24415637939749443</v>
      </c>
      <c r="DK12">
        <v>123839139794.80598</v>
      </c>
      <c r="DL12">
        <v>0.18477488212287427</v>
      </c>
      <c r="DM12">
        <v>1579000000</v>
      </c>
      <c r="DN12">
        <v>0.26396411731839181</v>
      </c>
      <c r="DO12">
        <v>30236116000</v>
      </c>
      <c r="DP12">
        <v>8987036000</v>
      </c>
      <c r="DQ12">
        <v>338</v>
      </c>
      <c r="DR12">
        <v>-0.21486722080107817</v>
      </c>
      <c r="DS12">
        <v>-1.3145231464773641</v>
      </c>
      <c r="DT12" s="9">
        <v>-9.000000000000008E-2</v>
      </c>
      <c r="DU12">
        <v>0.99500000000000011</v>
      </c>
      <c r="DV12">
        <v>0.90500000000000003</v>
      </c>
      <c r="DW12">
        <v>-2.0750000000000002</v>
      </c>
      <c r="DX12">
        <v>0.46931995540691335</v>
      </c>
      <c r="DY12">
        <v>-2.0096989966555183</v>
      </c>
      <c r="DZ12">
        <v>273</v>
      </c>
      <c r="EA12">
        <v>-2.0091808310807715</v>
      </c>
      <c r="EB12">
        <v>2</v>
      </c>
      <c r="EC12">
        <v>5.7894969840463918E-2</v>
      </c>
      <c r="ED12">
        <v>0.44768782712841504</v>
      </c>
      <c r="EE12" s="10">
        <v>-1.0189999999999999</v>
      </c>
      <c r="EF12">
        <v>-1.01261</v>
      </c>
      <c r="EG12">
        <v>34.129319955406913</v>
      </c>
      <c r="EH12" t="s">
        <v>598</v>
      </c>
      <c r="EI12">
        <v>0</v>
      </c>
      <c r="EJ12">
        <v>1</v>
      </c>
      <c r="EK12" s="12">
        <v>45470</v>
      </c>
      <c r="EL12" s="13">
        <v>-0.15</v>
      </c>
      <c r="EM12" s="13">
        <v>-2.56</v>
      </c>
      <c r="EN12" s="13">
        <v>0.32</v>
      </c>
      <c r="EO12" s="13">
        <v>0.48</v>
      </c>
      <c r="EP12" s="13">
        <v>-3.16</v>
      </c>
    </row>
    <row r="13" spans="1:146" ht="132" x14ac:dyDescent="0.25">
      <c r="A13" s="6" t="s">
        <v>791</v>
      </c>
      <c r="B13" s="6"/>
      <c r="C13" s="6" t="str">
        <f>"公司主营业务为铝产品、煤炭的生产、加工和销售及发供电。公司的主要产品为铝电业务、煤炭业务。"&amp;CHAR(10)&amp;Basic_Fundamental_Information_Constructure(F13)&amp;CHAR(10)&amp;Basic_Fundamental_Information_Concatenate("铝锭 235.72亿 68.42% 利润占比67.97% 35.06%
煤炭 77.05亿 22.36% 利润占比31.09% 49.08%
铝箔 15.33亿 4.45%")</f>
        <v>公司主营业务为铝产品、煤炭的生产、加工和销售及发供电。公司的主要产品为铝电业务、煤炭业务。
市值473.11368亿, 利润59.05亿; PE8.68; 平均PE15.21; 平均PEG.82, PB2.26; ROIC13.2967%; ROE39.7833%; 股利率3.8041%; 毛利31.1167%; 净利15.6033%; 上一年度营收增-11.89%, 利润增-22.08%; 当季营收增-13.58%, 利润增-29.46%; 过往5年营收增18.62%, 利润增258.42%
Income profile:
铝锭 235.72亿 68.42% 利润占比67.97% 35.06%
煤炭 77.05亿 22.36% 利润占比31.09% 49.08%
铝箔 15.33亿 4.45%</v>
      </c>
      <c r="D13" t="s">
        <v>192</v>
      </c>
      <c r="E13" t="s">
        <v>193</v>
      </c>
      <c r="F13">
        <v>21.03</v>
      </c>
      <c r="G13">
        <v>4.26</v>
      </c>
      <c r="H13" t="s">
        <v>1257</v>
      </c>
      <c r="I13">
        <v>47311368000</v>
      </c>
      <c r="J13">
        <v>8.68</v>
      </c>
      <c r="K13">
        <v>2.2599999999999998</v>
      </c>
      <c r="L13" t="s">
        <v>105</v>
      </c>
      <c r="M13" t="s">
        <v>1258</v>
      </c>
      <c r="N13" t="s">
        <v>1259</v>
      </c>
      <c r="O13" t="s">
        <v>1260</v>
      </c>
      <c r="P13">
        <v>-13.57</v>
      </c>
      <c r="Q13" t="s">
        <v>1261</v>
      </c>
      <c r="R13">
        <v>1090539520</v>
      </c>
      <c r="S13" s="5">
        <v>-0.29470000000000002</v>
      </c>
      <c r="T13" t="s">
        <v>839</v>
      </c>
      <c r="U13">
        <v>2238465300</v>
      </c>
      <c r="V13">
        <v>2249708400</v>
      </c>
      <c r="W13">
        <v>2.36</v>
      </c>
      <c r="X13">
        <v>0.14000000000000001</v>
      </c>
      <c r="Y13">
        <v>14.22</v>
      </c>
      <c r="Z13" t="s">
        <v>1262</v>
      </c>
      <c r="AA13" t="s">
        <v>1263</v>
      </c>
      <c r="AB13" t="s">
        <v>60</v>
      </c>
      <c r="AC13" t="s">
        <v>1264</v>
      </c>
      <c r="AD13" t="s">
        <v>5</v>
      </c>
      <c r="AE13">
        <v>22595783</v>
      </c>
      <c r="AF13" t="s">
        <v>1265</v>
      </c>
      <c r="AG13" t="s">
        <v>1266</v>
      </c>
      <c r="AH13" t="s">
        <v>1267</v>
      </c>
      <c r="AI13" t="s">
        <v>1268</v>
      </c>
      <c r="AJ13" t="s">
        <v>1269</v>
      </c>
      <c r="AK13" t="s">
        <v>1270</v>
      </c>
      <c r="AL13" t="s">
        <v>1271</v>
      </c>
      <c r="AM13" t="s">
        <v>5</v>
      </c>
      <c r="AN13" t="s">
        <v>1272</v>
      </c>
      <c r="AO13" t="s">
        <v>1273</v>
      </c>
      <c r="AP13" t="s">
        <v>1274</v>
      </c>
      <c r="AQ13" t="s">
        <v>1275</v>
      </c>
      <c r="AR13" t="s">
        <v>1276</v>
      </c>
      <c r="AS13" t="s">
        <v>1277</v>
      </c>
      <c r="AT13" t="s">
        <v>1278</v>
      </c>
      <c r="AU13" t="s">
        <v>1279</v>
      </c>
      <c r="AV13" t="s">
        <v>1280</v>
      </c>
      <c r="AW13" t="s">
        <v>735</v>
      </c>
      <c r="AX13" t="s">
        <v>841</v>
      </c>
      <c r="AY13" t="s">
        <v>843</v>
      </c>
      <c r="AZ13" t="s">
        <v>194</v>
      </c>
      <c r="BA13" t="s">
        <v>196</v>
      </c>
      <c r="BB13" t="s">
        <v>197</v>
      </c>
      <c r="BC13" t="s">
        <v>1281</v>
      </c>
      <c r="BD13" t="s">
        <v>844</v>
      </c>
      <c r="BE13" t="s">
        <v>195</v>
      </c>
      <c r="BF13" t="s">
        <v>198</v>
      </c>
      <c r="BG13" t="s">
        <v>58</v>
      </c>
      <c r="BH13" t="s">
        <v>1261</v>
      </c>
      <c r="BI13" t="s">
        <v>1282</v>
      </c>
      <c r="BJ13" t="s">
        <v>841</v>
      </c>
      <c r="BK13" t="s">
        <v>839</v>
      </c>
      <c r="BL13" t="s">
        <v>1283</v>
      </c>
      <c r="BM13" t="s">
        <v>1281</v>
      </c>
      <c r="BN13">
        <v>9.9700000000000006</v>
      </c>
      <c r="BO13">
        <v>20.62</v>
      </c>
      <c r="BP13">
        <v>9.3000000000000007</v>
      </c>
      <c r="BQ13">
        <v>24.22</v>
      </c>
      <c r="BR13">
        <v>57.52</v>
      </c>
      <c r="BS13">
        <v>37.61</v>
      </c>
      <c r="BT13" t="s">
        <v>1284</v>
      </c>
      <c r="BU13" t="s">
        <v>627</v>
      </c>
      <c r="BV13">
        <v>26.36</v>
      </c>
      <c r="BW13">
        <v>31.3</v>
      </c>
      <c r="BX13">
        <v>35.69</v>
      </c>
      <c r="BY13">
        <v>17.88</v>
      </c>
      <c r="BZ13">
        <v>20.079999999999998</v>
      </c>
      <c r="CA13">
        <v>8.85</v>
      </c>
      <c r="CB13">
        <v>3.95</v>
      </c>
      <c r="CC13">
        <v>-9.6999999999999993</v>
      </c>
      <c r="CD13" t="s">
        <v>1285</v>
      </c>
      <c r="CE13" t="s">
        <v>1286</v>
      </c>
      <c r="CF13" s="7">
        <v>-0.13578560168155543</v>
      </c>
      <c r="CG13" s="8">
        <v>-0.29460574385510996</v>
      </c>
      <c r="CH13" s="7">
        <v>-0.11893497407436371</v>
      </c>
      <c r="CI13" s="7">
        <v>0.23804821074008942</v>
      </c>
      <c r="CJ13" s="7">
        <v>0.83385622501373291</v>
      </c>
      <c r="CK13" s="7">
        <v>7.2471149265766144E-2</v>
      </c>
      <c r="CL13" s="7">
        <v>-9.4532497227191925E-2</v>
      </c>
      <c r="CM13" s="8">
        <v>-0.22077064216136932</v>
      </c>
      <c r="CN13" s="8">
        <v>1.3410565853118896</v>
      </c>
      <c r="CO13" s="8">
        <v>8.0418996810913086</v>
      </c>
      <c r="CP13" s="8">
        <v>-0.73283582925796509</v>
      </c>
      <c r="CQ13" s="8">
        <v>4.4918031692504883</v>
      </c>
      <c r="CR13">
        <v>15.211028185617833</v>
      </c>
      <c r="CS13">
        <v>0.81699944180662565</v>
      </c>
      <c r="CT13">
        <v>3.804089396100808</v>
      </c>
      <c r="CU13" s="7">
        <v>0.18618162274360656</v>
      </c>
      <c r="CV13" s="8">
        <v>2.5842305928468705</v>
      </c>
      <c r="CW13">
        <v>0.06</v>
      </c>
      <c r="CX13">
        <v>8.4284177314445579</v>
      </c>
      <c r="CY13">
        <v>6607926870.0952797</v>
      </c>
      <c r="CZ13">
        <v>0.18618162274360656</v>
      </c>
      <c r="DA13">
        <v>2.5412113920421486</v>
      </c>
      <c r="DB13">
        <v>21916464003.903008</v>
      </c>
      <c r="DC13">
        <v>0.17687254160642621</v>
      </c>
      <c r="DD13">
        <v>1.1190966249037362</v>
      </c>
      <c r="DE13">
        <v>49767255803.126724</v>
      </c>
      <c r="DF13">
        <v>0.16383982801437377</v>
      </c>
      <c r="DG13">
        <v>0.58960232691943593</v>
      </c>
      <c r="DH13">
        <v>94460902640.925568</v>
      </c>
      <c r="DI13">
        <v>0.14894529819488525</v>
      </c>
      <c r="DJ13">
        <v>0.22450990595868409</v>
      </c>
      <c r="DK13">
        <v>248070871359.45474</v>
      </c>
      <c r="DL13">
        <v>0.13032713592052458</v>
      </c>
      <c r="DM13">
        <v>5905000000</v>
      </c>
      <c r="DN13">
        <v>0.18618162274360656</v>
      </c>
      <c r="DO13">
        <v>55694368000</v>
      </c>
      <c r="DP13">
        <v>-5982970000</v>
      </c>
      <c r="DQ13">
        <v>382</v>
      </c>
      <c r="DR13">
        <v>-0.32196722442516201</v>
      </c>
      <c r="DS13">
        <v>-2.8788363367019807</v>
      </c>
      <c r="DT13" s="9">
        <v>-2.3333333333333355E-2</v>
      </c>
      <c r="DU13">
        <v>0.58466666666666689</v>
      </c>
      <c r="DV13">
        <v>0.56133333333333357</v>
      </c>
      <c r="DW13">
        <v>6.2893772893772892</v>
      </c>
      <c r="DX13">
        <v>0.44218241638225292</v>
      </c>
      <c r="DY13">
        <v>6.0440381351435821</v>
      </c>
      <c r="DZ13">
        <v>628</v>
      </c>
      <c r="EA13">
        <v>6.038626012077013</v>
      </c>
      <c r="EB13">
        <v>6</v>
      </c>
      <c r="EC13">
        <v>3.9640204037109876E-2</v>
      </c>
      <c r="ED13">
        <v>0.260478202419478</v>
      </c>
      <c r="EE13" s="10">
        <v>1.01871</v>
      </c>
      <c r="EF13">
        <v>1.05891</v>
      </c>
      <c r="EG13">
        <v>29.152182416382253</v>
      </c>
      <c r="EH13" t="s">
        <v>907</v>
      </c>
      <c r="EI13">
        <v>0</v>
      </c>
      <c r="EJ13">
        <v>1</v>
      </c>
      <c r="EK13" s="12">
        <v>45470</v>
      </c>
      <c r="EL13" s="13">
        <v>-0.73</v>
      </c>
      <c r="EM13" s="13">
        <v>-1.89</v>
      </c>
      <c r="EN13" s="13">
        <v>0.05</v>
      </c>
      <c r="EO13" s="13">
        <v>-1.97</v>
      </c>
      <c r="EP13" s="13">
        <v>-4.0199999999999996</v>
      </c>
    </row>
    <row r="14" spans="1:146" ht="96" x14ac:dyDescent="0.25">
      <c r="A14" s="6"/>
      <c r="B14" s="6"/>
      <c r="C14" s="6" t="str">
        <f>""&amp;CHAR(10)&amp;Basic_Fundamental_Information_Constructure(F14)&amp;CHAR(10)&amp;Basic_Fundamental_Information_Concatenate("")</f>
        <v xml:space="preserve">
市值14.100034亿, 利润-2.09亿; PE; 平均PE-10.93; 平均PEG-.94, PB1.41; ROIC1.95%; ROE-8.3733%; 股利率0%; 毛利1.83%; 净利-8.22%; 上一年度营收增-21.89%, 利润增11.44%; 当季营收增14.33%, 利润增-326.62%; 过往5年营收增11.61%, 利润增-244.64%
Income profile:
</v>
      </c>
      <c r="D14" t="s">
        <v>200</v>
      </c>
      <c r="E14" t="s">
        <v>201</v>
      </c>
      <c r="F14">
        <v>4.3600000000000003</v>
      </c>
      <c r="G14">
        <v>2.59</v>
      </c>
      <c r="H14" t="s">
        <v>1287</v>
      </c>
      <c r="I14">
        <v>1410003400</v>
      </c>
      <c r="K14">
        <v>1.41</v>
      </c>
      <c r="L14" t="s">
        <v>105</v>
      </c>
      <c r="M14" t="s">
        <v>1288</v>
      </c>
      <c r="N14" t="s">
        <v>1289</v>
      </c>
      <c r="O14" t="s">
        <v>1290</v>
      </c>
      <c r="P14">
        <v>14.26</v>
      </c>
      <c r="Q14" t="s">
        <v>1291</v>
      </c>
      <c r="R14">
        <v>-29525964</v>
      </c>
      <c r="S14" s="5">
        <v>-3.266</v>
      </c>
      <c r="T14" t="s">
        <v>1292</v>
      </c>
      <c r="U14">
        <v>323390820</v>
      </c>
      <c r="V14">
        <v>323395270</v>
      </c>
      <c r="W14">
        <v>2.2599999999999998</v>
      </c>
      <c r="X14">
        <v>0.17</v>
      </c>
      <c r="Y14">
        <v>-7.55</v>
      </c>
      <c r="Z14" t="s">
        <v>780</v>
      </c>
      <c r="AA14" t="s">
        <v>504</v>
      </c>
      <c r="AB14" t="s">
        <v>1293</v>
      </c>
      <c r="AC14" t="s">
        <v>1294</v>
      </c>
      <c r="AD14" t="s">
        <v>5</v>
      </c>
      <c r="AE14">
        <v>5193540</v>
      </c>
      <c r="AF14" t="s">
        <v>1295</v>
      </c>
      <c r="AG14">
        <v>9895</v>
      </c>
      <c r="AH14" t="s">
        <v>1296</v>
      </c>
      <c r="AI14" t="s">
        <v>33</v>
      </c>
      <c r="AJ14" t="s">
        <v>1297</v>
      </c>
      <c r="AK14" t="s">
        <v>5</v>
      </c>
      <c r="AL14" t="s">
        <v>1298</v>
      </c>
      <c r="AM14" t="s">
        <v>5</v>
      </c>
      <c r="AN14" t="s">
        <v>1299</v>
      </c>
      <c r="AO14" t="s">
        <v>952</v>
      </c>
      <c r="AP14" t="s">
        <v>96</v>
      </c>
      <c r="AQ14" t="s">
        <v>634</v>
      </c>
      <c r="AR14" t="s">
        <v>5</v>
      </c>
      <c r="AS14" t="s">
        <v>1300</v>
      </c>
      <c r="AT14" t="s">
        <v>1301</v>
      </c>
      <c r="AU14" t="s">
        <v>1302</v>
      </c>
      <c r="AV14" t="s">
        <v>1303</v>
      </c>
      <c r="AW14" t="s">
        <v>1304</v>
      </c>
      <c r="AX14" t="s">
        <v>846</v>
      </c>
      <c r="AY14" t="s">
        <v>524</v>
      </c>
      <c r="AZ14" t="s">
        <v>202</v>
      </c>
      <c r="BA14" t="s">
        <v>204</v>
      </c>
      <c r="BB14" t="s">
        <v>205</v>
      </c>
      <c r="BC14" t="s">
        <v>847</v>
      </c>
      <c r="BD14" t="s">
        <v>525</v>
      </c>
      <c r="BE14" t="s">
        <v>203</v>
      </c>
      <c r="BF14" t="s">
        <v>207</v>
      </c>
      <c r="BG14" t="s">
        <v>208</v>
      </c>
      <c r="BH14" t="s">
        <v>1291</v>
      </c>
      <c r="BI14" t="s">
        <v>1305</v>
      </c>
      <c r="BJ14" t="s">
        <v>846</v>
      </c>
      <c r="BK14" t="s">
        <v>1292</v>
      </c>
      <c r="BL14" t="s">
        <v>1306</v>
      </c>
      <c r="BM14" t="s">
        <v>847</v>
      </c>
      <c r="BN14" t="s">
        <v>5</v>
      </c>
      <c r="BO14" t="s">
        <v>5</v>
      </c>
      <c r="BP14">
        <v>1.95</v>
      </c>
      <c r="BQ14">
        <v>-9.6999999999999993</v>
      </c>
      <c r="BR14">
        <v>-17.52</v>
      </c>
      <c r="BS14">
        <v>2.1</v>
      </c>
      <c r="BT14" t="s">
        <v>733</v>
      </c>
      <c r="BU14" t="s">
        <v>624</v>
      </c>
      <c r="BV14">
        <v>-4.55</v>
      </c>
      <c r="BW14">
        <v>-3.45</v>
      </c>
      <c r="BX14">
        <v>13.49</v>
      </c>
      <c r="BY14">
        <v>-13.76</v>
      </c>
      <c r="BZ14">
        <v>-12.38</v>
      </c>
      <c r="CA14">
        <v>1.48</v>
      </c>
      <c r="CB14">
        <v>2.35</v>
      </c>
      <c r="CC14">
        <v>-13.15</v>
      </c>
      <c r="CD14" t="s">
        <v>1307</v>
      </c>
      <c r="CE14" t="s">
        <v>746</v>
      </c>
      <c r="CF14" s="7">
        <v>0.14326647564469913</v>
      </c>
      <c r="CG14" s="8">
        <v>-3.2662029504833185</v>
      </c>
      <c r="CH14" s="7">
        <v>-0.21889285743236542</v>
      </c>
      <c r="CI14" s="7">
        <v>7.8904181718826294E-2</v>
      </c>
      <c r="CJ14" s="7">
        <v>5.9198994189500809E-2</v>
      </c>
      <c r="CK14" s="7">
        <v>-7.7129080891609192E-2</v>
      </c>
      <c r="CL14" s="7">
        <v>0.73836129903793335</v>
      </c>
      <c r="CM14" s="8">
        <v>0.1144067794084549</v>
      </c>
      <c r="CN14" s="8">
        <v>-8.7188253402709961</v>
      </c>
      <c r="CO14" s="8">
        <v>1.2407448291778564</v>
      </c>
      <c r="CP14" s="8">
        <v>-5.9676518440246582</v>
      </c>
      <c r="CQ14" s="8">
        <v>1.0990906953811646</v>
      </c>
      <c r="CR14">
        <v>-10.932236321815315</v>
      </c>
      <c r="CS14">
        <v>-0.94171564212301195</v>
      </c>
      <c r="CT14">
        <v>0</v>
      </c>
      <c r="CU14" s="7">
        <v>0.11608850732445716</v>
      </c>
      <c r="CV14" s="8">
        <v>-2.4464469760656358</v>
      </c>
      <c r="CW14">
        <v>0.06</v>
      </c>
      <c r="CX14" t="e">
        <v>#VALUE!</v>
      </c>
      <c r="CY14" t="s">
        <v>601</v>
      </c>
      <c r="CZ14">
        <v>0.11608850732445716</v>
      </c>
      <c r="DA14" t="e">
        <v>#VALUE!</v>
      </c>
      <c r="DB14" t="s">
        <v>600</v>
      </c>
      <c r="DC14">
        <v>0.1102840819582343</v>
      </c>
      <c r="DD14" t="e">
        <v>#VALUE!</v>
      </c>
      <c r="DE14" t="s">
        <v>600</v>
      </c>
      <c r="DF14">
        <v>0.1021578864455223</v>
      </c>
      <c r="DG14" t="e">
        <v>#VALUE!</v>
      </c>
      <c r="DH14" t="s">
        <v>600</v>
      </c>
      <c r="DI14">
        <v>9.2870805859565739E-2</v>
      </c>
      <c r="DJ14" t="e">
        <v>#VALUE!</v>
      </c>
      <c r="DK14" t="s">
        <v>600</v>
      </c>
      <c r="DL14">
        <v>8.1261955127120006E-2</v>
      </c>
      <c r="DM14">
        <v>-209000000</v>
      </c>
      <c r="DN14">
        <v>0.11608850732445716</v>
      </c>
      <c r="DO14">
        <v>1793003400</v>
      </c>
      <c r="DP14">
        <v>-642865450</v>
      </c>
      <c r="DQ14">
        <v>627</v>
      </c>
      <c r="DR14">
        <v>2.7177968320241969E-2</v>
      </c>
      <c r="DS14">
        <v>-0.81975597441768278</v>
      </c>
      <c r="DT14" s="9">
        <v>-0.40666666666666668</v>
      </c>
      <c r="DU14">
        <v>-2.2150000000000003</v>
      </c>
      <c r="DV14">
        <v>-2.621666666666667</v>
      </c>
      <c r="DW14">
        <v>-2.1315</v>
      </c>
      <c r="DX14">
        <v>0.41408581560283753</v>
      </c>
      <c r="DY14">
        <v>-2.0176322847517731</v>
      </c>
      <c r="DZ14">
        <v>4749</v>
      </c>
      <c r="EA14">
        <v>-2.0012456467309963</v>
      </c>
      <c r="EB14">
        <v>2</v>
      </c>
      <c r="EC14">
        <v>0.11692255115543279</v>
      </c>
      <c r="ED14">
        <v>0.87199791141039262</v>
      </c>
      <c r="EE14" s="10">
        <v>-6.0397999999999996</v>
      </c>
      <c r="EF14">
        <v>-6.0121000000000002</v>
      </c>
      <c r="EG14">
        <v>28.134085815602837</v>
      </c>
      <c r="EH14" t="s">
        <v>1308</v>
      </c>
      <c r="EI14">
        <v>0</v>
      </c>
      <c r="EJ14">
        <v>0</v>
      </c>
      <c r="EK14" s="12">
        <v>45470</v>
      </c>
      <c r="EL14" s="13">
        <v>-0.95</v>
      </c>
      <c r="EM14" s="13">
        <v>-4.57</v>
      </c>
      <c r="EN14" s="13">
        <v>3.02</v>
      </c>
      <c r="EO14" s="13">
        <v>5.87</v>
      </c>
      <c r="EP14" s="13">
        <v>-2.77</v>
      </c>
    </row>
    <row r="15" spans="1:146" ht="96" x14ac:dyDescent="0.25">
      <c r="A15" s="6"/>
      <c r="B15" s="6"/>
      <c r="C15" s="6" t="str">
        <f>""&amp;CHAR(10)&amp;Basic_Fundamental_Information_Constructure(F15)&amp;CHAR(10)&amp;Basic_Fundamental_Information_Concatenate("")</f>
        <v xml:space="preserve">
市值28.814595亿, 利润1510.70万; PE; 平均PE-26.94; 平均PEG-2.31, PB.803; ROIC3.59%; ROE-3.34%; 股利率0%; 毛利11%; 净利-1.18%; 上一年度营收增1.31%, 利润增104.03%; 当季营收增1.14%, 利润增-1058.89%; 过往5年营收增11.66%, 利润增23.77%
Income profile:
</v>
      </c>
      <c r="D15" t="s">
        <v>209</v>
      </c>
      <c r="E15" t="s">
        <v>210</v>
      </c>
      <c r="F15">
        <v>2.79</v>
      </c>
      <c r="G15">
        <v>2.2000000000000002</v>
      </c>
      <c r="H15" t="s">
        <v>1309</v>
      </c>
      <c r="I15">
        <v>2881459500</v>
      </c>
      <c r="K15">
        <v>0.80300000000000005</v>
      </c>
      <c r="L15" t="s">
        <v>105</v>
      </c>
      <c r="M15" t="s">
        <v>1310</v>
      </c>
      <c r="N15" t="s">
        <v>1311</v>
      </c>
      <c r="O15" t="s">
        <v>275</v>
      </c>
      <c r="P15">
        <v>1.1200000000000001</v>
      </c>
      <c r="Q15" t="s">
        <v>1312</v>
      </c>
      <c r="R15">
        <v>-26964985</v>
      </c>
      <c r="S15" s="5">
        <v>-10.59</v>
      </c>
      <c r="T15" t="s">
        <v>1313</v>
      </c>
      <c r="U15">
        <v>793530300</v>
      </c>
      <c r="V15">
        <v>1032781170</v>
      </c>
      <c r="W15">
        <v>2.25</v>
      </c>
      <c r="X15">
        <v>0.2</v>
      </c>
      <c r="Y15">
        <v>-1.7</v>
      </c>
      <c r="Z15" t="s">
        <v>1314</v>
      </c>
      <c r="AA15" t="s">
        <v>1315</v>
      </c>
      <c r="AB15" t="s">
        <v>1316</v>
      </c>
      <c r="AC15" t="s">
        <v>1317</v>
      </c>
      <c r="AD15" t="s">
        <v>5</v>
      </c>
      <c r="AE15">
        <v>27205144</v>
      </c>
      <c r="AF15" t="s">
        <v>24</v>
      </c>
      <c r="AG15" t="s">
        <v>1318</v>
      </c>
      <c r="AH15" t="s">
        <v>1319</v>
      </c>
      <c r="AI15" t="s">
        <v>1320</v>
      </c>
      <c r="AJ15" t="s">
        <v>1321</v>
      </c>
      <c r="AK15" t="s">
        <v>1322</v>
      </c>
      <c r="AL15" t="s">
        <v>1323</v>
      </c>
      <c r="AM15" t="s">
        <v>5</v>
      </c>
      <c r="AN15" t="s">
        <v>635</v>
      </c>
      <c r="AO15" t="s">
        <v>962</v>
      </c>
      <c r="AP15" t="s">
        <v>352</v>
      </c>
      <c r="AQ15" t="s">
        <v>528</v>
      </c>
      <c r="AR15" t="s">
        <v>5</v>
      </c>
      <c r="AS15" t="s">
        <v>1324</v>
      </c>
      <c r="AT15" t="s">
        <v>1325</v>
      </c>
      <c r="AU15" t="s">
        <v>1326</v>
      </c>
      <c r="AV15" t="s">
        <v>1327</v>
      </c>
      <c r="AW15" t="s">
        <v>1328</v>
      </c>
      <c r="AX15" t="s">
        <v>849</v>
      </c>
      <c r="AY15" t="s">
        <v>527</v>
      </c>
      <c r="AZ15" t="s">
        <v>211</v>
      </c>
      <c r="BA15" t="s">
        <v>213</v>
      </c>
      <c r="BB15" t="s">
        <v>214</v>
      </c>
      <c r="BC15" t="s">
        <v>850</v>
      </c>
      <c r="BD15" t="s">
        <v>27</v>
      </c>
      <c r="BE15" t="s">
        <v>212</v>
      </c>
      <c r="BF15" t="s">
        <v>215</v>
      </c>
      <c r="BG15" t="s">
        <v>216</v>
      </c>
      <c r="BH15" t="s">
        <v>1312</v>
      </c>
      <c r="BI15" t="s">
        <v>1220</v>
      </c>
      <c r="BJ15" t="s">
        <v>849</v>
      </c>
      <c r="BK15" t="s">
        <v>1313</v>
      </c>
      <c r="BL15" t="s">
        <v>1329</v>
      </c>
      <c r="BM15" t="s">
        <v>850</v>
      </c>
      <c r="BN15" t="s">
        <v>5</v>
      </c>
      <c r="BO15" t="s">
        <v>5</v>
      </c>
      <c r="BP15">
        <v>3.59</v>
      </c>
      <c r="BQ15">
        <v>-0.68</v>
      </c>
      <c r="BR15">
        <v>-12.69</v>
      </c>
      <c r="BS15">
        <v>3.35</v>
      </c>
      <c r="BT15" t="s">
        <v>733</v>
      </c>
      <c r="BU15" t="s">
        <v>627</v>
      </c>
      <c r="BV15">
        <v>11.4</v>
      </c>
      <c r="BW15">
        <v>9.7200000000000006</v>
      </c>
      <c r="BX15">
        <v>11.88</v>
      </c>
      <c r="BY15">
        <v>0.28999999999999998</v>
      </c>
      <c r="BZ15">
        <v>-5.48</v>
      </c>
      <c r="CA15">
        <v>1.65</v>
      </c>
      <c r="CB15">
        <v>2.95</v>
      </c>
      <c r="CC15">
        <v>-12.26</v>
      </c>
      <c r="CD15" t="s">
        <v>1330</v>
      </c>
      <c r="CE15" t="s">
        <v>1331</v>
      </c>
      <c r="CF15" s="7">
        <v>1.1428571428571429E-2</v>
      </c>
      <c r="CG15" s="8">
        <v>-10.588913978876995</v>
      </c>
      <c r="CH15" s="7">
        <v>1.3117160648107529E-2</v>
      </c>
      <c r="CI15" s="7">
        <v>8.8560886681079865E-2</v>
      </c>
      <c r="CJ15" s="7">
        <v>0.42403474450111389</v>
      </c>
      <c r="CK15" s="7">
        <v>1.0621133260428905E-2</v>
      </c>
      <c r="CL15" s="7">
        <v>4.6640809625387192E-2</v>
      </c>
      <c r="CM15" s="8">
        <v>1.0402853488922119</v>
      </c>
      <c r="CN15" s="8">
        <v>-4.605769157409668</v>
      </c>
      <c r="CO15" s="8">
        <v>3.6950051784515381</v>
      </c>
      <c r="CP15" s="8">
        <v>7.7568050473928452E-3</v>
      </c>
      <c r="CQ15" s="8">
        <v>1.0511178970336914</v>
      </c>
      <c r="CR15">
        <v>-26.939552740108432</v>
      </c>
      <c r="CS15">
        <v>-2.3105248937783545</v>
      </c>
      <c r="CT15">
        <v>0</v>
      </c>
      <c r="CU15" s="7">
        <v>0.11659494694322348</v>
      </c>
      <c r="CV15" s="8">
        <v>0.23767921440303325</v>
      </c>
      <c r="CW15">
        <v>0.06</v>
      </c>
      <c r="CX15">
        <v>222.54316357114686</v>
      </c>
      <c r="CY15">
        <v>15913584.776859695</v>
      </c>
      <c r="CZ15">
        <v>0.11659494694322348</v>
      </c>
      <c r="DA15">
        <v>71.110421411936628</v>
      </c>
      <c r="DB15">
        <v>49802257.245595917</v>
      </c>
      <c r="DC15">
        <v>0.11076519959606229</v>
      </c>
      <c r="DD15">
        <v>33.960376315041557</v>
      </c>
      <c r="DE15">
        <v>104282104.15417083</v>
      </c>
      <c r="DF15">
        <v>0.10260355331003666</v>
      </c>
      <c r="DG15">
        <v>19.699817796327583</v>
      </c>
      <c r="DH15">
        <v>179771180.45529309</v>
      </c>
      <c r="DI15">
        <v>9.3275957554578792E-2</v>
      </c>
      <c r="DJ15">
        <v>9.418409541399317</v>
      </c>
      <c r="DK15">
        <v>376014600.38802224</v>
      </c>
      <c r="DL15">
        <v>8.1616462860256422E-2</v>
      </c>
      <c r="DM15">
        <v>15107000</v>
      </c>
      <c r="DN15">
        <v>0.11659494694322348</v>
      </c>
      <c r="DO15">
        <v>3541459500</v>
      </c>
      <c r="DP15">
        <v>2242841700</v>
      </c>
      <c r="DQ15">
        <v>670</v>
      </c>
      <c r="DR15">
        <v>-0.10516637551465205</v>
      </c>
      <c r="DS15">
        <v>-10.826593193280029</v>
      </c>
      <c r="DT15" s="9">
        <v>-0.3066666666666667</v>
      </c>
      <c r="DU15">
        <v>-0.72000000000000008</v>
      </c>
      <c r="DV15">
        <v>-1.0266666666666668</v>
      </c>
      <c r="DW15">
        <v>6.1939513477975012</v>
      </c>
      <c r="DX15">
        <v>0.33274318181818185</v>
      </c>
      <c r="DY15">
        <v>6.021866692068615</v>
      </c>
      <c r="DZ15">
        <v>3583</v>
      </c>
      <c r="EA15">
        <v>6.0065343324439873</v>
      </c>
      <c r="EB15">
        <v>6</v>
      </c>
      <c r="EC15">
        <v>4.3229196364995691E-2</v>
      </c>
      <c r="ED15">
        <v>0.38343069326099349</v>
      </c>
      <c r="EE15" s="10">
        <v>-2.0049999999999999</v>
      </c>
      <c r="EF15">
        <v>-2.0169100000000002</v>
      </c>
      <c r="EG15">
        <v>22.112743181818182</v>
      </c>
      <c r="EH15" t="s">
        <v>855</v>
      </c>
      <c r="EI15">
        <v>0</v>
      </c>
      <c r="EJ15">
        <v>0</v>
      </c>
      <c r="EK15" s="12">
        <v>45470</v>
      </c>
      <c r="EL15" s="13">
        <v>0.37</v>
      </c>
      <c r="EM15" s="13">
        <v>-3.65</v>
      </c>
      <c r="EN15" s="13">
        <v>1.1399999999999999</v>
      </c>
      <c r="EO15" s="13">
        <v>2.62</v>
      </c>
      <c r="EP15" s="13">
        <v>-2.19</v>
      </c>
    </row>
    <row r="16" spans="1:146" ht="156" x14ac:dyDescent="0.25">
      <c r="A16" s="6"/>
      <c r="B16" s="6"/>
      <c r="C16" s="6" t="str">
        <f>"公司的主营业务为铜基材料、钢基材料、新材料、高端热工装备的研制、生产和销售，公司主要产品包括精密铜带、铜导体材料、铜合金线材、精密特钢、碳纤维复合材料和高端热工装备。"&amp;CHAR(10)&amp;Basic_Fundamental_Information_Constructure(F16)&amp;CHAR(10)&amp;Basic_Fundamental_Information_Concatenate("铜基材料 197.07亿 95.80% 79.97% 4.43%
高端装备、碳纤维复合材料 4.36亿 2.12% 18.03% 45.07%
钢基材料 4.28亿 2.08% 2.00% 5.10%")</f>
        <v>公司的主营业务为铜基材料、钢基材料、新材料、高端热工装备的研制、生产和销售，公司主要产品包括精密铜带、铜导体材料、铜合金线材、精密特钢、碳纤维复合材料和高端热工装备。
市值85.678733亿, 利润5.29亿; PE15.95; 平均PE21.65; 平均PEG.72, PB1.35; ROIC4.2233%; ROE5.73%; 股利率2.3184%; 毛利4.6133%; 净利1.11%; 上一年度营收增14.08%, 利润增294.78%; 当季营收增12.69%, 利润增8.32%; 过往5年营收增30.03%, 利润增59.5%
Income profile:
铜基材料 197.07亿 95.80% 79.97% 4.43%
高端装备、碳纤维复合材料 4.36亿 2.12% 18.03% 45.07%
钢基材料 4.28亿 2.08% 2.00% 5.10%</v>
      </c>
      <c r="D16" t="s">
        <v>218</v>
      </c>
      <c r="E16" t="s">
        <v>219</v>
      </c>
      <c r="F16">
        <v>6.47</v>
      </c>
      <c r="G16">
        <v>0.62</v>
      </c>
      <c r="H16" t="s">
        <v>1332</v>
      </c>
      <c r="I16">
        <v>8567873300</v>
      </c>
      <c r="J16">
        <v>15.95</v>
      </c>
      <c r="K16">
        <v>1.35</v>
      </c>
      <c r="L16" t="s">
        <v>105</v>
      </c>
      <c r="M16" t="s">
        <v>1333</v>
      </c>
      <c r="N16" t="s">
        <v>1334</v>
      </c>
      <c r="O16" t="s">
        <v>1335</v>
      </c>
      <c r="P16">
        <v>12.7</v>
      </c>
      <c r="Q16" t="s">
        <v>1336</v>
      </c>
      <c r="R16">
        <v>102569944</v>
      </c>
      <c r="S16" s="5">
        <v>8.3199999999999996E-2</v>
      </c>
      <c r="T16" t="s">
        <v>1337</v>
      </c>
      <c r="U16">
        <v>1293918680</v>
      </c>
      <c r="V16">
        <v>1324246270</v>
      </c>
      <c r="W16">
        <v>2.5299999999999998</v>
      </c>
      <c r="X16">
        <v>0.62</v>
      </c>
      <c r="Y16">
        <v>1.04</v>
      </c>
      <c r="Z16" t="s">
        <v>1338</v>
      </c>
      <c r="AA16" t="s">
        <v>1339</v>
      </c>
      <c r="AB16" t="s">
        <v>1340</v>
      </c>
      <c r="AC16" t="s">
        <v>1341</v>
      </c>
      <c r="AD16" t="s">
        <v>5</v>
      </c>
      <c r="AE16">
        <v>57878137</v>
      </c>
      <c r="AF16" t="s">
        <v>1342</v>
      </c>
      <c r="AG16" t="s">
        <v>1343</v>
      </c>
      <c r="AH16" t="s">
        <v>1344</v>
      </c>
      <c r="AI16" t="s">
        <v>736</v>
      </c>
      <c r="AJ16" t="s">
        <v>1345</v>
      </c>
      <c r="AK16" t="s">
        <v>1346</v>
      </c>
      <c r="AL16" t="s">
        <v>1347</v>
      </c>
      <c r="AM16" t="s">
        <v>5</v>
      </c>
      <c r="AN16" t="s">
        <v>1348</v>
      </c>
      <c r="AO16" t="s">
        <v>1349</v>
      </c>
      <c r="AP16" t="s">
        <v>174</v>
      </c>
      <c r="AQ16" t="s">
        <v>1350</v>
      </c>
      <c r="AR16" t="s">
        <v>5</v>
      </c>
      <c r="AS16" t="s">
        <v>1351</v>
      </c>
      <c r="AT16" t="s">
        <v>1077</v>
      </c>
      <c r="AU16" t="s">
        <v>1352</v>
      </c>
      <c r="AV16" t="s">
        <v>1353</v>
      </c>
      <c r="AW16" t="s">
        <v>1354</v>
      </c>
      <c r="AX16" t="s">
        <v>854</v>
      </c>
      <c r="AY16" t="s">
        <v>529</v>
      </c>
      <c r="AZ16" t="s">
        <v>220</v>
      </c>
      <c r="BA16" t="s">
        <v>222</v>
      </c>
      <c r="BB16" t="s">
        <v>223</v>
      </c>
      <c r="BC16" t="s">
        <v>72</v>
      </c>
      <c r="BD16" t="s">
        <v>530</v>
      </c>
      <c r="BE16" t="s">
        <v>59</v>
      </c>
      <c r="BF16" t="s">
        <v>224</v>
      </c>
      <c r="BG16" t="s">
        <v>225</v>
      </c>
      <c r="BH16" t="s">
        <v>1336</v>
      </c>
      <c r="BI16" t="s">
        <v>1355</v>
      </c>
      <c r="BJ16" t="s">
        <v>854</v>
      </c>
      <c r="BK16" t="s">
        <v>1337</v>
      </c>
      <c r="BL16" t="s">
        <v>1356</v>
      </c>
      <c r="BM16" t="s">
        <v>72</v>
      </c>
      <c r="BN16">
        <v>3.76</v>
      </c>
      <c r="BO16">
        <v>2.3199999999999998</v>
      </c>
      <c r="BP16">
        <v>6.59</v>
      </c>
      <c r="BQ16">
        <v>5.51</v>
      </c>
      <c r="BR16">
        <v>2.16</v>
      </c>
      <c r="BS16">
        <v>9.52</v>
      </c>
      <c r="BT16" t="s">
        <v>761</v>
      </c>
      <c r="BU16" t="s">
        <v>628</v>
      </c>
      <c r="BV16">
        <v>3.84</v>
      </c>
      <c r="BW16">
        <v>3.94</v>
      </c>
      <c r="BX16">
        <v>6.06</v>
      </c>
      <c r="BY16">
        <v>1.28</v>
      </c>
      <c r="BZ16">
        <v>0.43</v>
      </c>
      <c r="CA16">
        <v>1.62</v>
      </c>
      <c r="CB16">
        <v>-1.82</v>
      </c>
      <c r="CC16">
        <v>-9.1300000000000008</v>
      </c>
      <c r="CD16" t="s">
        <v>878</v>
      </c>
      <c r="CE16" t="s">
        <v>270</v>
      </c>
      <c r="CF16" s="7">
        <v>0.1269311064718163</v>
      </c>
      <c r="CG16" s="8">
        <v>8.3198886491635482E-2</v>
      </c>
      <c r="CH16" s="7">
        <v>0.1407773494720459</v>
      </c>
      <c r="CI16" s="7">
        <v>8.690769225358963E-2</v>
      </c>
      <c r="CJ16" s="7">
        <v>0.6257508397102356</v>
      </c>
      <c r="CK16" s="7">
        <v>0.34760674834251404</v>
      </c>
      <c r="CL16" s="7">
        <v>0.30067896842956543</v>
      </c>
      <c r="CM16" s="8">
        <v>2.9477612972259521</v>
      </c>
      <c r="CN16" s="8">
        <v>-0.76366841793060303</v>
      </c>
      <c r="CO16" s="8">
        <v>1.069343090057373</v>
      </c>
      <c r="CP16" s="8">
        <v>-0.40563991665840149</v>
      </c>
      <c r="CQ16" s="8">
        <v>0.12713935971260071</v>
      </c>
      <c r="CR16">
        <v>21.654271187868574</v>
      </c>
      <c r="CS16">
        <v>0.72098154590402319</v>
      </c>
      <c r="CT16">
        <v>2.3183925811437405</v>
      </c>
      <c r="CU16" s="7">
        <v>0.30034431964159014</v>
      </c>
      <c r="CV16" s="8">
        <v>0.59498708248138432</v>
      </c>
      <c r="CW16">
        <v>0.06</v>
      </c>
      <c r="CX16">
        <v>17.18152707168576</v>
      </c>
      <c r="CY16">
        <v>648945419.8966049</v>
      </c>
      <c r="CZ16">
        <v>0.30034431964159014</v>
      </c>
      <c r="DA16">
        <v>4.7197163403174649</v>
      </c>
      <c r="DB16">
        <v>2362403266.6442027</v>
      </c>
      <c r="DC16">
        <v>0.28532710365951064</v>
      </c>
      <c r="DD16">
        <v>1.8124450668014203</v>
      </c>
      <c r="DE16">
        <v>6151840684.2956915</v>
      </c>
      <c r="DF16">
        <v>0.26430300128459933</v>
      </c>
      <c r="DG16">
        <v>0.80414767197115156</v>
      </c>
      <c r="DH16">
        <v>13865454926.542393</v>
      </c>
      <c r="DI16">
        <v>0.24027545571327213</v>
      </c>
      <c r="DJ16">
        <v>0.19870037136803304</v>
      </c>
      <c r="DK16">
        <v>56114003326.889572</v>
      </c>
      <c r="DL16">
        <v>0.21024102374911308</v>
      </c>
      <c r="DM16">
        <v>529000000</v>
      </c>
      <c r="DN16">
        <v>0.30034431964159014</v>
      </c>
      <c r="DO16">
        <v>11149873300</v>
      </c>
      <c r="DP16">
        <v>3853362700</v>
      </c>
      <c r="DQ16">
        <v>681</v>
      </c>
      <c r="DR16">
        <v>-0.17341321316977384</v>
      </c>
      <c r="DS16">
        <v>-0.51178819598974878</v>
      </c>
      <c r="DT16" s="9">
        <v>4.33333333333333E-2</v>
      </c>
      <c r="DU16">
        <v>0.15</v>
      </c>
      <c r="DV16">
        <v>0.1933333333333333</v>
      </c>
      <c r="DW16">
        <v>-2.0912999999999999</v>
      </c>
      <c r="DX16">
        <v>0.34500138121546953</v>
      </c>
      <c r="DY16">
        <v>-2.0095866261049724</v>
      </c>
      <c r="DZ16">
        <v>1277</v>
      </c>
      <c r="EA16">
        <v>-2.0071909076047669</v>
      </c>
      <c r="EB16">
        <v>2</v>
      </c>
      <c r="EC16">
        <v>2.8703497877324586E-2</v>
      </c>
      <c r="ED16">
        <v>0.27336305051476567</v>
      </c>
      <c r="EE16" s="10">
        <v>-1.0031099999999999</v>
      </c>
      <c r="EF16">
        <v>-1.03291</v>
      </c>
      <c r="EG16">
        <v>24.10500138121547</v>
      </c>
      <c r="EH16" t="s">
        <v>598</v>
      </c>
      <c r="EI16">
        <v>0</v>
      </c>
      <c r="EJ16">
        <v>1</v>
      </c>
      <c r="EK16" s="12">
        <v>45470</v>
      </c>
      <c r="EL16" s="13">
        <v>-0.44</v>
      </c>
      <c r="EM16" s="13">
        <v>-3.42</v>
      </c>
      <c r="EN16" s="13">
        <v>0.62</v>
      </c>
      <c r="EO16" s="13">
        <v>2.76</v>
      </c>
      <c r="EP16" s="13">
        <v>-2.98</v>
      </c>
    </row>
    <row r="17" spans="1:146" ht="168" x14ac:dyDescent="0.25">
      <c r="A17" s="6" t="s">
        <v>614</v>
      </c>
      <c r="B17" s="6"/>
      <c r="C17" s="6" t="str">
        <f>"公司主要从事铜管、铜棒、铜管接件、铜铝复合导体、铝型材等产品的研发、生产制造和销售。公司主要产品为铜管、铜棒、铜排。"&amp;CHAR(10)&amp;Basic_Fundamental_Information_Constructure(F17)&amp;CHAR(10)&amp;Basic_Fundamental_Information_Concatenate("铜管 386.19亿 61.00% 66.28% 4.47%
原材料等 154.56亿 24.41% 4.87% 0.82%
铜棒 70.70亿 11.17% 24.74% 9.12%
铜排 17.66亿 2.79% 1.01% 1.49%
其他 4.00亿 0.63% 3.10% 20.20%")</f>
        <v>公司主要从事铜管、铜棒、铜管接件、铜铝复合导体、铝型材等产品的研发、生产制造和销售。公司主要产品为铜管、铜棒、铜排。
市值163.46256亿, 利润11.18亿; PE14.86; 平均PE16.13; 平均PEG1.16, PB1.19; ROIC5.3367%; ROE9.19%; 股利率2.0782%; 毛利4.0167%; 净利1.6633%; 上一年度营收增2.33%, 利润增-7.45%; 当季营收增12.22%, 利润增-5.39%; 过往5年营收增13.91%, 利润增9.16%
Income profile:
铜管 386.19亿 61.00% 66.28% 4.47%
原材料等 154.56亿 24.41% 4.87% 0.82%
铜棒 70.70亿 11.17% 24.74% 9.12%
铜排 17.66亿 2.79% 1.01% 1.49%
其他 4.00亿 0.63% 3.10% 20.20%</v>
      </c>
      <c r="D17" t="s">
        <v>227</v>
      </c>
      <c r="E17" t="s">
        <v>228</v>
      </c>
      <c r="F17">
        <v>8.18</v>
      </c>
      <c r="G17">
        <v>-0.12</v>
      </c>
      <c r="H17" t="s">
        <v>1357</v>
      </c>
      <c r="I17">
        <v>16346256000</v>
      </c>
      <c r="J17">
        <v>14.86</v>
      </c>
      <c r="K17">
        <v>1.19</v>
      </c>
      <c r="L17" t="s">
        <v>105</v>
      </c>
      <c r="M17" t="s">
        <v>1358</v>
      </c>
      <c r="N17" t="s">
        <v>1359</v>
      </c>
      <c r="O17" t="s">
        <v>1360</v>
      </c>
      <c r="P17">
        <v>12.21</v>
      </c>
      <c r="Q17" t="s">
        <v>1361</v>
      </c>
      <c r="R17">
        <v>315059210</v>
      </c>
      <c r="S17" s="5">
        <v>-5.5300000000000002E-2</v>
      </c>
      <c r="T17" t="s">
        <v>1362</v>
      </c>
      <c r="U17">
        <v>1932648700</v>
      </c>
      <c r="V17">
        <v>1998319800</v>
      </c>
      <c r="W17">
        <v>2.58</v>
      </c>
      <c r="X17">
        <v>0.52</v>
      </c>
      <c r="Y17">
        <v>1.34</v>
      </c>
      <c r="Z17" t="s">
        <v>1363</v>
      </c>
      <c r="AA17" t="s">
        <v>1364</v>
      </c>
      <c r="AB17" t="s">
        <v>1365</v>
      </c>
      <c r="AC17" t="s">
        <v>1366</v>
      </c>
      <c r="AD17" t="s">
        <v>5</v>
      </c>
      <c r="AE17">
        <v>283376990</v>
      </c>
      <c r="AF17" t="s">
        <v>1367</v>
      </c>
      <c r="AG17" t="s">
        <v>1368</v>
      </c>
      <c r="AH17" t="s">
        <v>1369</v>
      </c>
      <c r="AI17" t="s">
        <v>1370</v>
      </c>
      <c r="AJ17" t="s">
        <v>1371</v>
      </c>
      <c r="AK17" t="s">
        <v>1372</v>
      </c>
      <c r="AL17" t="s">
        <v>1373</v>
      </c>
      <c r="AM17" t="s">
        <v>5</v>
      </c>
      <c r="AN17" t="s">
        <v>1374</v>
      </c>
      <c r="AO17" t="s">
        <v>1375</v>
      </c>
      <c r="AP17" t="s">
        <v>1376</v>
      </c>
      <c r="AQ17" t="s">
        <v>1377</v>
      </c>
      <c r="AR17" t="s">
        <v>5</v>
      </c>
      <c r="AS17" t="s">
        <v>1378</v>
      </c>
      <c r="AT17" t="s">
        <v>1379</v>
      </c>
      <c r="AU17" t="s">
        <v>1380</v>
      </c>
      <c r="AV17" t="s">
        <v>1381</v>
      </c>
      <c r="AW17" t="s">
        <v>858</v>
      </c>
      <c r="AX17" t="s">
        <v>1382</v>
      </c>
      <c r="AY17" t="s">
        <v>859</v>
      </c>
      <c r="AZ17" t="s">
        <v>860</v>
      </c>
      <c r="BA17" t="s">
        <v>230</v>
      </c>
      <c r="BB17" t="s">
        <v>231</v>
      </c>
      <c r="BC17" t="s">
        <v>856</v>
      </c>
      <c r="BD17" t="s">
        <v>531</v>
      </c>
      <c r="BE17" t="s">
        <v>99</v>
      </c>
      <c r="BF17" t="s">
        <v>107</v>
      </c>
      <c r="BG17" t="s">
        <v>153</v>
      </c>
      <c r="BH17" t="s">
        <v>1361</v>
      </c>
      <c r="BI17" t="s">
        <v>1383</v>
      </c>
      <c r="BJ17" t="s">
        <v>1382</v>
      </c>
      <c r="BK17" t="s">
        <v>1362</v>
      </c>
      <c r="BL17" t="s">
        <v>1384</v>
      </c>
      <c r="BM17" t="s">
        <v>856</v>
      </c>
      <c r="BN17">
        <v>4.01</v>
      </c>
      <c r="BO17">
        <v>5.8</v>
      </c>
      <c r="BP17">
        <v>6.2</v>
      </c>
      <c r="BQ17">
        <v>7.33</v>
      </c>
      <c r="BR17">
        <v>10.23</v>
      </c>
      <c r="BS17">
        <v>10.01</v>
      </c>
      <c r="BT17" t="s">
        <v>1385</v>
      </c>
      <c r="BU17" t="s">
        <v>628</v>
      </c>
      <c r="BV17">
        <v>3.91</v>
      </c>
      <c r="BW17">
        <v>4.0199999999999996</v>
      </c>
      <c r="BX17">
        <v>4.12</v>
      </c>
      <c r="BY17">
        <v>1.54</v>
      </c>
      <c r="BZ17">
        <v>1.66</v>
      </c>
      <c r="CA17">
        <v>1.79</v>
      </c>
      <c r="CB17">
        <v>2.5099999999999998</v>
      </c>
      <c r="CC17">
        <v>-4.66</v>
      </c>
      <c r="CD17" t="s">
        <v>1386</v>
      </c>
      <c r="CE17" t="s">
        <v>174</v>
      </c>
      <c r="CF17" s="7">
        <v>0.12215821417549635</v>
      </c>
      <c r="CG17" s="8">
        <v>-5.3876246246246248E-2</v>
      </c>
      <c r="CH17" s="7">
        <v>2.3339850828051567E-2</v>
      </c>
      <c r="CI17" s="7">
        <v>0.16671936213970184</v>
      </c>
      <c r="CJ17" s="7">
        <v>0.36414569616317749</v>
      </c>
      <c r="CK17" s="7">
        <v>0.12774278223514557</v>
      </c>
      <c r="CL17" s="7">
        <v>1.369557436555624E-2</v>
      </c>
      <c r="CM17" s="8">
        <v>-7.4503310024738312E-2</v>
      </c>
      <c r="CN17" s="8">
        <v>9.1237515211105347E-2</v>
      </c>
      <c r="CO17" s="8">
        <v>0.6327434778213501</v>
      </c>
      <c r="CP17" s="8">
        <v>-0.36218249797821045</v>
      </c>
      <c r="CQ17" s="8">
        <v>0.17070484161376953</v>
      </c>
      <c r="CR17">
        <v>16.125869121999344</v>
      </c>
      <c r="CS17">
        <v>1.1590616855206091</v>
      </c>
      <c r="CT17">
        <v>2.0782396088019559</v>
      </c>
      <c r="CU17" s="7">
        <v>0.13912865314632655</v>
      </c>
      <c r="CV17" s="8">
        <v>9.160000532865524E-2</v>
      </c>
      <c r="CW17">
        <v>0.06</v>
      </c>
      <c r="CX17">
        <v>19.047898166070492</v>
      </c>
      <c r="CY17">
        <v>1201458334.1675403</v>
      </c>
      <c r="CZ17">
        <v>0.13912865314632655</v>
      </c>
      <c r="DA17">
        <v>5.9724371235910274</v>
      </c>
      <c r="DB17">
        <v>3831811959.9122472</v>
      </c>
      <c r="DC17">
        <v>0.13217222048901023</v>
      </c>
      <c r="DD17">
        <v>2.7790680393440028</v>
      </c>
      <c r="DE17">
        <v>8234867112.2863369</v>
      </c>
      <c r="DF17">
        <v>0.12243321476876737</v>
      </c>
      <c r="DG17">
        <v>1.5639513976503798</v>
      </c>
      <c r="DH17">
        <v>14632971353.4461</v>
      </c>
      <c r="DI17">
        <v>0.11130292251706125</v>
      </c>
      <c r="DJ17">
        <v>0.69720879095608113</v>
      </c>
      <c r="DK17">
        <v>32824107063.5634</v>
      </c>
      <c r="DL17">
        <v>9.7390057202428576E-2</v>
      </c>
      <c r="DM17">
        <v>1118000000</v>
      </c>
      <c r="DN17">
        <v>0.13912865314632655</v>
      </c>
      <c r="DO17">
        <v>22885256000</v>
      </c>
      <c r="DP17">
        <v>7302667000</v>
      </c>
      <c r="DQ17">
        <v>713</v>
      </c>
      <c r="DR17">
        <v>-1.6970438970830198E-2</v>
      </c>
      <c r="DS17">
        <v>-0.14547625157490149</v>
      </c>
      <c r="DT17" s="9">
        <v>-0.15666666666666665</v>
      </c>
      <c r="DU17">
        <v>0.25</v>
      </c>
      <c r="DV17">
        <v>9.3333333333333351E-2</v>
      </c>
      <c r="DW17">
        <v>6.3500697350069739</v>
      </c>
      <c r="DX17">
        <v>0.35054999999999908</v>
      </c>
      <c r="DY17">
        <v>6.0527029986052998</v>
      </c>
      <c r="DZ17">
        <v>1490</v>
      </c>
      <c r="EA17">
        <v>6.0373355880530699</v>
      </c>
      <c r="EB17">
        <v>6</v>
      </c>
      <c r="EC17">
        <v>2.2300134342861436E-2</v>
      </c>
      <c r="ED17">
        <v>0.14812443934149078</v>
      </c>
      <c r="EE17" s="10">
        <v>-1.137</v>
      </c>
      <c r="EF17">
        <v>-1.1208</v>
      </c>
      <c r="EG17">
        <v>20.150549999999999</v>
      </c>
      <c r="EH17" t="s">
        <v>853</v>
      </c>
      <c r="EI17">
        <v>0</v>
      </c>
      <c r="EJ17">
        <v>1</v>
      </c>
      <c r="EK17" s="12">
        <v>45470</v>
      </c>
      <c r="EL17" s="13">
        <v>0.12</v>
      </c>
      <c r="EM17" s="13">
        <v>-2.97</v>
      </c>
      <c r="EN17" s="13">
        <v>0</v>
      </c>
      <c r="EO17" s="13">
        <v>2.4300000000000002</v>
      </c>
      <c r="EP17" s="13">
        <v>-1.62</v>
      </c>
    </row>
    <row r="18" spans="1:146" ht="156" x14ac:dyDescent="0.25">
      <c r="A18" s="6"/>
      <c r="B18" s="6"/>
      <c r="C18" s="6" t="str">
        <f>"公司主营业务为铜加工和贸易业务。公司主要产品为铜管深加工产品、委托加工产品、贸易产品。公司是国内重要的有色金属加工制造基地"&amp;CHAR(10)&amp;Basic_Fundamental_Information_Constructure(F18)&amp;CHAR(10)&amp;Basic_Fundamental_Information_Concatenate("铜管加工产品 14.07亿 53.66% 33.56% 1.66%
贸易产品 6.57亿 25.07% 42.24% 4.49%
委托加工产品 5.35亿 20.42% 7.16% 0.93%
其他业务 2245.82万 0.86% 17.05% 52.99%")</f>
        <v>公司主营业务为铜加工和贸易业务。公司主要产品为铜管深加工产品、委托加工产品、贸易产品。公司是国内重要的有色金属加工制造基地
市值13.1072168亿, 利润2397.45万; PE54.14; 平均PE30.87; 平均PEG3.91, PB.981; ROIC2.6867%; ROE3.0233%; 股利率.956%; 毛利3.7667%; 净利.9467%; 上一年度营收增2.46%, 利润增-18.7%; 当季营收增29.41%, 利润增3.33%; 过往5年营收增-7.9%, 利润增-8.39%
Income profile:
铜管加工产品 14.07亿 53.66% 33.56% 1.66%
贸易产品 6.57亿 25.07% 42.24% 4.49%
委托加工产品 5.35亿 20.42% 7.16% 0.93%
其他业务 2245.82万 0.86% 17.05% 52.99%</v>
      </c>
      <c r="D18" t="s">
        <v>232</v>
      </c>
      <c r="E18" t="s">
        <v>233</v>
      </c>
      <c r="F18">
        <v>5.23</v>
      </c>
      <c r="G18">
        <v>1.75</v>
      </c>
      <c r="H18" t="s">
        <v>1387</v>
      </c>
      <c r="I18">
        <v>1310721680</v>
      </c>
      <c r="J18">
        <v>54.14</v>
      </c>
      <c r="K18">
        <v>0.98099999999999998</v>
      </c>
      <c r="L18" t="s">
        <v>105</v>
      </c>
      <c r="M18" t="s">
        <v>1388</v>
      </c>
      <c r="N18" t="s">
        <v>1389</v>
      </c>
      <c r="O18" t="s">
        <v>1390</v>
      </c>
      <c r="P18">
        <v>29.43</v>
      </c>
      <c r="Q18" t="s">
        <v>1391</v>
      </c>
      <c r="R18">
        <v>7239797</v>
      </c>
      <c r="S18" s="5">
        <v>3.3300000000000003E-2</v>
      </c>
      <c r="T18" t="s">
        <v>1392</v>
      </c>
      <c r="U18">
        <v>250294000</v>
      </c>
      <c r="V18">
        <v>250616000</v>
      </c>
      <c r="W18">
        <v>1.5</v>
      </c>
      <c r="X18">
        <v>0.36</v>
      </c>
      <c r="Y18">
        <v>0.98</v>
      </c>
      <c r="Z18" t="s">
        <v>1393</v>
      </c>
      <c r="AA18" t="s">
        <v>923</v>
      </c>
      <c r="AB18" t="s">
        <v>874</v>
      </c>
      <c r="AC18" t="s">
        <v>1394</v>
      </c>
      <c r="AD18" t="s">
        <v>5</v>
      </c>
      <c r="AE18">
        <v>3555651</v>
      </c>
      <c r="AF18" t="s">
        <v>1395</v>
      </c>
      <c r="AG18" t="s">
        <v>1396</v>
      </c>
      <c r="AH18" t="s">
        <v>1397</v>
      </c>
      <c r="AI18" t="s">
        <v>1398</v>
      </c>
      <c r="AJ18" t="s">
        <v>1399</v>
      </c>
      <c r="AK18" t="s">
        <v>1400</v>
      </c>
      <c r="AL18" t="s">
        <v>1401</v>
      </c>
      <c r="AM18" t="s">
        <v>5</v>
      </c>
      <c r="AN18" t="s">
        <v>1402</v>
      </c>
      <c r="AO18" t="s">
        <v>56</v>
      </c>
      <c r="AP18" t="s">
        <v>970</v>
      </c>
      <c r="AQ18" t="s">
        <v>1403</v>
      </c>
      <c r="AR18" t="s">
        <v>5</v>
      </c>
      <c r="AS18" t="s">
        <v>1404</v>
      </c>
      <c r="AT18" t="s">
        <v>1405</v>
      </c>
      <c r="AU18" t="s">
        <v>1406</v>
      </c>
      <c r="AV18" t="s">
        <v>1407</v>
      </c>
      <c r="AW18" t="s">
        <v>1408</v>
      </c>
      <c r="AX18" t="s">
        <v>1409</v>
      </c>
      <c r="AY18" t="s">
        <v>532</v>
      </c>
      <c r="AZ18" t="s">
        <v>234</v>
      </c>
      <c r="BA18" t="s">
        <v>237</v>
      </c>
      <c r="BB18" t="s">
        <v>100</v>
      </c>
      <c r="BC18" t="s">
        <v>1410</v>
      </c>
      <c r="BD18" t="s">
        <v>533</v>
      </c>
      <c r="BE18" t="s">
        <v>235</v>
      </c>
      <c r="BF18" t="s">
        <v>238</v>
      </c>
      <c r="BG18" t="s">
        <v>239</v>
      </c>
      <c r="BH18" t="s">
        <v>1391</v>
      </c>
      <c r="BI18" t="s">
        <v>886</v>
      </c>
      <c r="BJ18" t="s">
        <v>1409</v>
      </c>
      <c r="BK18" t="s">
        <v>1392</v>
      </c>
      <c r="BL18" t="s">
        <v>1411</v>
      </c>
      <c r="BM18" t="s">
        <v>1410</v>
      </c>
      <c r="BN18">
        <v>2.09</v>
      </c>
      <c r="BO18">
        <v>2.4</v>
      </c>
      <c r="BP18">
        <v>3.57</v>
      </c>
      <c r="BQ18">
        <v>2.13</v>
      </c>
      <c r="BR18">
        <v>2.2400000000000002</v>
      </c>
      <c r="BS18">
        <v>4.7</v>
      </c>
      <c r="BT18" t="s">
        <v>817</v>
      </c>
      <c r="BU18" t="s">
        <v>628</v>
      </c>
      <c r="BV18">
        <v>4.33</v>
      </c>
      <c r="BW18">
        <v>4.37</v>
      </c>
      <c r="BX18">
        <v>2.6</v>
      </c>
      <c r="BY18">
        <v>0.88</v>
      </c>
      <c r="BZ18">
        <v>1.0900000000000001</v>
      </c>
      <c r="CA18">
        <v>0.87</v>
      </c>
      <c r="CB18">
        <v>-1.69</v>
      </c>
      <c r="CC18">
        <v>-17.510000000000002</v>
      </c>
      <c r="CD18" t="s">
        <v>1412</v>
      </c>
      <c r="CE18" t="s">
        <v>599</v>
      </c>
      <c r="CF18" s="7">
        <v>0.29411764705882354</v>
      </c>
      <c r="CG18" s="8">
        <v>3.329722400627988E-2</v>
      </c>
      <c r="CH18" s="7">
        <v>2.4556076154112816E-2</v>
      </c>
      <c r="CI18" s="7">
        <v>-0.60586661100387573</v>
      </c>
      <c r="CJ18" s="7">
        <v>0.23637707531452179</v>
      </c>
      <c r="CK18" s="7">
        <v>5.9695642441511154E-2</v>
      </c>
      <c r="CL18" s="7">
        <v>-0.10976032912731171</v>
      </c>
      <c r="CM18" s="8">
        <v>-0.1869688481092453</v>
      </c>
      <c r="CN18" s="8">
        <v>-0.49727648496627808</v>
      </c>
      <c r="CO18" s="8">
        <v>0.33858442306518555</v>
      </c>
      <c r="CP18" s="8">
        <v>-0.14077559113502502</v>
      </c>
      <c r="CQ18" s="8">
        <v>6.7052066326141357E-2</v>
      </c>
      <c r="CR18">
        <v>30.873078188363412</v>
      </c>
      <c r="CS18">
        <v>3.9080029214981153</v>
      </c>
      <c r="CT18">
        <v>0.95602294455066916</v>
      </c>
      <c r="CU18" s="7">
        <v>-7.8999629244208336E-2</v>
      </c>
      <c r="CV18" s="8">
        <v>-8.3876886963844294E-2</v>
      </c>
      <c r="CW18">
        <v>0.06</v>
      </c>
      <c r="CX18">
        <v>28.476993472230912</v>
      </c>
      <c r="CY18" t="s">
        <v>1413</v>
      </c>
      <c r="CZ18">
        <v>-7.8999629244208336E-2</v>
      </c>
      <c r="DA18">
        <v>9.4923311574103035</v>
      </c>
      <c r="DB18" t="s">
        <v>1414</v>
      </c>
      <c r="DC18">
        <v>-7.5049647781997922E-2</v>
      </c>
      <c r="DD18">
        <v>4.7461655787051518</v>
      </c>
      <c r="DE18" t="s">
        <v>1415</v>
      </c>
      <c r="DF18">
        <v>-6.9519673734903337E-2</v>
      </c>
      <c r="DG18">
        <v>2.8476993472230911</v>
      </c>
      <c r="DH18" t="s">
        <v>1416</v>
      </c>
      <c r="DI18">
        <v>-6.3199703395366666E-2</v>
      </c>
      <c r="DJ18">
        <v>1.4238496736115456</v>
      </c>
      <c r="DK18" t="s">
        <v>1417</v>
      </c>
      <c r="DL18">
        <v>-5.5299740470945831E-2</v>
      </c>
      <c r="DM18">
        <v>23974500</v>
      </c>
      <c r="DN18">
        <v>-7.8999629244208336E-2</v>
      </c>
      <c r="DO18">
        <v>682721680</v>
      </c>
      <c r="DP18">
        <v>981048700</v>
      </c>
      <c r="DQ18">
        <v>802</v>
      </c>
      <c r="DR18">
        <v>0.37311727630303188</v>
      </c>
      <c r="DS18">
        <v>0.11717411097012417</v>
      </c>
      <c r="DT18" s="9">
        <v>-0.60666666666666669</v>
      </c>
      <c r="DU18">
        <v>-0.18333333333333335</v>
      </c>
      <c r="DV18">
        <v>-0.79</v>
      </c>
      <c r="DW18">
        <v>-3.0170773809523808</v>
      </c>
      <c r="DX18">
        <v>0.34657039473684148</v>
      </c>
      <c r="DY18">
        <v>-3.0021614908482142</v>
      </c>
      <c r="DZ18">
        <v>3325</v>
      </c>
      <c r="EA18">
        <v>-3.0007550413236914</v>
      </c>
      <c r="EB18">
        <v>3</v>
      </c>
      <c r="EC18">
        <v>7.6765649439780384E-2</v>
      </c>
      <c r="ED18">
        <v>0.60650557027484275</v>
      </c>
      <c r="EE18" s="10">
        <v>1.0984100000000001</v>
      </c>
      <c r="EF18">
        <v>1.10581</v>
      </c>
      <c r="EG18">
        <v>22.126570394736842</v>
      </c>
      <c r="EH18" t="s">
        <v>907</v>
      </c>
      <c r="EI18">
        <v>0</v>
      </c>
      <c r="EJ18">
        <v>0</v>
      </c>
      <c r="EK18" s="12">
        <v>45470</v>
      </c>
      <c r="EL18" s="13">
        <v>-0.37</v>
      </c>
      <c r="EM18" s="13">
        <v>-3.71</v>
      </c>
      <c r="EN18" s="13">
        <v>1.1599999999999999</v>
      </c>
      <c r="EO18" s="13">
        <v>3.43</v>
      </c>
      <c r="EP18" s="13">
        <v>-0.74</v>
      </c>
    </row>
    <row r="19" spans="1:146" ht="96" x14ac:dyDescent="0.25">
      <c r="A19" s="6"/>
      <c r="B19" s="6"/>
      <c r="C19" s="6" t="str">
        <f>""&amp;CHAR(10)&amp;Basic_Fundamental_Information_Constructure(F19)&amp;CHAR(10)&amp;Basic_Fundamental_Information_Concatenate("")</f>
        <v xml:space="preserve">
市值64.205117亿, 利润-1.45亿; PE; 平均PE-1241.57; 平均PEG-66.48, PB3.2; ROIC2.36%; ROE-3.05%; 股利率0%; 毛利3.1133%; 净利-2.37%; 上一年度营收增-23.86%, 利润增-734.78%; 当季营收增28.98%, 利润增39.75%; 过往5年营收增18.68%, 利润增590.79%
Income profile:
</v>
      </c>
      <c r="D19" t="s">
        <v>240</v>
      </c>
      <c r="E19" t="s">
        <v>241</v>
      </c>
      <c r="F19">
        <v>5.65</v>
      </c>
      <c r="G19">
        <v>2.36</v>
      </c>
      <c r="H19" t="s">
        <v>1418</v>
      </c>
      <c r="I19">
        <v>6420511700</v>
      </c>
      <c r="K19">
        <v>3.2</v>
      </c>
      <c r="L19" t="s">
        <v>105</v>
      </c>
      <c r="M19" t="s">
        <v>1419</v>
      </c>
      <c r="N19" t="s">
        <v>861</v>
      </c>
      <c r="O19" t="s">
        <v>1420</v>
      </c>
      <c r="P19">
        <v>28.98</v>
      </c>
      <c r="Q19" t="s">
        <v>1421</v>
      </c>
      <c r="R19">
        <v>-21532356</v>
      </c>
      <c r="S19" s="5">
        <v>0.39750000000000002</v>
      </c>
      <c r="T19" t="s">
        <v>1422</v>
      </c>
      <c r="U19">
        <v>1136373750</v>
      </c>
      <c r="V19">
        <v>1136373750</v>
      </c>
      <c r="W19">
        <v>1.58</v>
      </c>
      <c r="X19">
        <v>0.26</v>
      </c>
      <c r="Y19">
        <v>-2.66</v>
      </c>
      <c r="Z19" t="s">
        <v>1423</v>
      </c>
      <c r="AA19" t="s">
        <v>763</v>
      </c>
      <c r="AB19" t="s">
        <v>1424</v>
      </c>
      <c r="AC19" t="s">
        <v>1425</v>
      </c>
      <c r="AD19" t="s">
        <v>5</v>
      </c>
      <c r="AE19">
        <v>-865490</v>
      </c>
      <c r="AF19" t="s">
        <v>1426</v>
      </c>
      <c r="AG19" t="s">
        <v>1427</v>
      </c>
      <c r="AH19" t="s">
        <v>1428</v>
      </c>
      <c r="AI19" t="s">
        <v>807</v>
      </c>
      <c r="AJ19" t="s">
        <v>1429</v>
      </c>
      <c r="AK19" t="s">
        <v>1430</v>
      </c>
      <c r="AL19" t="s">
        <v>1431</v>
      </c>
      <c r="AM19" t="s">
        <v>5</v>
      </c>
      <c r="AN19">
        <v>0</v>
      </c>
      <c r="AO19" t="s">
        <v>748</v>
      </c>
      <c r="AP19" t="s">
        <v>1432</v>
      </c>
      <c r="AQ19" t="s">
        <v>1433</v>
      </c>
      <c r="AR19" t="s">
        <v>5</v>
      </c>
      <c r="AS19" t="s">
        <v>960</v>
      </c>
      <c r="AT19" t="s">
        <v>1434</v>
      </c>
      <c r="AU19" t="s">
        <v>1435</v>
      </c>
      <c r="AV19" t="s">
        <v>1436</v>
      </c>
      <c r="AW19" t="s">
        <v>1437</v>
      </c>
      <c r="AX19" t="s">
        <v>773</v>
      </c>
      <c r="AY19" t="s">
        <v>534</v>
      </c>
      <c r="AZ19" t="s">
        <v>242</v>
      </c>
      <c r="BA19" t="s">
        <v>244</v>
      </c>
      <c r="BB19" t="s">
        <v>245</v>
      </c>
      <c r="BC19" t="s">
        <v>862</v>
      </c>
      <c r="BD19" t="s">
        <v>863</v>
      </c>
      <c r="BE19" t="s">
        <v>93</v>
      </c>
      <c r="BF19" t="s">
        <v>246</v>
      </c>
      <c r="BG19" t="s">
        <v>247</v>
      </c>
      <c r="BH19" t="s">
        <v>1421</v>
      </c>
      <c r="BI19" t="s">
        <v>1438</v>
      </c>
      <c r="BJ19" t="s">
        <v>773</v>
      </c>
      <c r="BK19" t="s">
        <v>1422</v>
      </c>
      <c r="BL19" t="s">
        <v>1439</v>
      </c>
      <c r="BM19" t="s">
        <v>862</v>
      </c>
      <c r="BN19" t="s">
        <v>5</v>
      </c>
      <c r="BO19">
        <v>2.36</v>
      </c>
      <c r="BP19" t="s">
        <v>5</v>
      </c>
      <c r="BQ19">
        <v>-5.33</v>
      </c>
      <c r="BR19">
        <v>1.62</v>
      </c>
      <c r="BS19">
        <v>-5.44</v>
      </c>
      <c r="BT19" t="s">
        <v>733</v>
      </c>
      <c r="BU19" t="s">
        <v>627</v>
      </c>
      <c r="BV19">
        <v>0.97</v>
      </c>
      <c r="BW19">
        <v>5.75</v>
      </c>
      <c r="BX19">
        <v>2.62</v>
      </c>
      <c r="BY19">
        <v>-5.4</v>
      </c>
      <c r="BZ19">
        <v>0.65</v>
      </c>
      <c r="CA19">
        <v>-2.36</v>
      </c>
      <c r="CB19">
        <v>-3.58</v>
      </c>
      <c r="CC19">
        <v>-5.2</v>
      </c>
      <c r="CD19" t="s">
        <v>1440</v>
      </c>
      <c r="CE19" t="s">
        <v>526</v>
      </c>
      <c r="CF19" s="7">
        <v>0.28980891719745222</v>
      </c>
      <c r="CG19" s="8">
        <v>0.39745531779145227</v>
      </c>
      <c r="CH19" s="7">
        <v>-0.23859447240829468</v>
      </c>
      <c r="CI19" s="7">
        <v>0.10592286288738251</v>
      </c>
      <c r="CJ19" s="7">
        <v>0.34811997413635254</v>
      </c>
      <c r="CK19" s="7">
        <v>-0.17755387723445892</v>
      </c>
      <c r="CL19" s="7">
        <v>0.89591574668884277</v>
      </c>
      <c r="CM19" s="8">
        <v>-7.3477611541748047</v>
      </c>
      <c r="CN19" s="8">
        <v>1.2946650981903076</v>
      </c>
      <c r="CO19" s="8">
        <v>0.53017640113830566</v>
      </c>
      <c r="CP19" s="8">
        <v>-1.5076923370361328</v>
      </c>
      <c r="CQ19" s="8">
        <v>36.570083618164062</v>
      </c>
      <c r="CR19">
        <v>-1241.5702807491371</v>
      </c>
      <c r="CS19">
        <v>-66.478725304712214</v>
      </c>
      <c r="CT19">
        <v>0</v>
      </c>
      <c r="CU19" s="7">
        <v>0.18676204681396485</v>
      </c>
      <c r="CV19" s="8">
        <v>5.9078943252563478</v>
      </c>
      <c r="CW19">
        <v>0.06</v>
      </c>
      <c r="CX19" t="e">
        <v>#VALUE!</v>
      </c>
      <c r="CY19" t="s">
        <v>601</v>
      </c>
      <c r="CZ19">
        <v>0.18676204681396485</v>
      </c>
      <c r="DA19" t="e">
        <v>#VALUE!</v>
      </c>
      <c r="DB19" t="s">
        <v>600</v>
      </c>
      <c r="DC19">
        <v>0.17742394447326659</v>
      </c>
      <c r="DD19" t="e">
        <v>#VALUE!</v>
      </c>
      <c r="DE19" t="s">
        <v>600</v>
      </c>
      <c r="DF19">
        <v>0.16435060119628908</v>
      </c>
      <c r="DG19" t="e">
        <v>#VALUE!</v>
      </c>
      <c r="DH19" t="s">
        <v>600</v>
      </c>
      <c r="DI19">
        <v>0.14940963745117189</v>
      </c>
      <c r="DJ19" t="e">
        <v>#VALUE!</v>
      </c>
      <c r="DK19" t="s">
        <v>600</v>
      </c>
      <c r="DL19">
        <v>0.13073343276977539</v>
      </c>
      <c r="DM19">
        <v>-145000000</v>
      </c>
      <c r="DN19">
        <v>0.18676204681396485</v>
      </c>
      <c r="DO19">
        <v>5366511700</v>
      </c>
      <c r="DP19">
        <v>868526100</v>
      </c>
      <c r="DQ19">
        <v>885</v>
      </c>
      <c r="DR19">
        <v>0.10304687038348737</v>
      </c>
      <c r="DS19">
        <v>-5.5104390074648952</v>
      </c>
      <c r="DT19" s="9">
        <v>-0.38999999999999996</v>
      </c>
      <c r="DU19">
        <v>-1.26</v>
      </c>
      <c r="DV19">
        <v>-1.65</v>
      </c>
      <c r="DW19">
        <v>-8.6884615384615387</v>
      </c>
      <c r="DX19">
        <v>0.48029935760171155</v>
      </c>
      <c r="DY19">
        <v>-8.1241291731181029</v>
      </c>
      <c r="DZ19">
        <v>4134</v>
      </c>
      <c r="EA19">
        <v>-8.0237084291513252</v>
      </c>
      <c r="EB19">
        <v>8</v>
      </c>
      <c r="EC19">
        <v>7.4095164553035484E-2</v>
      </c>
      <c r="ED19">
        <v>0.41095634248855184</v>
      </c>
      <c r="EE19" s="10">
        <v>2.0567000000000002</v>
      </c>
      <c r="EF19">
        <v>2.0035099999999999</v>
      </c>
      <c r="EG19">
        <v>30.180299357601712</v>
      </c>
      <c r="EH19" t="s">
        <v>808</v>
      </c>
      <c r="EI19">
        <v>0</v>
      </c>
      <c r="EJ19">
        <v>0</v>
      </c>
      <c r="EK19" s="12">
        <v>45470</v>
      </c>
      <c r="EL19" s="13">
        <v>1.34</v>
      </c>
      <c r="EM19" s="13">
        <v>-0.82</v>
      </c>
      <c r="EN19" s="13">
        <v>2.4900000000000002</v>
      </c>
      <c r="EO19" s="13">
        <v>-0.32</v>
      </c>
      <c r="EP19" s="13">
        <v>-6.02</v>
      </c>
    </row>
    <row r="20" spans="1:146" ht="96" x14ac:dyDescent="0.25">
      <c r="A20" s="6"/>
      <c r="B20" s="6"/>
      <c r="C20" s="6" t="str">
        <f>""&amp;CHAR(10)&amp;Basic_Fundamental_Information_Constructure(F20)&amp;CHAR(10)&amp;Basic_Fundamental_Information_Concatenate("")</f>
        <v xml:space="preserve">
市值36.92亿, 利润-1.81亿; PE; 平均PE-2.32; 平均PEG-.06, PB3.56; ROIC0%; ROE-20.46%; 股利率0%; 毛利-16.6133%; 净利-80.14%; 上一年度营收增-6.1%, 利润增55.42%; 当季营收增-26.3%, 利润增9.6%; 过往5年营收增36.08%, 利润增-4.82%
Income profile:
</v>
      </c>
      <c r="D20" t="s">
        <v>249</v>
      </c>
      <c r="E20" t="s">
        <v>866</v>
      </c>
      <c r="F20">
        <v>1.04</v>
      </c>
      <c r="G20">
        <v>0.97</v>
      </c>
      <c r="H20" t="s">
        <v>1441</v>
      </c>
      <c r="I20">
        <v>3692000000</v>
      </c>
      <c r="K20">
        <v>3.56</v>
      </c>
      <c r="L20" t="s">
        <v>105</v>
      </c>
      <c r="M20" t="s">
        <v>929</v>
      </c>
      <c r="N20" t="s">
        <v>1442</v>
      </c>
      <c r="O20" t="s">
        <v>1443</v>
      </c>
      <c r="P20">
        <v>-26.35</v>
      </c>
      <c r="Q20" t="s">
        <v>1444</v>
      </c>
      <c r="R20">
        <v>-37554398</v>
      </c>
      <c r="S20" s="5">
        <v>9.6000000000000002E-2</v>
      </c>
      <c r="T20" t="s">
        <v>1445</v>
      </c>
      <c r="U20">
        <v>3541119000</v>
      </c>
      <c r="V20">
        <v>3550000000</v>
      </c>
      <c r="W20">
        <v>1.46</v>
      </c>
      <c r="X20">
        <v>0.06</v>
      </c>
      <c r="Y20">
        <v>-39.33</v>
      </c>
      <c r="Z20" t="s">
        <v>22</v>
      </c>
      <c r="AA20" t="s">
        <v>52</v>
      </c>
      <c r="AB20" t="s">
        <v>1446</v>
      </c>
      <c r="AC20" t="s">
        <v>1447</v>
      </c>
      <c r="AD20" t="s">
        <v>5</v>
      </c>
      <c r="AE20">
        <v>796123</v>
      </c>
      <c r="AF20" t="s">
        <v>1448</v>
      </c>
      <c r="AG20">
        <v>851.03</v>
      </c>
      <c r="AH20" t="s">
        <v>1449</v>
      </c>
      <c r="AI20" t="s">
        <v>1450</v>
      </c>
      <c r="AJ20" t="s">
        <v>1451</v>
      </c>
      <c r="AK20" t="s">
        <v>1452</v>
      </c>
      <c r="AL20" t="s">
        <v>1453</v>
      </c>
      <c r="AM20" t="s">
        <v>5</v>
      </c>
      <c r="AN20" t="s">
        <v>1454</v>
      </c>
      <c r="AO20" t="s">
        <v>1455</v>
      </c>
      <c r="AP20" t="s">
        <v>5</v>
      </c>
      <c r="AQ20" t="s">
        <v>1456</v>
      </c>
      <c r="AR20" t="s">
        <v>5</v>
      </c>
      <c r="AS20" t="s">
        <v>73</v>
      </c>
      <c r="AT20" t="s">
        <v>1457</v>
      </c>
      <c r="AU20" t="s">
        <v>1458</v>
      </c>
      <c r="AV20" t="s">
        <v>1459</v>
      </c>
      <c r="AW20" t="s">
        <v>1460</v>
      </c>
      <c r="AX20" t="s">
        <v>842</v>
      </c>
      <c r="AY20" t="s">
        <v>328</v>
      </c>
      <c r="AZ20" t="s">
        <v>27</v>
      </c>
      <c r="BA20" t="s">
        <v>95</v>
      </c>
      <c r="BB20" t="s">
        <v>251</v>
      </c>
      <c r="BC20" t="s">
        <v>868</v>
      </c>
      <c r="BD20" t="s">
        <v>535</v>
      </c>
      <c r="BE20" t="s">
        <v>250</v>
      </c>
      <c r="BF20" t="s">
        <v>252</v>
      </c>
      <c r="BG20" t="s">
        <v>253</v>
      </c>
      <c r="BH20" t="s">
        <v>1444</v>
      </c>
      <c r="BI20" t="s">
        <v>261</v>
      </c>
      <c r="BJ20" t="s">
        <v>842</v>
      </c>
      <c r="BK20" t="s">
        <v>1445</v>
      </c>
      <c r="BL20" t="s">
        <v>1461</v>
      </c>
      <c r="BM20" t="s">
        <v>868</v>
      </c>
      <c r="BN20" t="s">
        <v>5</v>
      </c>
      <c r="BO20" t="s">
        <v>5</v>
      </c>
      <c r="BP20" t="s">
        <v>5</v>
      </c>
      <c r="BQ20">
        <v>-9.7100000000000009</v>
      </c>
      <c r="BR20">
        <v>-27.85</v>
      </c>
      <c r="BS20">
        <v>-23.82</v>
      </c>
      <c r="BT20" t="s">
        <v>733</v>
      </c>
      <c r="BU20" t="s">
        <v>627</v>
      </c>
      <c r="BV20">
        <v>-10.32</v>
      </c>
      <c r="BW20">
        <v>-16.8</v>
      </c>
      <c r="BX20">
        <v>-22.72</v>
      </c>
      <c r="BY20">
        <v>-38.01</v>
      </c>
      <c r="BZ20">
        <v>-79.95</v>
      </c>
      <c r="CA20">
        <v>-122.46</v>
      </c>
      <c r="CB20">
        <v>0</v>
      </c>
      <c r="CC20">
        <v>0.97</v>
      </c>
      <c r="CD20" t="s">
        <v>1462</v>
      </c>
      <c r="CE20" t="s">
        <v>1463</v>
      </c>
      <c r="CF20" s="7">
        <v>-0.26300999999999991</v>
      </c>
      <c r="CG20" s="8">
        <v>9.6033169651453879E-2</v>
      </c>
      <c r="CH20" s="7">
        <v>-6.1023622751235962E-2</v>
      </c>
      <c r="CI20" s="7">
        <v>0.38419619202613831</v>
      </c>
      <c r="CJ20" s="7">
        <v>2.528846263885498</v>
      </c>
      <c r="CK20" s="7">
        <v>-0.4285714328289032</v>
      </c>
      <c r="CL20" s="7">
        <v>-0.61924684047698975</v>
      </c>
      <c r="CM20" s="8">
        <v>0.55418717861175537</v>
      </c>
      <c r="CN20" s="8">
        <v>9.5768377184867859E-2</v>
      </c>
      <c r="CO20" s="8">
        <v>-1.0910935401916504</v>
      </c>
      <c r="CP20" s="8">
        <v>1.524808406829834</v>
      </c>
      <c r="CQ20" s="8">
        <v>-1.3247524499893188</v>
      </c>
      <c r="CR20">
        <v>-2.3222560016773248</v>
      </c>
      <c r="CS20">
        <v>-6.4356924982458541E-2</v>
      </c>
      <c r="CT20">
        <v>0</v>
      </c>
      <c r="CU20" s="7">
        <v>0.36084011197090149</v>
      </c>
      <c r="CV20" s="8">
        <v>-4.8216405510902408E-2</v>
      </c>
      <c r="CW20">
        <v>0.06</v>
      </c>
      <c r="CX20" t="e">
        <v>#VALUE!</v>
      </c>
      <c r="CY20" t="s">
        <v>601</v>
      </c>
      <c r="CZ20">
        <v>0.36084011197090149</v>
      </c>
      <c r="DA20" t="e">
        <v>#VALUE!</v>
      </c>
      <c r="DB20" t="s">
        <v>600</v>
      </c>
      <c r="DC20">
        <v>0.34279810637235641</v>
      </c>
      <c r="DD20" t="e">
        <v>#VALUE!</v>
      </c>
      <c r="DE20" t="s">
        <v>600</v>
      </c>
      <c r="DF20">
        <v>0.31753929853439333</v>
      </c>
      <c r="DG20" t="e">
        <v>#VALUE!</v>
      </c>
      <c r="DH20" t="s">
        <v>600</v>
      </c>
      <c r="DI20">
        <v>0.28867208957672119</v>
      </c>
      <c r="DJ20" t="e">
        <v>#VALUE!</v>
      </c>
      <c r="DK20" t="s">
        <v>600</v>
      </c>
      <c r="DL20">
        <v>0.25258807837963104</v>
      </c>
      <c r="DM20">
        <v>-181000000</v>
      </c>
      <c r="DN20">
        <v>0.36084011197090149</v>
      </c>
      <c r="DO20">
        <v>3255000000</v>
      </c>
      <c r="DP20">
        <v>118749860</v>
      </c>
      <c r="DQ20">
        <v>998</v>
      </c>
      <c r="DR20">
        <v>-0.62385011197090146</v>
      </c>
      <c r="DS20">
        <v>0.14424957516235629</v>
      </c>
      <c r="DT20" s="9">
        <v>-0.19166666666666662</v>
      </c>
      <c r="DU20">
        <v>-1.9716666666666667</v>
      </c>
      <c r="DV20">
        <v>-2.1633333333333331</v>
      </c>
      <c r="DW20">
        <v>9.7000000000000003E-3</v>
      </c>
      <c r="DX20">
        <v>0.25236101940364197</v>
      </c>
      <c r="DY20">
        <v>7.9890188821531974E-4</v>
      </c>
      <c r="DZ20">
        <v>4509</v>
      </c>
      <c r="EA20">
        <v>9.3960867870334085E-5</v>
      </c>
      <c r="EB20">
        <v>0</v>
      </c>
      <c r="EC20">
        <v>6.7605633802816895E-2</v>
      </c>
      <c r="ED20">
        <v>0.82084507042253518</v>
      </c>
      <c r="EE20" s="10">
        <v>-6.0154100000000001</v>
      </c>
      <c r="EF20">
        <v>-6.05281</v>
      </c>
      <c r="EG20">
        <v>17.082361019403642</v>
      </c>
      <c r="EH20" t="s">
        <v>1464</v>
      </c>
      <c r="EI20">
        <v>0</v>
      </c>
      <c r="EJ20">
        <v>0</v>
      </c>
      <c r="EK20" s="12">
        <v>45470</v>
      </c>
      <c r="EL20" s="13">
        <v>-0.92</v>
      </c>
      <c r="EM20" s="13">
        <v>-3.7</v>
      </c>
      <c r="EN20" s="13">
        <v>0</v>
      </c>
      <c r="EO20" s="13">
        <v>2.88</v>
      </c>
      <c r="EP20" s="13">
        <v>-3.74</v>
      </c>
    </row>
    <row r="21" spans="1:146" ht="180" x14ac:dyDescent="0.25">
      <c r="A21" s="6" t="s">
        <v>611</v>
      </c>
      <c r="B21" s="6" t="s">
        <v>610</v>
      </c>
      <c r="C21" s="6" t="str">
        <f>"公司主营业务为从铝土矿、氧化铝到电解铝、高纯铝、铝深加工的上下游一体化，并配套自备电厂和自备预焙阳极的完整铝产业链布局。主要产品是电解铝产品、高纯铝产品、铝深加工产品、氧化铝产品、阳极碳素产品。"&amp;CHAR(10)&amp;Basic_Fundamental_Information_Constructure(F21)&amp;CHAR(10)&amp;Basic_Fundamental_Information_Concatenate("销售自产铝锭 174.71亿 60.78% 91.91% 34.49%
销售外购铝锭 82.47亿 28.69% -1.25% -1.00%
销售氧化铝 19.29亿 6.71% 4.44% 15.10%
销售自产铝制品 5.69亿 1.98% 1.65% 19.03%
销售高纯铝 3.94亿 1.37% 2.58% 42.85%")</f>
        <v>公司主营业务为从铝土矿、氧化铝到电解铝、高纯铝、铝深加工的上下游一体化，并配套自备电厂和自备预焙阳极的完整铝产业链布局。主要产品是电解铝产品、高纯铝产品、铝深加工产品、氧化铝产品、阳极碳素产品。
市值379.59385亿, 利润22.05亿; PE15.66; 平均PE18.62; 平均PEG.05, PB1.53; ROIC9.1367%; ROE12.58%; 股利率1.8382%; 毛利17.4%; 净利9.6567%; 上一年度营收增-12.22%, 利润增-16.79%; 当季营收增-1.71%, 利润增43.68%; 过往5年营收增413.09%, 利润增225.2%
Income profile:
销售自产铝锭 174.71亿 60.78% 91.91% 34.49%
销售外购铝锭 82.47亿 28.69% -1.25% -1.00%
销售氧化铝 19.29亿 6.71% 4.44% 15.10%
销售自产铝制品 5.69亿 1.98% 1.65% 19.03%
销售高纯铝 3.94亿 1.37% 2.58% 42.85%</v>
      </c>
      <c r="D21" t="s">
        <v>254</v>
      </c>
      <c r="E21" t="s">
        <v>255</v>
      </c>
      <c r="F21">
        <v>8.16</v>
      </c>
      <c r="G21">
        <v>2.64</v>
      </c>
      <c r="H21" t="s">
        <v>1465</v>
      </c>
      <c r="I21">
        <v>37959385000</v>
      </c>
      <c r="J21">
        <v>15.66</v>
      </c>
      <c r="K21">
        <v>1.53</v>
      </c>
      <c r="L21" t="s">
        <v>105</v>
      </c>
      <c r="M21" t="s">
        <v>1466</v>
      </c>
      <c r="N21" t="s">
        <v>1467</v>
      </c>
      <c r="O21" t="s">
        <v>1468</v>
      </c>
      <c r="P21">
        <v>-1.71</v>
      </c>
      <c r="Q21" t="s">
        <v>1469</v>
      </c>
      <c r="R21">
        <v>719819780</v>
      </c>
      <c r="S21" s="5">
        <v>0.4355</v>
      </c>
      <c r="T21" t="s">
        <v>1470</v>
      </c>
      <c r="U21">
        <v>4130005500</v>
      </c>
      <c r="V21">
        <v>4651885400</v>
      </c>
      <c r="W21">
        <v>2.29</v>
      </c>
      <c r="X21">
        <v>0.12</v>
      </c>
      <c r="Y21">
        <v>10.6</v>
      </c>
      <c r="Z21" t="s">
        <v>1471</v>
      </c>
      <c r="AA21" t="s">
        <v>1472</v>
      </c>
      <c r="AB21" t="s">
        <v>1473</v>
      </c>
      <c r="AC21" t="s">
        <v>1474</v>
      </c>
      <c r="AD21" t="s">
        <v>5</v>
      </c>
      <c r="AE21">
        <v>184524940</v>
      </c>
      <c r="AF21" t="s">
        <v>24</v>
      </c>
      <c r="AG21" t="s">
        <v>1475</v>
      </c>
      <c r="AH21" t="s">
        <v>1476</v>
      </c>
      <c r="AI21" t="s">
        <v>1477</v>
      </c>
      <c r="AJ21" t="s">
        <v>1478</v>
      </c>
      <c r="AK21" t="s">
        <v>1479</v>
      </c>
      <c r="AL21" t="s">
        <v>1480</v>
      </c>
      <c r="AM21" t="s">
        <v>5</v>
      </c>
      <c r="AN21" t="s">
        <v>1481</v>
      </c>
      <c r="AO21" t="s">
        <v>1482</v>
      </c>
      <c r="AP21" t="s">
        <v>1483</v>
      </c>
      <c r="AQ21" t="s">
        <v>1484</v>
      </c>
      <c r="AR21" t="s">
        <v>5</v>
      </c>
      <c r="AS21" t="s">
        <v>1485</v>
      </c>
      <c r="AT21" t="s">
        <v>1486</v>
      </c>
      <c r="AU21" t="s">
        <v>1487</v>
      </c>
      <c r="AV21" t="s">
        <v>1488</v>
      </c>
      <c r="AW21" t="s">
        <v>1489</v>
      </c>
      <c r="AX21" t="s">
        <v>870</v>
      </c>
      <c r="AY21" t="s">
        <v>536</v>
      </c>
      <c r="AZ21" t="s">
        <v>256</v>
      </c>
      <c r="BA21" t="s">
        <v>258</v>
      </c>
      <c r="BB21" t="s">
        <v>259</v>
      </c>
      <c r="BC21" t="s">
        <v>871</v>
      </c>
      <c r="BD21" t="s">
        <v>537</v>
      </c>
      <c r="BE21" t="s">
        <v>257</v>
      </c>
      <c r="BF21" t="s">
        <v>260</v>
      </c>
      <c r="BG21" t="s">
        <v>51</v>
      </c>
      <c r="BH21" t="s">
        <v>1469</v>
      </c>
      <c r="BI21" t="s">
        <v>1490</v>
      </c>
      <c r="BJ21" t="s">
        <v>870</v>
      </c>
      <c r="BK21" t="s">
        <v>1470</v>
      </c>
      <c r="BL21" t="s">
        <v>1491</v>
      </c>
      <c r="BM21" t="s">
        <v>871</v>
      </c>
      <c r="BN21">
        <v>5.17</v>
      </c>
      <c r="BO21">
        <v>8.83</v>
      </c>
      <c r="BP21">
        <v>13.41</v>
      </c>
      <c r="BQ21">
        <v>7.06</v>
      </c>
      <c r="BR21">
        <v>12.06</v>
      </c>
      <c r="BS21">
        <v>18.62</v>
      </c>
      <c r="BT21" t="s">
        <v>761</v>
      </c>
      <c r="BU21" t="s">
        <v>627</v>
      </c>
      <c r="BV21">
        <v>14.1</v>
      </c>
      <c r="BW21">
        <v>15.29</v>
      </c>
      <c r="BX21">
        <v>22.81</v>
      </c>
      <c r="BY21">
        <v>7.61</v>
      </c>
      <c r="BZ21">
        <v>8.0299999999999994</v>
      </c>
      <c r="CA21">
        <v>13.33</v>
      </c>
      <c r="CB21">
        <v>0.62</v>
      </c>
      <c r="CC21">
        <v>2.64</v>
      </c>
      <c r="CD21" t="s">
        <v>226</v>
      </c>
      <c r="CE21" t="s">
        <v>342</v>
      </c>
      <c r="CF21" s="7">
        <v>-1.7137096774193547E-2</v>
      </c>
      <c r="CG21" s="8">
        <v>0.43676602794411179</v>
      </c>
      <c r="CH21" s="7">
        <v>-0.12218254059553146</v>
      </c>
      <c r="CI21" s="7">
        <v>0.1483040452003479</v>
      </c>
      <c r="CJ21" s="7">
        <v>4.6795383095741272E-2</v>
      </c>
      <c r="CK21" s="7">
        <v>-0.15733268857002258</v>
      </c>
      <c r="CL21" s="7">
        <v>20.739158630371094</v>
      </c>
      <c r="CM21" s="8">
        <v>-0.16792450845241547</v>
      </c>
      <c r="CN21" s="8">
        <v>-0.30863556265830994</v>
      </c>
      <c r="CO21" s="8">
        <v>1.0047070980072021</v>
      </c>
      <c r="CP21" s="8">
        <v>0.2738175094127655</v>
      </c>
      <c r="CQ21" s="8">
        <v>10.458014488220215</v>
      </c>
      <c r="CR21">
        <v>18.61971141268803</v>
      </c>
      <c r="CS21">
        <v>4.5073694614326261E-2</v>
      </c>
      <c r="CT21">
        <v>1.838235294117647</v>
      </c>
      <c r="CU21" s="7">
        <v>4.1309485659003258</v>
      </c>
      <c r="CV21" s="8">
        <v>2.2519958049058912</v>
      </c>
      <c r="CW21">
        <v>0.06</v>
      </c>
      <c r="CX21">
        <v>4.3229560902023687</v>
      </c>
      <c r="CY21">
        <v>10673341120.575678</v>
      </c>
      <c r="CZ21">
        <v>4.1309485659003258</v>
      </c>
      <c r="DA21">
        <v>0.16542913693535724</v>
      </c>
      <c r="DB21">
        <v>278913290939.97345</v>
      </c>
      <c r="DC21">
        <v>3.9244011376053094</v>
      </c>
      <c r="DD21">
        <v>2.3087258373416797E-3</v>
      </c>
      <c r="DE21">
        <v>19985216197488.008</v>
      </c>
      <c r="DF21">
        <v>3.6352347379922869</v>
      </c>
      <c r="DG21">
        <v>1.2926380886771573E-5</v>
      </c>
      <c r="DH21">
        <v>3569474348943139</v>
      </c>
      <c r="DI21">
        <v>3.3047588527202607</v>
      </c>
      <c r="DJ21">
        <v>7.6911198318581158E-11</v>
      </c>
      <c r="DK21">
        <v>5.9991764539771624E+20</v>
      </c>
      <c r="DL21">
        <v>2.891663996130228</v>
      </c>
      <c r="DM21">
        <v>2205000000</v>
      </c>
      <c r="DN21">
        <v>4.1309485659003258</v>
      </c>
      <c r="DO21">
        <v>46140385000</v>
      </c>
      <c r="DP21">
        <v>-2830650000</v>
      </c>
      <c r="DQ21">
        <v>1025</v>
      </c>
      <c r="DR21">
        <v>-4.1480856626745197</v>
      </c>
      <c r="DS21">
        <v>-1.8152297769617793</v>
      </c>
      <c r="DT21" s="9">
        <v>-6.8333333333333357E-2</v>
      </c>
      <c r="DU21">
        <v>0.79333333333333333</v>
      </c>
      <c r="DV21">
        <v>0.72499999999999998</v>
      </c>
      <c r="DW21">
        <v>1.0264</v>
      </c>
      <c r="DX21">
        <v>0.33607696621419803</v>
      </c>
      <c r="DY21">
        <v>1.0030644319080548</v>
      </c>
      <c r="DZ21">
        <v>435</v>
      </c>
      <c r="EA21">
        <v>1.002803565395334</v>
      </c>
      <c r="EB21">
        <v>1</v>
      </c>
      <c r="EC21">
        <v>4.0198754681273964E-2</v>
      </c>
      <c r="ED21">
        <v>0.34631119674616234</v>
      </c>
      <c r="EE21" s="10">
        <v>3.3399999999999999E-2</v>
      </c>
      <c r="EF21">
        <v>1.2300000000000002E-2</v>
      </c>
      <c r="EG21">
        <v>22.116076966214198</v>
      </c>
      <c r="EH21" t="s">
        <v>494</v>
      </c>
      <c r="EI21">
        <v>0</v>
      </c>
      <c r="EJ21">
        <v>1</v>
      </c>
      <c r="EK21" s="12">
        <v>45470</v>
      </c>
      <c r="EL21" s="13">
        <v>-1.1000000000000001</v>
      </c>
      <c r="EM21" s="13">
        <v>-2.72</v>
      </c>
      <c r="EN21" s="13">
        <v>1.78</v>
      </c>
      <c r="EO21" s="13">
        <v>0.88</v>
      </c>
      <c r="EP21" s="13">
        <v>-2.11</v>
      </c>
    </row>
    <row r="22" spans="1:146" ht="96" x14ac:dyDescent="0.25">
      <c r="A22" s="6"/>
      <c r="B22" s="6"/>
      <c r="C22" s="6" t="str">
        <f>""&amp;CHAR(10)&amp;Basic_Fundamental_Information_Constructure(F22)&amp;CHAR(10)&amp;Basic_Fundamental_Information_Concatenate("")</f>
        <v xml:space="preserve">
市值67.760076亿, 利润5.65亿; PE11.62; 平均PE14.56; 平均PEG.91, PB1.19; ROIC9.2033%; ROE9.7633%; 股利率5.9963%; 毛利14.4767%; 净利8.5133%; 上一年度营收增5.68%, 利润增-16.42%; 当季营收增14.03%, 利润增17.52%; 过往5年营收增15.93%, 利润增10.92%
Income profile:
</v>
      </c>
      <c r="D22" t="s">
        <v>262</v>
      </c>
      <c r="E22" t="s">
        <v>263</v>
      </c>
      <c r="F22">
        <v>5.42</v>
      </c>
      <c r="G22">
        <v>1.31</v>
      </c>
      <c r="H22" t="s">
        <v>869</v>
      </c>
      <c r="I22">
        <v>6776007600</v>
      </c>
      <c r="J22">
        <v>11.62</v>
      </c>
      <c r="K22">
        <v>1.19</v>
      </c>
      <c r="L22" t="s">
        <v>105</v>
      </c>
      <c r="M22" t="s">
        <v>1492</v>
      </c>
      <c r="N22" t="s">
        <v>1493</v>
      </c>
      <c r="O22" t="s">
        <v>1494</v>
      </c>
      <c r="P22">
        <v>14.02</v>
      </c>
      <c r="Q22" t="s">
        <v>1495</v>
      </c>
      <c r="R22">
        <v>122220058</v>
      </c>
      <c r="S22" s="5">
        <v>0.17069999999999999</v>
      </c>
      <c r="T22" t="s">
        <v>120</v>
      </c>
      <c r="U22">
        <v>863004860</v>
      </c>
      <c r="V22">
        <v>1250185910</v>
      </c>
      <c r="W22">
        <v>1.35</v>
      </c>
      <c r="X22">
        <v>0.22</v>
      </c>
      <c r="Y22">
        <v>7.19</v>
      </c>
      <c r="Z22" t="s">
        <v>1496</v>
      </c>
      <c r="AA22" t="s">
        <v>1497</v>
      </c>
      <c r="AB22" t="s">
        <v>1498</v>
      </c>
      <c r="AC22" t="s">
        <v>1499</v>
      </c>
      <c r="AD22" t="s">
        <v>5</v>
      </c>
      <c r="AE22">
        <v>3353727</v>
      </c>
      <c r="AF22" t="s">
        <v>1500</v>
      </c>
      <c r="AG22" t="s">
        <v>1501</v>
      </c>
      <c r="AH22" t="s">
        <v>1502</v>
      </c>
      <c r="AI22" t="s">
        <v>954</v>
      </c>
      <c r="AJ22" t="s">
        <v>1503</v>
      </c>
      <c r="AK22" t="s">
        <v>272</v>
      </c>
      <c r="AL22" t="s">
        <v>1504</v>
      </c>
      <c r="AM22" t="s">
        <v>5</v>
      </c>
      <c r="AN22" t="s">
        <v>803</v>
      </c>
      <c r="AO22" t="s">
        <v>1505</v>
      </c>
      <c r="AP22" t="s">
        <v>52</v>
      </c>
      <c r="AQ22" t="s">
        <v>1506</v>
      </c>
      <c r="AR22" t="s">
        <v>5</v>
      </c>
      <c r="AS22" t="s">
        <v>1507</v>
      </c>
      <c r="AT22" t="s">
        <v>1508</v>
      </c>
      <c r="AU22" t="s">
        <v>26</v>
      </c>
      <c r="AV22" t="s">
        <v>1509</v>
      </c>
      <c r="AW22" t="s">
        <v>1510</v>
      </c>
      <c r="AX22" t="s">
        <v>872</v>
      </c>
      <c r="AY22" t="s">
        <v>538</v>
      </c>
      <c r="AZ22" t="s">
        <v>265</v>
      </c>
      <c r="BA22" t="s">
        <v>268</v>
      </c>
      <c r="BB22" t="s">
        <v>269</v>
      </c>
      <c r="BC22" t="s">
        <v>873</v>
      </c>
      <c r="BD22" t="s">
        <v>539</v>
      </c>
      <c r="BE22" t="s">
        <v>266</v>
      </c>
      <c r="BF22" t="s">
        <v>270</v>
      </c>
      <c r="BG22" t="s">
        <v>271</v>
      </c>
      <c r="BH22" t="s">
        <v>1495</v>
      </c>
      <c r="BI22" t="s">
        <v>1511</v>
      </c>
      <c r="BJ22" t="s">
        <v>872</v>
      </c>
      <c r="BK22" t="s">
        <v>120</v>
      </c>
      <c r="BL22" t="s">
        <v>27</v>
      </c>
      <c r="BM22" t="s">
        <v>873</v>
      </c>
      <c r="BN22">
        <v>6.31</v>
      </c>
      <c r="BO22">
        <v>12.19</v>
      </c>
      <c r="BP22">
        <v>9.11</v>
      </c>
      <c r="BQ22">
        <v>7.02</v>
      </c>
      <c r="BR22">
        <v>12.77</v>
      </c>
      <c r="BS22">
        <v>9.5</v>
      </c>
      <c r="BT22" t="s">
        <v>1512</v>
      </c>
      <c r="BU22" t="s">
        <v>627</v>
      </c>
      <c r="BV22">
        <v>14.95</v>
      </c>
      <c r="BW22">
        <v>14.02</v>
      </c>
      <c r="BX22">
        <v>14.46</v>
      </c>
      <c r="BY22">
        <v>7.9</v>
      </c>
      <c r="BZ22">
        <v>10.029999999999999</v>
      </c>
      <c r="CA22">
        <v>7.61</v>
      </c>
      <c r="CB22">
        <v>2.46</v>
      </c>
      <c r="CC22">
        <v>-5.82</v>
      </c>
      <c r="CD22" t="s">
        <v>1513</v>
      </c>
      <c r="CE22" t="s">
        <v>760</v>
      </c>
      <c r="CF22" s="7">
        <v>0.14026845637583876</v>
      </c>
      <c r="CG22" s="8">
        <v>0.1751928653846154</v>
      </c>
      <c r="CH22" s="7">
        <v>5.6769225746393204E-2</v>
      </c>
      <c r="CI22" s="7">
        <v>0.11833139508962631</v>
      </c>
      <c r="CJ22" s="7">
        <v>0.50801998376846313</v>
      </c>
      <c r="CK22" s="7">
        <v>0.12999151647090912</v>
      </c>
      <c r="CL22" s="7">
        <v>-1.6434557735919952E-2</v>
      </c>
      <c r="CM22" s="8">
        <v>-0.16420118510723114</v>
      </c>
      <c r="CN22" s="8">
        <v>0.47598254680633545</v>
      </c>
      <c r="CO22" s="8">
        <v>0.28291317820549011</v>
      </c>
      <c r="CP22" s="8">
        <v>-1.3812154531478882E-2</v>
      </c>
      <c r="CQ22" s="8">
        <v>-3.4666664898395538E-2</v>
      </c>
      <c r="CR22">
        <v>14.556407303974222</v>
      </c>
      <c r="CS22">
        <v>0.91356955271574525</v>
      </c>
      <c r="CT22">
        <v>5.9962988929889303</v>
      </c>
      <c r="CU22" s="7">
        <v>0.15933551266789436</v>
      </c>
      <c r="CV22" s="8">
        <v>0.109243144094944</v>
      </c>
      <c r="CW22">
        <v>0.06</v>
      </c>
      <c r="CX22">
        <v>4.8871572590175063</v>
      </c>
      <c r="CY22">
        <v>617947702.50694358</v>
      </c>
      <c r="CZ22">
        <v>0.15933551266789436</v>
      </c>
      <c r="DA22">
        <v>1.5067183962639796</v>
      </c>
      <c r="DB22">
        <v>2004361005.671885</v>
      </c>
      <c r="DC22">
        <v>0.15136873703449963</v>
      </c>
      <c r="DD22">
        <v>0.68479425838184316</v>
      </c>
      <c r="DE22">
        <v>4410094802.9795475</v>
      </c>
      <c r="DF22">
        <v>0.14021525114774705</v>
      </c>
      <c r="DG22">
        <v>0.37477297504557472</v>
      </c>
      <c r="DH22">
        <v>8058232052.7053699</v>
      </c>
      <c r="DI22">
        <v>0.12746841013431551</v>
      </c>
      <c r="DJ22">
        <v>0.15642195369256273</v>
      </c>
      <c r="DK22">
        <v>19306801434.89085</v>
      </c>
      <c r="DL22">
        <v>0.11153485886752605</v>
      </c>
      <c r="DM22">
        <v>565000000</v>
      </c>
      <c r="DN22">
        <v>0.15933551266789436</v>
      </c>
      <c r="DO22">
        <v>3020007600</v>
      </c>
      <c r="DP22">
        <v>4234366000</v>
      </c>
      <c r="DQ22">
        <v>1033</v>
      </c>
      <c r="DR22">
        <v>-1.9067056292055601E-2</v>
      </c>
      <c r="DS22">
        <v>6.5949721289671401E-2</v>
      </c>
      <c r="DT22" s="9">
        <v>-0.3066666666666667</v>
      </c>
      <c r="DU22">
        <v>0.33666666666666667</v>
      </c>
      <c r="DV22">
        <v>2.9999999999999971E-2</v>
      </c>
      <c r="DW22">
        <v>-1.0582</v>
      </c>
      <c r="DX22">
        <v>0.32825176056337996</v>
      </c>
      <c r="DY22">
        <v>-1.0074642524647888</v>
      </c>
      <c r="DZ22">
        <v>1636</v>
      </c>
      <c r="EA22">
        <v>-1.0050745231042419</v>
      </c>
      <c r="EB22">
        <v>1</v>
      </c>
      <c r="EC22">
        <v>2.9134466889008531E-2</v>
      </c>
      <c r="ED22">
        <v>0.22716621402332074</v>
      </c>
      <c r="EE22" s="10">
        <v>2.7099999999999999E-2</v>
      </c>
      <c r="EF22">
        <v>7.9100000000000038E-3</v>
      </c>
      <c r="EG22">
        <v>20.12825176056338</v>
      </c>
      <c r="EH22">
        <v>-1</v>
      </c>
      <c r="EI22">
        <v>0</v>
      </c>
      <c r="EJ22">
        <v>0</v>
      </c>
      <c r="EK22" s="12">
        <v>45470</v>
      </c>
      <c r="EL22" s="13">
        <v>0.38</v>
      </c>
      <c r="EM22" s="13">
        <v>-2.81</v>
      </c>
      <c r="EN22" s="13">
        <v>1.93</v>
      </c>
      <c r="EO22" s="13">
        <v>2.84</v>
      </c>
      <c r="EP22" s="13">
        <v>-3.5</v>
      </c>
    </row>
    <row r="23" spans="1:146" ht="96" x14ac:dyDescent="0.25">
      <c r="A23" s="6"/>
      <c r="B23" s="6"/>
      <c r="C23" s="6" t="str">
        <f>""&amp;CHAR(10)&amp;Basic_Fundamental_Information_Constructure(F23)&amp;CHAR(10)&amp;Basic_Fundamental_Information_Concatenate("")</f>
        <v xml:space="preserve">
市值24.967563亿, 利润2686.29万; PE96.21; 平均PE53.37; 平均PEG3.43, PB1.61; ROIC2.54%; ROE3.09%; 股利率1.5038%; 毛利7.16%; 净利1.8%; 上一年度营收增1.18%, 利润增-46.19%; 当季营收增-27.14%, 利润增-9.42%; 过往5年营收增15.58%, 利润增-.57%
Income profile:
</v>
      </c>
      <c r="D23" t="s">
        <v>273</v>
      </c>
      <c r="E23" t="s">
        <v>274</v>
      </c>
      <c r="F23">
        <v>2.66</v>
      </c>
      <c r="G23">
        <v>1.92</v>
      </c>
      <c r="H23" t="s">
        <v>1514</v>
      </c>
      <c r="I23">
        <v>2496756300</v>
      </c>
      <c r="J23">
        <v>96.21</v>
      </c>
      <c r="K23">
        <v>1.61</v>
      </c>
      <c r="L23" t="s">
        <v>105</v>
      </c>
      <c r="M23" t="s">
        <v>1515</v>
      </c>
      <c r="N23" t="s">
        <v>1516</v>
      </c>
      <c r="O23" t="s">
        <v>1517</v>
      </c>
      <c r="P23">
        <v>-27.03</v>
      </c>
      <c r="Q23" t="s">
        <v>1518</v>
      </c>
      <c r="R23">
        <v>8760300</v>
      </c>
      <c r="S23" s="5">
        <v>-9.4200000000000006E-2</v>
      </c>
      <c r="T23" t="s">
        <v>1519</v>
      </c>
      <c r="U23">
        <v>861162560</v>
      </c>
      <c r="V23">
        <v>938630180</v>
      </c>
      <c r="W23">
        <v>1.65</v>
      </c>
      <c r="X23">
        <v>0.16</v>
      </c>
      <c r="Y23">
        <v>2.1</v>
      </c>
      <c r="Z23" t="s">
        <v>946</v>
      </c>
      <c r="AA23" t="s">
        <v>606</v>
      </c>
      <c r="AB23" t="s">
        <v>1520</v>
      </c>
      <c r="AC23" t="s">
        <v>1521</v>
      </c>
      <c r="AD23" t="s">
        <v>5</v>
      </c>
      <c r="AE23">
        <v>-1256059</v>
      </c>
      <c r="AF23" t="s">
        <v>1522</v>
      </c>
      <c r="AG23">
        <v>1.85</v>
      </c>
      <c r="AH23" t="s">
        <v>1523</v>
      </c>
      <c r="AI23" t="s">
        <v>1524</v>
      </c>
      <c r="AJ23" t="s">
        <v>1525</v>
      </c>
      <c r="AK23" t="s">
        <v>809</v>
      </c>
      <c r="AL23" t="s">
        <v>1526</v>
      </c>
      <c r="AM23" t="s">
        <v>5</v>
      </c>
      <c r="AN23" t="s">
        <v>1527</v>
      </c>
      <c r="AO23" t="s">
        <v>786</v>
      </c>
      <c r="AP23" t="s">
        <v>1528</v>
      </c>
      <c r="AQ23" t="s">
        <v>1529</v>
      </c>
      <c r="AR23" t="s">
        <v>1530</v>
      </c>
      <c r="AS23" t="s">
        <v>1531</v>
      </c>
      <c r="AT23" t="s">
        <v>1532</v>
      </c>
      <c r="AU23" t="s">
        <v>1533</v>
      </c>
      <c r="AV23" t="s">
        <v>1534</v>
      </c>
      <c r="AW23" t="s">
        <v>1535</v>
      </c>
      <c r="AX23" t="s">
        <v>851</v>
      </c>
      <c r="AY23" t="s">
        <v>540</v>
      </c>
      <c r="AZ23" t="s">
        <v>275</v>
      </c>
      <c r="BA23" t="s">
        <v>277</v>
      </c>
      <c r="BB23" t="s">
        <v>243</v>
      </c>
      <c r="BC23" t="s">
        <v>876</v>
      </c>
      <c r="BD23" t="s">
        <v>541</v>
      </c>
      <c r="BE23" t="s">
        <v>276</v>
      </c>
      <c r="BF23" t="s">
        <v>279</v>
      </c>
      <c r="BG23" t="s">
        <v>280</v>
      </c>
      <c r="BH23" t="s">
        <v>1518</v>
      </c>
      <c r="BI23" t="s">
        <v>827</v>
      </c>
      <c r="BJ23" t="s">
        <v>851</v>
      </c>
      <c r="BK23" t="s">
        <v>1519</v>
      </c>
      <c r="BL23" t="s">
        <v>1536</v>
      </c>
      <c r="BM23" t="s">
        <v>876</v>
      </c>
      <c r="BN23">
        <v>1.25</v>
      </c>
      <c r="BO23">
        <v>2.75</v>
      </c>
      <c r="BP23">
        <v>3.62</v>
      </c>
      <c r="BQ23">
        <v>1.91</v>
      </c>
      <c r="BR23">
        <v>3.35</v>
      </c>
      <c r="BS23">
        <v>4.01</v>
      </c>
      <c r="BT23" t="s">
        <v>1537</v>
      </c>
      <c r="BU23" t="s">
        <v>627</v>
      </c>
      <c r="BV23">
        <v>5.9</v>
      </c>
      <c r="BW23">
        <v>7.09</v>
      </c>
      <c r="BX23">
        <v>8.49</v>
      </c>
      <c r="BY23">
        <v>0.98</v>
      </c>
      <c r="BZ23">
        <v>1.83</v>
      </c>
      <c r="CA23">
        <v>2.59</v>
      </c>
      <c r="CB23">
        <v>1.1399999999999999</v>
      </c>
      <c r="CC23">
        <v>-11.63</v>
      </c>
      <c r="CD23" t="s">
        <v>1538</v>
      </c>
      <c r="CE23" t="s">
        <v>526</v>
      </c>
      <c r="CF23" s="7">
        <v>-0.27142857142857141</v>
      </c>
      <c r="CG23" s="8">
        <v>-9.4196230082822366E-2</v>
      </c>
      <c r="CH23" s="7">
        <v>1.1823696084320545E-2</v>
      </c>
      <c r="CI23" s="7">
        <v>0.24376116693019867</v>
      </c>
      <c r="CJ23" s="7">
        <v>0.40866294503211975</v>
      </c>
      <c r="CK23" s="7">
        <v>8.8858418166637421E-2</v>
      </c>
      <c r="CL23" s="7">
        <v>2.5946749374270439E-2</v>
      </c>
      <c r="CM23" s="8">
        <v>-0.46189180016517639</v>
      </c>
      <c r="CN23" s="8">
        <v>-0.14276637136936188</v>
      </c>
      <c r="CO23" s="8">
        <v>-7.2778195142745972E-2</v>
      </c>
      <c r="CP23" s="8">
        <v>0.33527866005897522</v>
      </c>
      <c r="CQ23" s="8">
        <v>0.313618004322052</v>
      </c>
      <c r="CR23">
        <v>53.374793393877226</v>
      </c>
      <c r="CS23">
        <v>3.425620276568675</v>
      </c>
      <c r="CT23">
        <v>1.5037593984962405</v>
      </c>
      <c r="CU23" s="7">
        <v>0.15581059511750936</v>
      </c>
      <c r="CV23" s="8">
        <v>-5.7079404592514042E-3</v>
      </c>
      <c r="CW23">
        <v>0.06</v>
      </c>
      <c r="CX23">
        <v>68.306257613816868</v>
      </c>
      <c r="CY23">
        <v>29290966.448662393</v>
      </c>
      <c r="CZ23">
        <v>0.15581059511750936</v>
      </c>
      <c r="DA23">
        <v>21.120885963598408</v>
      </c>
      <c r="DB23">
        <v>94728805.574173331</v>
      </c>
      <c r="DC23">
        <v>0.1480200653616339</v>
      </c>
      <c r="DD23">
        <v>9.6389317601858924</v>
      </c>
      <c r="DE23">
        <v>207570335.57019541</v>
      </c>
      <c r="DF23">
        <v>0.13711332370340823</v>
      </c>
      <c r="DG23">
        <v>5.3011586264020645</v>
      </c>
      <c r="DH23">
        <v>377418681.65109557</v>
      </c>
      <c r="DI23">
        <v>0.12464847609400749</v>
      </c>
      <c r="DJ23">
        <v>2.2386192339374791</v>
      </c>
      <c r="DK23">
        <v>893745693.62601912</v>
      </c>
      <c r="DL23">
        <v>0.10906741658225655</v>
      </c>
      <c r="DM23">
        <v>26862900</v>
      </c>
      <c r="DN23">
        <v>0.15581059511750936</v>
      </c>
      <c r="DO23">
        <v>2000756300</v>
      </c>
      <c r="DP23">
        <v>895727900</v>
      </c>
      <c r="DQ23">
        <v>1071</v>
      </c>
      <c r="DR23">
        <v>-0.42723916654608074</v>
      </c>
      <c r="DS23">
        <v>-8.8488289623570957E-2</v>
      </c>
      <c r="DT23" s="9">
        <v>-0.15666666666666665</v>
      </c>
      <c r="DU23">
        <v>4.9999999999999968E-2</v>
      </c>
      <c r="DV23">
        <v>-0.10666666666666669</v>
      </c>
      <c r="DW23">
        <v>-2.1162999999999998</v>
      </c>
      <c r="DX23">
        <v>0.28608222698072822</v>
      </c>
      <c r="DY23">
        <v>-2.0123373629978585</v>
      </c>
      <c r="DZ23">
        <v>1952</v>
      </c>
      <c r="EA23">
        <v>-2.0076245386198117</v>
      </c>
      <c r="EB23">
        <v>2</v>
      </c>
      <c r="EC23">
        <v>5.2779466349569114E-2</v>
      </c>
      <c r="ED23">
        <v>0.49753354404180783</v>
      </c>
      <c r="EE23" s="10">
        <v>-2.0606100000000001</v>
      </c>
      <c r="EF23">
        <v>-2.08311</v>
      </c>
      <c r="EG23">
        <v>18.106082226980728</v>
      </c>
      <c r="EH23" t="s">
        <v>855</v>
      </c>
      <c r="EI23">
        <v>0</v>
      </c>
      <c r="EJ23">
        <v>0</v>
      </c>
      <c r="EK23" s="12">
        <v>45470</v>
      </c>
      <c r="EL23" s="13">
        <v>0</v>
      </c>
      <c r="EM23" s="13">
        <v>-4.49</v>
      </c>
      <c r="EN23" s="13">
        <v>1.96</v>
      </c>
      <c r="EO23" s="13">
        <v>2.69</v>
      </c>
      <c r="EP23" s="13">
        <v>-2.25</v>
      </c>
    </row>
    <row r="24" spans="1:146" ht="96" x14ac:dyDescent="0.25">
      <c r="A24" s="6"/>
      <c r="B24" s="6"/>
      <c r="C24" s="6" t="str">
        <f>""&amp;CHAR(10)&amp;Basic_Fundamental_Information_Constructure(F24)&amp;CHAR(10)&amp;Basic_Fundamental_Information_Concatenate("")</f>
        <v xml:space="preserve">
市值34.247298亿, 利润1.42亿; PE25.51; 平均PE31.25; 平均PEG1.3, PB2.03; ROIC11.5067%; ROE14.48%; 股利率1.5531%; 毛利18.6533%; 净利6.9467%; 上一年度营收增-3.13%, 利润增-30.73%; 当季营收增33.71%, 利润增-30.64%; 过往5年营收增24.04%, 利润增144.64%
Income profile:
</v>
      </c>
      <c r="D24" t="s">
        <v>286</v>
      </c>
      <c r="E24" t="s">
        <v>287</v>
      </c>
      <c r="F24">
        <v>12.27</v>
      </c>
      <c r="G24">
        <v>0</v>
      </c>
      <c r="H24" t="s">
        <v>1539</v>
      </c>
      <c r="I24">
        <v>3424729800</v>
      </c>
      <c r="J24">
        <v>25.51</v>
      </c>
      <c r="K24">
        <v>2.0299999999999998</v>
      </c>
      <c r="L24" t="s">
        <v>105</v>
      </c>
      <c r="M24" t="s">
        <v>257</v>
      </c>
      <c r="N24" t="s">
        <v>491</v>
      </c>
      <c r="O24" t="s">
        <v>755</v>
      </c>
      <c r="P24">
        <v>33.74</v>
      </c>
      <c r="Q24" t="s">
        <v>1540</v>
      </c>
      <c r="R24">
        <v>17056203</v>
      </c>
      <c r="S24" s="5">
        <v>-0.30640000000000001</v>
      </c>
      <c r="T24" t="s">
        <v>1108</v>
      </c>
      <c r="U24">
        <v>189155000</v>
      </c>
      <c r="V24">
        <v>279114080</v>
      </c>
      <c r="W24">
        <v>2.21</v>
      </c>
      <c r="X24">
        <v>0.19</v>
      </c>
      <c r="Y24">
        <v>2.39</v>
      </c>
      <c r="Z24" t="s">
        <v>1388</v>
      </c>
      <c r="AA24" t="s">
        <v>558</v>
      </c>
      <c r="AB24" t="s">
        <v>1541</v>
      </c>
      <c r="AC24" t="s">
        <v>1542</v>
      </c>
      <c r="AD24" t="s">
        <v>5</v>
      </c>
      <c r="AE24">
        <v>5555516</v>
      </c>
      <c r="AF24" t="s">
        <v>1543</v>
      </c>
      <c r="AG24" t="s">
        <v>5</v>
      </c>
      <c r="AH24" t="s">
        <v>1544</v>
      </c>
      <c r="AI24" t="s">
        <v>125</v>
      </c>
      <c r="AJ24" t="s">
        <v>1545</v>
      </c>
      <c r="AK24" t="s">
        <v>867</v>
      </c>
      <c r="AL24" t="s">
        <v>1546</v>
      </c>
      <c r="AM24" t="s">
        <v>5</v>
      </c>
      <c r="AN24" t="s">
        <v>746</v>
      </c>
      <c r="AO24" t="s">
        <v>1331</v>
      </c>
      <c r="AP24" t="s">
        <v>1547</v>
      </c>
      <c r="AQ24" t="s">
        <v>637</v>
      </c>
      <c r="AR24" t="s">
        <v>5</v>
      </c>
      <c r="AS24" t="s">
        <v>836</v>
      </c>
      <c r="AT24" t="s">
        <v>53</v>
      </c>
      <c r="AU24" t="s">
        <v>261</v>
      </c>
      <c r="AV24" t="s">
        <v>1548</v>
      </c>
      <c r="AW24" t="s">
        <v>652</v>
      </c>
      <c r="AX24" t="s">
        <v>1549</v>
      </c>
      <c r="AY24" t="s">
        <v>542</v>
      </c>
      <c r="AZ24" t="s">
        <v>288</v>
      </c>
      <c r="BA24" t="s">
        <v>217</v>
      </c>
      <c r="BB24" t="s">
        <v>290</v>
      </c>
      <c r="BC24" t="s">
        <v>589</v>
      </c>
      <c r="BD24" t="s">
        <v>343</v>
      </c>
      <c r="BE24" t="s">
        <v>289</v>
      </c>
      <c r="BF24" t="s">
        <v>291</v>
      </c>
      <c r="BG24" t="s">
        <v>292</v>
      </c>
      <c r="BH24" t="s">
        <v>1540</v>
      </c>
      <c r="BI24" t="s">
        <v>1550</v>
      </c>
      <c r="BJ24" t="s">
        <v>1549</v>
      </c>
      <c r="BK24" t="s">
        <v>1108</v>
      </c>
      <c r="BL24" t="s">
        <v>1551</v>
      </c>
      <c r="BM24" t="s">
        <v>589</v>
      </c>
      <c r="BN24">
        <v>5.4</v>
      </c>
      <c r="BO24">
        <v>12.83</v>
      </c>
      <c r="BP24">
        <v>16.29</v>
      </c>
      <c r="BQ24">
        <v>6.53</v>
      </c>
      <c r="BR24">
        <v>15.76</v>
      </c>
      <c r="BS24">
        <v>21.15</v>
      </c>
      <c r="BT24" t="s">
        <v>1552</v>
      </c>
      <c r="BU24" t="s">
        <v>627</v>
      </c>
      <c r="BV24">
        <v>16.57</v>
      </c>
      <c r="BW24">
        <v>19.14</v>
      </c>
      <c r="BX24">
        <v>20.25</v>
      </c>
      <c r="BY24">
        <v>4.9000000000000004</v>
      </c>
      <c r="BZ24">
        <v>7.11</v>
      </c>
      <c r="CA24">
        <v>8.83</v>
      </c>
      <c r="CB24">
        <v>-3.84</v>
      </c>
      <c r="CC24">
        <v>-15.79</v>
      </c>
      <c r="CD24" t="s">
        <v>1553</v>
      </c>
      <c r="CE24" t="s">
        <v>1554</v>
      </c>
      <c r="CF24" s="7">
        <v>0.33709981167608299</v>
      </c>
      <c r="CG24" s="8">
        <v>-0.30639055732904985</v>
      </c>
      <c r="CH24" s="7">
        <v>-3.1343821436166763E-2</v>
      </c>
      <c r="CI24" s="7">
        <v>0.24439842998981476</v>
      </c>
      <c r="CJ24" s="7">
        <v>0.62398910522460938</v>
      </c>
      <c r="CK24" s="7">
        <v>0.11327837407588959</v>
      </c>
      <c r="CL24" s="7">
        <v>0.25164312124252319</v>
      </c>
      <c r="CM24" s="8">
        <v>-0.30731707811355591</v>
      </c>
      <c r="CN24" s="8">
        <v>-4.8543689772486687E-3</v>
      </c>
      <c r="CO24" s="8">
        <v>1.7306685447692871</v>
      </c>
      <c r="CP24" s="8">
        <v>6.2585344314575195</v>
      </c>
      <c r="CQ24" s="8">
        <v>-0.44520482420921326</v>
      </c>
      <c r="CR24">
        <v>31.249150351447614</v>
      </c>
      <c r="CS24">
        <v>1.2999190872975737</v>
      </c>
      <c r="CT24">
        <v>1.5530896495517523</v>
      </c>
      <c r="CU24" s="7">
        <v>0.24039304181933402</v>
      </c>
      <c r="CV24" s="8">
        <v>1.4463653409853579</v>
      </c>
      <c r="CW24">
        <v>0.06</v>
      </c>
      <c r="CX24">
        <v>21.669492115186792</v>
      </c>
      <c r="CY24">
        <v>166165860.31919381</v>
      </c>
      <c r="CZ24">
        <v>0.24039304181933402</v>
      </c>
      <c r="DA24">
        <v>6.2487239348994761</v>
      </c>
      <c r="DB24">
        <v>576234418.02088916</v>
      </c>
      <c r="DC24">
        <v>0.22837338972836732</v>
      </c>
      <c r="DD24">
        <v>2.579789289517719</v>
      </c>
      <c r="DE24">
        <v>1395745696.9957192</v>
      </c>
      <c r="DF24">
        <v>0.21154587680101394</v>
      </c>
      <c r="DG24">
        <v>1.2549616040435025</v>
      </c>
      <c r="DH24">
        <v>2869195191.6284943</v>
      </c>
      <c r="DI24">
        <v>0.19231443345546723</v>
      </c>
      <c r="DJ24">
        <v>0.39201201458769624</v>
      </c>
      <c r="DK24">
        <v>9185253681.030962</v>
      </c>
      <c r="DL24">
        <v>0.1682751292735338</v>
      </c>
      <c r="DM24">
        <v>142000000</v>
      </c>
      <c r="DN24">
        <v>0.24039304181933402</v>
      </c>
      <c r="DO24">
        <v>3600729800</v>
      </c>
      <c r="DP24">
        <v>898057700</v>
      </c>
      <c r="DQ24">
        <v>1295</v>
      </c>
      <c r="DR24">
        <v>9.6706769856748975E-2</v>
      </c>
      <c r="DS24">
        <v>-1.7527558983144078</v>
      </c>
      <c r="DT24" s="9">
        <v>7.6666666666666661E-2</v>
      </c>
      <c r="DU24">
        <v>0.24000000000000002</v>
      </c>
      <c r="DV24">
        <v>0.31666666666666665</v>
      </c>
      <c r="DW24">
        <v>-8.2431918936035462</v>
      </c>
      <c r="DX24">
        <v>0.51356459117153463</v>
      </c>
      <c r="DY24">
        <v>-8.0324818258453892</v>
      </c>
      <c r="DZ24">
        <v>1011</v>
      </c>
      <c r="EA24">
        <v>-8.0260553824149223</v>
      </c>
      <c r="EB24">
        <v>8</v>
      </c>
      <c r="EC24">
        <v>2.9024691266022837E-2</v>
      </c>
      <c r="ED24">
        <v>0.21730827767628205</v>
      </c>
      <c r="EE24" s="10">
        <v>-2.0457000000000001</v>
      </c>
      <c r="EF24">
        <v>-2.0196000000000001</v>
      </c>
      <c r="EG24">
        <v>38.133564591171535</v>
      </c>
      <c r="EH24" t="s">
        <v>823</v>
      </c>
      <c r="EI24">
        <v>0</v>
      </c>
      <c r="EJ24">
        <v>1</v>
      </c>
      <c r="EK24" s="12">
        <v>45470</v>
      </c>
      <c r="EL24" s="13">
        <v>0</v>
      </c>
      <c r="EM24" s="13">
        <v>-6.3</v>
      </c>
      <c r="EN24" s="13">
        <v>2.92</v>
      </c>
      <c r="EO24" s="13">
        <v>2.52</v>
      </c>
      <c r="EP24" s="13">
        <v>-2.61</v>
      </c>
    </row>
    <row r="25" spans="1:146" ht="96" x14ac:dyDescent="0.25">
      <c r="A25" s="6"/>
      <c r="B25" s="6"/>
      <c r="C25" s="6" t="str">
        <f>""&amp;CHAR(10)&amp;Basic_Fundamental_Information_Constructure(F25)&amp;CHAR(10)&amp;Basic_Fundamental_Information_Concatenate("")</f>
        <v xml:space="preserve">
市值38.309879亿, 利润1.81亿; PE17.5; 平均PE39.2; 平均PEG2.03, PB1.52; ROIC5.015%; ROE2.2867%; 股利率0%; 毛利11.6133%; 净利1.14%; 上一年度营收增10.59%, 利润增263.06%; 当季营收增7.79%, 利润增177.6%; 过往5年营收增19.33%, 利润增29.9%
Income profile:
</v>
      </c>
      <c r="D25" t="s">
        <v>293</v>
      </c>
      <c r="E25" t="s">
        <v>294</v>
      </c>
      <c r="F25">
        <v>15.45</v>
      </c>
      <c r="G25">
        <v>1.71</v>
      </c>
      <c r="H25" t="s">
        <v>1555</v>
      </c>
      <c r="I25">
        <v>3830987900</v>
      </c>
      <c r="J25">
        <v>17.5</v>
      </c>
      <c r="K25">
        <v>1.52</v>
      </c>
      <c r="L25" t="s">
        <v>105</v>
      </c>
      <c r="M25" t="s">
        <v>1556</v>
      </c>
      <c r="N25" t="s">
        <v>810</v>
      </c>
      <c r="O25" t="s">
        <v>1557</v>
      </c>
      <c r="P25">
        <v>7.85</v>
      </c>
      <c r="Q25" t="s">
        <v>1558</v>
      </c>
      <c r="R25">
        <v>58713254</v>
      </c>
      <c r="S25" s="5">
        <v>1.776</v>
      </c>
      <c r="T25" t="s">
        <v>34</v>
      </c>
      <c r="U25">
        <v>247857450</v>
      </c>
      <c r="V25">
        <v>247960380</v>
      </c>
      <c r="W25">
        <v>2.2200000000000002</v>
      </c>
      <c r="X25">
        <v>0.24</v>
      </c>
      <c r="Y25">
        <v>4.13</v>
      </c>
      <c r="Z25" t="s">
        <v>1559</v>
      </c>
      <c r="AA25" t="s">
        <v>1560</v>
      </c>
      <c r="AB25" t="s">
        <v>1561</v>
      </c>
      <c r="AC25" t="s">
        <v>1562</v>
      </c>
      <c r="AD25" t="s">
        <v>5</v>
      </c>
      <c r="AE25">
        <v>24342781</v>
      </c>
      <c r="AF25" t="s">
        <v>1563</v>
      </c>
      <c r="AG25" t="s">
        <v>1564</v>
      </c>
      <c r="AH25" t="s">
        <v>1565</v>
      </c>
      <c r="AI25" t="s">
        <v>1566</v>
      </c>
      <c r="AJ25" t="s">
        <v>1567</v>
      </c>
      <c r="AK25" t="s">
        <v>154</v>
      </c>
      <c r="AL25" t="s">
        <v>1568</v>
      </c>
      <c r="AM25" t="s">
        <v>5</v>
      </c>
      <c r="AN25" t="s">
        <v>1569</v>
      </c>
      <c r="AO25" t="s">
        <v>1511</v>
      </c>
      <c r="AP25" t="s">
        <v>1570</v>
      </c>
      <c r="AQ25" t="s">
        <v>229</v>
      </c>
      <c r="AR25" t="s">
        <v>1571</v>
      </c>
      <c r="AS25" t="s">
        <v>1572</v>
      </c>
      <c r="AT25" t="s">
        <v>102</v>
      </c>
      <c r="AU25" t="s">
        <v>1573</v>
      </c>
      <c r="AV25" t="s">
        <v>1574</v>
      </c>
      <c r="AW25" t="s">
        <v>1575</v>
      </c>
      <c r="AX25" t="s">
        <v>881</v>
      </c>
      <c r="AY25" t="s">
        <v>543</v>
      </c>
      <c r="AZ25" t="s">
        <v>295</v>
      </c>
      <c r="BA25" t="s">
        <v>296</v>
      </c>
      <c r="BB25" t="s">
        <v>297</v>
      </c>
      <c r="BC25" t="s">
        <v>880</v>
      </c>
      <c r="BD25" t="s">
        <v>66</v>
      </c>
      <c r="BE25" t="s">
        <v>61</v>
      </c>
      <c r="BF25" t="s">
        <v>73</v>
      </c>
      <c r="BG25" t="s">
        <v>298</v>
      </c>
      <c r="BH25" t="s">
        <v>1558</v>
      </c>
      <c r="BI25" t="s">
        <v>787</v>
      </c>
      <c r="BJ25" t="s">
        <v>881</v>
      </c>
      <c r="BK25" t="s">
        <v>34</v>
      </c>
      <c r="BL25" t="s">
        <v>1576</v>
      </c>
      <c r="BM25" t="s">
        <v>880</v>
      </c>
      <c r="BN25">
        <v>4.49</v>
      </c>
      <c r="BO25" t="s">
        <v>5</v>
      </c>
      <c r="BP25">
        <v>5.54</v>
      </c>
      <c r="BQ25">
        <v>5.72</v>
      </c>
      <c r="BR25">
        <v>-5.21</v>
      </c>
      <c r="BS25">
        <v>6.35</v>
      </c>
      <c r="BT25" t="s">
        <v>733</v>
      </c>
      <c r="BU25" t="s">
        <v>627</v>
      </c>
      <c r="BV25">
        <v>12.61</v>
      </c>
      <c r="BW25">
        <v>10.210000000000001</v>
      </c>
      <c r="BX25">
        <v>12.02</v>
      </c>
      <c r="BY25">
        <v>3.03</v>
      </c>
      <c r="BZ25">
        <v>-2.0699999999999998</v>
      </c>
      <c r="CA25">
        <v>2.46</v>
      </c>
      <c r="CB25">
        <v>0.65</v>
      </c>
      <c r="CC25">
        <v>-14.21</v>
      </c>
      <c r="CD25" t="s">
        <v>1577</v>
      </c>
      <c r="CE25" t="s">
        <v>1578</v>
      </c>
      <c r="CF25" s="7">
        <v>7.792207792207792E-2</v>
      </c>
      <c r="CG25" s="8">
        <v>1.7759747523699203</v>
      </c>
      <c r="CH25" s="7">
        <v>0.10585620999336243</v>
      </c>
      <c r="CI25" s="7">
        <v>-3.3392824232578278E-2</v>
      </c>
      <c r="CJ25" s="7">
        <v>0.62932795286178589</v>
      </c>
      <c r="CK25" s="7">
        <v>0.15801884233951569</v>
      </c>
      <c r="CL25" s="7">
        <v>0.1066368892788887</v>
      </c>
      <c r="CM25" s="8">
        <v>2.6306307315826416</v>
      </c>
      <c r="CN25" s="8">
        <v>-1.7985610961914062</v>
      </c>
      <c r="CO25" s="8">
        <v>0.1982758641242981</v>
      </c>
      <c r="CP25" s="8">
        <v>-0.30538922548294067</v>
      </c>
      <c r="CQ25" s="8">
        <v>0.77022111415863037</v>
      </c>
      <c r="CR25">
        <v>39.202486959324695</v>
      </c>
      <c r="CS25">
        <v>2.0281755807666695</v>
      </c>
      <c r="CT25">
        <v>0</v>
      </c>
      <c r="CU25" s="7">
        <v>0.19328941404819489</v>
      </c>
      <c r="CV25" s="8">
        <v>0.29903547763824462</v>
      </c>
      <c r="CW25">
        <v>0.06</v>
      </c>
      <c r="CX25">
        <v>22.658973883611644</v>
      </c>
      <c r="CY25">
        <v>203759796.17238045</v>
      </c>
      <c r="CZ25">
        <v>0.19328941404819489</v>
      </c>
      <c r="DA25">
        <v>6.791763772776366</v>
      </c>
      <c r="DB25">
        <v>679792179.83205092</v>
      </c>
      <c r="DC25">
        <v>0.18362494334578514</v>
      </c>
      <c r="DD25">
        <v>2.9659244906712821</v>
      </c>
      <c r="DE25">
        <v>1556677492.8093433</v>
      </c>
      <c r="DF25">
        <v>0.17009468436241151</v>
      </c>
      <c r="DG25">
        <v>1.5466908104494332</v>
      </c>
      <c r="DH25">
        <v>2985074889.439867</v>
      </c>
      <c r="DI25">
        <v>0.15463153123855591</v>
      </c>
      <c r="DJ25">
        <v>0.57438317909813186</v>
      </c>
      <c r="DK25">
        <v>8038166972.872303</v>
      </c>
      <c r="DL25">
        <v>0.13530258983373641</v>
      </c>
      <c r="DM25">
        <v>181000000</v>
      </c>
      <c r="DN25">
        <v>0.19328941404819489</v>
      </c>
      <c r="DO25">
        <v>4616987900</v>
      </c>
      <c r="DP25">
        <v>1282506600</v>
      </c>
      <c r="DQ25">
        <v>1446</v>
      </c>
      <c r="DR25">
        <v>-0.11536733612611696</v>
      </c>
      <c r="DS25">
        <v>1.4769392747316756</v>
      </c>
      <c r="DT25" s="9">
        <v>-5.6666666666666719E-2</v>
      </c>
      <c r="DU25">
        <v>1.999999999999998E-2</v>
      </c>
      <c r="DV25">
        <v>-3.6666666666666736E-2</v>
      </c>
      <c r="DW25">
        <v>-2.1421000000000001</v>
      </c>
      <c r="DX25">
        <v>0.37882015288522708</v>
      </c>
      <c r="DY25">
        <v>-2.0197263437249906</v>
      </c>
      <c r="DZ25">
        <v>1797</v>
      </c>
      <c r="EA25">
        <v>-2.0127893105207231</v>
      </c>
      <c r="EB25">
        <v>2</v>
      </c>
      <c r="EC25">
        <v>3.6516317647198315E-2</v>
      </c>
      <c r="ED25">
        <v>0.26304766914778888</v>
      </c>
      <c r="EE25" s="10">
        <v>-1.07721</v>
      </c>
      <c r="EF25">
        <v>-1.1062099999999999</v>
      </c>
      <c r="EG25">
        <v>24.138820152885227</v>
      </c>
      <c r="EH25" t="s">
        <v>598</v>
      </c>
      <c r="EI25">
        <v>0</v>
      </c>
      <c r="EJ25">
        <v>0</v>
      </c>
      <c r="EK25" s="12">
        <v>45470</v>
      </c>
      <c r="EL25" s="13">
        <v>-0.94</v>
      </c>
      <c r="EM25" s="13">
        <v>-4.5</v>
      </c>
      <c r="EN25" s="13">
        <v>0.93</v>
      </c>
      <c r="EO25" s="13">
        <v>4.34</v>
      </c>
      <c r="EP25" s="13">
        <v>-2.9</v>
      </c>
    </row>
    <row r="26" spans="1:146" ht="144" x14ac:dyDescent="0.25">
      <c r="A26" s="6"/>
      <c r="B26" s="6"/>
      <c r="C26" s="6" t="str">
        <f>"公司主营业务为循环经济领域再生铝合金锭（液）系列产品的生产和销售，公司的主要产品为各种牌号的再生铝合金锭（液）。"&amp;CHAR(10)&amp;Basic_Fundamental_Information_Constructure(F26)&amp;CHAR(10)&amp;Basic_Fundamental_Information_Concatenate("铝合金锭 96.72亿 96.86% 90.30% 5.21%
其他业务收入 2.15亿 2.15% 10.31% 26.77%
延压铝材 6372.45万 0.64% -0.61% -5.34%")</f>
        <v>公司主营业务为循环经济领域再生铝合金锭（液）系列产品的生产和销售，公司的主要产品为各种牌号的再生铝合金锭（液）。
市值39.496728亿, 利润1.25亿; PE31.33; 平均PE20.17; 平均PEG.73, PB1.27; ROIC7.0467%; ROE9.6467%; 股利率1.6949%; 毛利3.2867%; 净利2.2533%; 上一年度营收增7.94%, 利润增-37.5%; 当季营收增29.8%, 利润增2.2%; 过往5年营收增27.63%, 利润增5.76%
Income profile:
铝合金锭 96.72亿 96.86% 90.30% 5.21%
其他业务收入 2.15亿 2.15% 10.31% 26.77%
延压铝材 6372.45万 0.64% -0.61% -5.34%</v>
      </c>
      <c r="D26" t="s">
        <v>299</v>
      </c>
      <c r="E26" t="s">
        <v>300</v>
      </c>
      <c r="F26">
        <v>5.9</v>
      </c>
      <c r="G26">
        <v>1.55</v>
      </c>
      <c r="H26" t="s">
        <v>1579</v>
      </c>
      <c r="I26">
        <v>3949672800</v>
      </c>
      <c r="J26">
        <v>31.33</v>
      </c>
      <c r="K26">
        <v>1.27</v>
      </c>
      <c r="L26" t="s">
        <v>105</v>
      </c>
      <c r="M26" t="s">
        <v>1580</v>
      </c>
      <c r="N26" t="s">
        <v>1581</v>
      </c>
      <c r="O26" t="s">
        <v>129</v>
      </c>
      <c r="P26">
        <v>29.77</v>
      </c>
      <c r="Q26" t="s">
        <v>1582</v>
      </c>
      <c r="R26">
        <v>51719737</v>
      </c>
      <c r="S26" s="5">
        <v>2.1999999999999999E-2</v>
      </c>
      <c r="T26" t="s">
        <v>71</v>
      </c>
      <c r="U26">
        <v>328481760</v>
      </c>
      <c r="V26">
        <v>669436060</v>
      </c>
      <c r="W26">
        <v>2.64</v>
      </c>
      <c r="X26">
        <v>0.36</v>
      </c>
      <c r="Y26">
        <v>1.78</v>
      </c>
      <c r="Z26" t="s">
        <v>1583</v>
      </c>
      <c r="AA26" t="s">
        <v>1584</v>
      </c>
      <c r="AB26" t="s">
        <v>1585</v>
      </c>
      <c r="AC26" t="s">
        <v>1586</v>
      </c>
      <c r="AD26" t="s">
        <v>5</v>
      </c>
      <c r="AE26">
        <v>35603011</v>
      </c>
      <c r="AF26" t="s">
        <v>1587</v>
      </c>
      <c r="AG26" t="s">
        <v>1588</v>
      </c>
      <c r="AH26" t="s">
        <v>1589</v>
      </c>
      <c r="AI26" t="s">
        <v>1314</v>
      </c>
      <c r="AJ26" t="s">
        <v>1590</v>
      </c>
      <c r="AK26" t="s">
        <v>1591</v>
      </c>
      <c r="AL26" t="s">
        <v>1592</v>
      </c>
      <c r="AM26" t="s">
        <v>5</v>
      </c>
      <c r="AN26" t="s">
        <v>634</v>
      </c>
      <c r="AO26" t="s">
        <v>1593</v>
      </c>
      <c r="AP26" t="s">
        <v>656</v>
      </c>
      <c r="AQ26" t="s">
        <v>1594</v>
      </c>
      <c r="AR26" t="s">
        <v>1595</v>
      </c>
      <c r="AS26" t="s">
        <v>1596</v>
      </c>
      <c r="AT26" t="s">
        <v>1384</v>
      </c>
      <c r="AU26" t="s">
        <v>1597</v>
      </c>
      <c r="AV26" t="s">
        <v>1598</v>
      </c>
      <c r="AW26" t="s">
        <v>500</v>
      </c>
      <c r="AX26" t="s">
        <v>882</v>
      </c>
      <c r="AY26" t="s">
        <v>544</v>
      </c>
      <c r="AZ26" t="s">
        <v>301</v>
      </c>
      <c r="BA26" t="s">
        <v>302</v>
      </c>
      <c r="BB26" t="s">
        <v>303</v>
      </c>
      <c r="BC26" t="s">
        <v>744</v>
      </c>
      <c r="BD26" t="s">
        <v>102</v>
      </c>
      <c r="BE26" t="s">
        <v>70</v>
      </c>
      <c r="BF26" t="s">
        <v>304</v>
      </c>
      <c r="BG26" t="s">
        <v>64</v>
      </c>
      <c r="BH26" t="s">
        <v>1582</v>
      </c>
      <c r="BI26" t="s">
        <v>1599</v>
      </c>
      <c r="BJ26" t="s">
        <v>882</v>
      </c>
      <c r="BK26" t="s">
        <v>71</v>
      </c>
      <c r="BL26" t="s">
        <v>1600</v>
      </c>
      <c r="BM26" t="s">
        <v>744</v>
      </c>
      <c r="BN26">
        <v>2.6</v>
      </c>
      <c r="BO26">
        <v>5.81</v>
      </c>
      <c r="BP26">
        <v>12.73</v>
      </c>
      <c r="BQ26">
        <v>3.36</v>
      </c>
      <c r="BR26">
        <v>8.69</v>
      </c>
      <c r="BS26">
        <v>16.89</v>
      </c>
      <c r="BT26" t="s">
        <v>1601</v>
      </c>
      <c r="BU26" t="s">
        <v>627</v>
      </c>
      <c r="BV26">
        <v>1.52</v>
      </c>
      <c r="BW26">
        <v>2.75</v>
      </c>
      <c r="BX26">
        <v>5.59</v>
      </c>
      <c r="BY26">
        <v>1.02</v>
      </c>
      <c r="BZ26">
        <v>1.87</v>
      </c>
      <c r="CA26">
        <v>3.87</v>
      </c>
      <c r="CB26">
        <v>0.85</v>
      </c>
      <c r="CC26">
        <v>-13.72</v>
      </c>
      <c r="CD26" t="s">
        <v>1602</v>
      </c>
      <c r="CE26" t="s">
        <v>799</v>
      </c>
      <c r="CF26" s="7">
        <v>0.29798657718120808</v>
      </c>
      <c r="CG26" s="8">
        <v>2.1975691398129923E-2</v>
      </c>
      <c r="CH26" s="7">
        <v>7.9432450234889984E-2</v>
      </c>
      <c r="CI26" s="7">
        <v>0.10826238244771957</v>
      </c>
      <c r="CJ26" s="7">
        <v>1.0507291555404663</v>
      </c>
      <c r="CK26" s="7">
        <v>0.118538998067379</v>
      </c>
      <c r="CL26" s="7">
        <v>2.4476347491145134E-2</v>
      </c>
      <c r="CM26" s="8">
        <v>-0.375</v>
      </c>
      <c r="CN26" s="8">
        <v>-0.41520467400550842</v>
      </c>
      <c r="CO26" s="8">
        <v>0.74489796161651611</v>
      </c>
      <c r="CP26" s="8">
        <v>0.1666666716337204</v>
      </c>
      <c r="CQ26" s="8">
        <v>0.1666666716337204</v>
      </c>
      <c r="CR26">
        <v>20.168541957446809</v>
      </c>
      <c r="CS26">
        <v>0.72998290494005058</v>
      </c>
      <c r="CT26">
        <v>1.6949152542372881</v>
      </c>
      <c r="CU26" s="7">
        <v>0.27628786675632</v>
      </c>
      <c r="CV26" s="8">
        <v>5.7605326175689697E-2</v>
      </c>
      <c r="CW26">
        <v>0.06</v>
      </c>
      <c r="CX26">
        <v>37.617677480566911</v>
      </c>
      <c r="CY26">
        <v>150505644.66466036</v>
      </c>
      <c r="CZ26">
        <v>0.27628786675632</v>
      </c>
      <c r="DA26">
        <v>10.535822011098739</v>
      </c>
      <c r="DB26">
        <v>537373618.69209921</v>
      </c>
      <c r="DC26">
        <v>0.26247347341850397</v>
      </c>
      <c r="DD26">
        <v>4.1656306983111149</v>
      </c>
      <c r="DE26">
        <v>1359139398.0977311</v>
      </c>
      <c r="DF26">
        <v>0.2431333227455616</v>
      </c>
      <c r="DG26">
        <v>1.9185567400550856</v>
      </c>
      <c r="DH26">
        <v>2951006181.7809162</v>
      </c>
      <c r="DI26">
        <v>0.22103029340505601</v>
      </c>
      <c r="DJ26">
        <v>0.52165437934337033</v>
      </c>
      <c r="DK26">
        <v>10853302539.368309</v>
      </c>
      <c r="DL26">
        <v>0.19340150672942399</v>
      </c>
      <c r="DM26">
        <v>125000000</v>
      </c>
      <c r="DN26">
        <v>0.27628786675632</v>
      </c>
      <c r="DO26">
        <v>5661672800</v>
      </c>
      <c r="DP26">
        <v>2775760400</v>
      </c>
      <c r="DQ26">
        <v>1453</v>
      </c>
      <c r="DR26">
        <v>2.1698710424888079E-2</v>
      </c>
      <c r="DS26">
        <v>-3.5629634777559774E-2</v>
      </c>
      <c r="DT26" s="9">
        <v>-0.17333333333333334</v>
      </c>
      <c r="DU26">
        <v>0.16666666666666666</v>
      </c>
      <c r="DV26">
        <v>-6.6666666666666818E-3</v>
      </c>
      <c r="DW26">
        <v>-2.1372</v>
      </c>
      <c r="DX26">
        <v>0.33349624060150473</v>
      </c>
      <c r="DY26">
        <v>-2.0141996842105265</v>
      </c>
      <c r="DZ26">
        <v>1726</v>
      </c>
      <c r="EA26">
        <v>-2.009403469935112</v>
      </c>
      <c r="EB26">
        <v>2</v>
      </c>
      <c r="EC26">
        <v>2.0562083255568873E-2</v>
      </c>
      <c r="ED26">
        <v>0.19867468746753797</v>
      </c>
      <c r="EE26" s="10">
        <v>-3.0964100000000001</v>
      </c>
      <c r="EF26">
        <v>-3.1181100000000002</v>
      </c>
      <c r="EG26">
        <v>23.103496240601505</v>
      </c>
      <c r="EH26" t="s">
        <v>888</v>
      </c>
      <c r="EI26">
        <v>0</v>
      </c>
      <c r="EJ26">
        <v>0</v>
      </c>
      <c r="EK26" s="12">
        <v>45470</v>
      </c>
      <c r="EL26" s="13">
        <v>-0.66</v>
      </c>
      <c r="EM26" s="13">
        <v>-4.83</v>
      </c>
      <c r="EN26" s="13">
        <v>1.23</v>
      </c>
      <c r="EO26" s="13">
        <v>3.63</v>
      </c>
      <c r="EP26" s="13">
        <v>-2.17</v>
      </c>
    </row>
    <row r="27" spans="1:146" ht="96" x14ac:dyDescent="0.25">
      <c r="A27" s="6"/>
      <c r="B27" s="6"/>
      <c r="C27" s="6" t="str">
        <f>""&amp;CHAR(10)&amp;Basic_Fundamental_Information_Constructure(F27)&amp;CHAR(10)&amp;Basic_Fundamental_Information_Concatenate("")</f>
        <v xml:space="preserve">
市值35.247978亿, 利润3.02亿; PE11.11; 平均PE27.08; 平均PEG.46, PB1.15; ROIC8.2067%; ROE12.6233%; 股利率2.8289%; 毛利12.38%; 净利4.5133%; 上一年度营收增61.6%, 利润增60.64%; 当季营收增42.12%, 利润增56.72%; 过往5年营收增59.25%, 利润增98.72%
Income profile:
</v>
      </c>
      <c r="D27" t="s">
        <v>305</v>
      </c>
      <c r="E27" t="s">
        <v>306</v>
      </c>
      <c r="F27">
        <v>14.14</v>
      </c>
      <c r="G27">
        <v>1.43</v>
      </c>
      <c r="H27" t="s">
        <v>1603</v>
      </c>
      <c r="I27">
        <v>3524797800</v>
      </c>
      <c r="J27">
        <v>11.11</v>
      </c>
      <c r="K27">
        <v>1.1499999999999999</v>
      </c>
      <c r="L27" t="s">
        <v>105</v>
      </c>
      <c r="M27" t="s">
        <v>1604</v>
      </c>
      <c r="N27" t="s">
        <v>1605</v>
      </c>
      <c r="O27" t="s">
        <v>1606</v>
      </c>
      <c r="P27">
        <v>42.1</v>
      </c>
      <c r="Q27" t="s">
        <v>1607</v>
      </c>
      <c r="R27">
        <v>41065455</v>
      </c>
      <c r="S27" s="5">
        <v>0.56720000000000004</v>
      </c>
      <c r="T27" t="s">
        <v>1028</v>
      </c>
      <c r="U27">
        <v>128322937</v>
      </c>
      <c r="V27">
        <v>249278490</v>
      </c>
      <c r="W27">
        <v>2.92</v>
      </c>
      <c r="X27">
        <v>0.2</v>
      </c>
      <c r="Y27">
        <v>2.3199999999999998</v>
      </c>
      <c r="Z27" t="s">
        <v>1608</v>
      </c>
      <c r="AA27" t="s">
        <v>1609</v>
      </c>
      <c r="AB27" t="s">
        <v>1610</v>
      </c>
      <c r="AC27" t="s">
        <v>1611</v>
      </c>
      <c r="AD27" t="s">
        <v>5</v>
      </c>
      <c r="AE27">
        <v>24369045</v>
      </c>
      <c r="AF27" t="s">
        <v>1612</v>
      </c>
      <c r="AG27" t="s">
        <v>1613</v>
      </c>
      <c r="AH27" t="s">
        <v>1614</v>
      </c>
      <c r="AI27" t="s">
        <v>1615</v>
      </c>
      <c r="AJ27" t="s">
        <v>1616</v>
      </c>
      <c r="AK27" t="s">
        <v>1617</v>
      </c>
      <c r="AL27" t="s">
        <v>1618</v>
      </c>
      <c r="AM27" t="s">
        <v>5</v>
      </c>
      <c r="AN27" t="s">
        <v>1433</v>
      </c>
      <c r="AO27" t="s">
        <v>1619</v>
      </c>
      <c r="AP27" t="s">
        <v>1620</v>
      </c>
      <c r="AQ27" t="s">
        <v>813</v>
      </c>
      <c r="AR27" t="s">
        <v>5</v>
      </c>
      <c r="AS27" t="s">
        <v>1621</v>
      </c>
      <c r="AT27" t="s">
        <v>1388</v>
      </c>
      <c r="AU27" t="s">
        <v>1622</v>
      </c>
      <c r="AV27" t="s">
        <v>1623</v>
      </c>
      <c r="AW27" t="s">
        <v>221</v>
      </c>
      <c r="AX27" t="s">
        <v>883</v>
      </c>
      <c r="AY27" t="s">
        <v>545</v>
      </c>
      <c r="AZ27" t="s">
        <v>307</v>
      </c>
      <c r="BA27" t="s">
        <v>309</v>
      </c>
      <c r="BB27" t="s">
        <v>94</v>
      </c>
      <c r="BC27" t="s">
        <v>738</v>
      </c>
      <c r="BD27" t="s">
        <v>74</v>
      </c>
      <c r="BE27" t="s">
        <v>308</v>
      </c>
      <c r="BF27" t="s">
        <v>310</v>
      </c>
      <c r="BG27" t="s">
        <v>311</v>
      </c>
      <c r="BH27" t="s">
        <v>1607</v>
      </c>
      <c r="BI27" t="s">
        <v>481</v>
      </c>
      <c r="BJ27" t="s">
        <v>883</v>
      </c>
      <c r="BK27" t="s">
        <v>1028</v>
      </c>
      <c r="BL27" t="s">
        <v>1624</v>
      </c>
      <c r="BM27" t="s">
        <v>738</v>
      </c>
      <c r="BN27">
        <v>4.92</v>
      </c>
      <c r="BO27">
        <v>8.01</v>
      </c>
      <c r="BP27">
        <v>11.69</v>
      </c>
      <c r="BQ27">
        <v>10.65</v>
      </c>
      <c r="BR27">
        <v>12.55</v>
      </c>
      <c r="BS27">
        <v>14.67</v>
      </c>
      <c r="BT27" t="s">
        <v>1625</v>
      </c>
      <c r="BU27" t="s">
        <v>627</v>
      </c>
      <c r="BV27">
        <v>12.47</v>
      </c>
      <c r="BW27">
        <v>11.55</v>
      </c>
      <c r="BX27">
        <v>13.12</v>
      </c>
      <c r="BY27">
        <v>4.43</v>
      </c>
      <c r="BZ27">
        <v>4.45</v>
      </c>
      <c r="CA27">
        <v>4.66</v>
      </c>
      <c r="CB27">
        <v>-4.2699999999999996</v>
      </c>
      <c r="CC27">
        <v>-25.3</v>
      </c>
      <c r="CD27" t="s">
        <v>1626</v>
      </c>
      <c r="CE27" t="s">
        <v>1627</v>
      </c>
      <c r="CF27" s="7">
        <v>0.4212218649517685</v>
      </c>
      <c r="CG27" s="8">
        <v>0.56722227098734102</v>
      </c>
      <c r="CH27" s="7">
        <v>0.61596786975860596</v>
      </c>
      <c r="CI27" s="7">
        <v>0.62533694505691528</v>
      </c>
      <c r="CJ27" s="7">
        <v>1.0178709030151367</v>
      </c>
      <c r="CK27" s="7">
        <v>0.39285722374916077</v>
      </c>
      <c r="CL27" s="7">
        <v>0.31063830852508545</v>
      </c>
      <c r="CM27" s="8">
        <v>0.60638296604156494</v>
      </c>
      <c r="CN27" s="8">
        <v>0.55371898412704468</v>
      </c>
      <c r="CO27" s="8">
        <v>0.33000355958938599</v>
      </c>
      <c r="CP27" s="8">
        <v>0.4375973641872406</v>
      </c>
      <c r="CQ27" s="8">
        <v>3.0085258483886719</v>
      </c>
      <c r="CR27">
        <v>27.077420514569638</v>
      </c>
      <c r="CS27">
        <v>0.45697646192791158</v>
      </c>
      <c r="CT27">
        <v>2.8288543140028288</v>
      </c>
      <c r="CU27" s="7">
        <v>0.59253425002098081</v>
      </c>
      <c r="CV27" s="8">
        <v>0.98724574446678159</v>
      </c>
      <c r="CW27">
        <v>0.06</v>
      </c>
      <c r="CX27">
        <v>13.227918211284615</v>
      </c>
      <c r="CY27">
        <v>453722022.17578888</v>
      </c>
      <c r="CZ27">
        <v>0.59253425002098081</v>
      </c>
      <c r="DA27">
        <v>2.8996251924402006</v>
      </c>
      <c r="DB27">
        <v>2069852964.3236902</v>
      </c>
      <c r="DC27">
        <v>0.56290753751993172</v>
      </c>
      <c r="DD27">
        <v>0.77839593061478729</v>
      </c>
      <c r="DE27">
        <v>7710469137.8071585</v>
      </c>
      <c r="DF27">
        <v>0.52143014001846311</v>
      </c>
      <c r="DG27">
        <v>0.2143715333216433</v>
      </c>
      <c r="DH27">
        <v>27997177176.481243</v>
      </c>
      <c r="DI27">
        <v>0.47402740001678467</v>
      </c>
      <c r="DJ27">
        <v>1.5533407300062788E-2</v>
      </c>
      <c r="DK27">
        <v>386379992751.21948</v>
      </c>
      <c r="DL27">
        <v>0.41477397501468655</v>
      </c>
      <c r="DM27">
        <v>302000000</v>
      </c>
      <c r="DN27">
        <v>0.59253425002098081</v>
      </c>
      <c r="DO27">
        <v>6001797800</v>
      </c>
      <c r="DP27">
        <v>779969500</v>
      </c>
      <c r="DQ27">
        <v>1492</v>
      </c>
      <c r="DR27">
        <v>-0.17131238506921231</v>
      </c>
      <c r="DS27">
        <v>-0.42002347347944058</v>
      </c>
      <c r="DT27" s="9">
        <v>0.67666666666666675</v>
      </c>
      <c r="DU27">
        <v>1.5266666666666666</v>
      </c>
      <c r="DV27">
        <v>2.2033333333333331</v>
      </c>
      <c r="DW27">
        <v>-8.1687747035573128</v>
      </c>
      <c r="DX27">
        <v>0.33002541810719732</v>
      </c>
      <c r="DY27">
        <v>-8.0168817602892393</v>
      </c>
      <c r="DZ27">
        <v>4</v>
      </c>
      <c r="EA27">
        <v>-8.0168685456040816</v>
      </c>
      <c r="EB27">
        <v>8</v>
      </c>
      <c r="EC27">
        <v>3.8834477856472892E-2</v>
      </c>
      <c r="ED27">
        <v>0.38824609375642477</v>
      </c>
      <c r="EE27" s="10">
        <v>-3.0104099999999998</v>
      </c>
      <c r="EF27">
        <v>-3.0630099999999998</v>
      </c>
      <c r="EG27">
        <v>23.100025418107197</v>
      </c>
      <c r="EH27" t="s">
        <v>888</v>
      </c>
      <c r="EI27">
        <v>0</v>
      </c>
      <c r="EJ27">
        <v>1</v>
      </c>
      <c r="EK27" s="12">
        <v>45470</v>
      </c>
      <c r="EL27" s="13">
        <v>-3.18</v>
      </c>
      <c r="EM27" s="13">
        <v>-4.55</v>
      </c>
      <c r="EN27" s="13">
        <v>-0.79</v>
      </c>
      <c r="EO27" s="13">
        <v>1.47</v>
      </c>
      <c r="EP27" s="13">
        <v>-5.26</v>
      </c>
    </row>
    <row r="28" spans="1:146" ht="144" x14ac:dyDescent="0.25">
      <c r="A28" s="6"/>
      <c r="B28" s="6"/>
      <c r="C28" s="6" t="str">
        <f>"公司主要从事铝加工业务、纸包装材料和功能性薄膜三大业务。主要产品有转移纸、复合纸、高精度铝箔、导电膜、节能膜、高阻隔膜、纳米炫光膜、纳米银膜。"&amp;CHAR(10)&amp;Basic_Fundamental_Information_Constructure(F28)&amp;CHAR(10)&amp;Basic_Fundamental_Information_Concatenate("铝加工业务 17.86亿 64.20% 88.25% 18.32%
购销业务 7.17亿 25.78% 2.26% 1.17%
纸包装材料业务 2.02亿 7.26% 9.12% 16.76%")</f>
        <v>公司主要从事铝加工业务、纸包装材料和功能性薄膜三大业务。主要产品有转移纸、复合纸、高精度铝箔、导电膜、节能膜、高阻隔膜、纳米炫光膜、纳米银膜。
市值36.318422亿, 利润-4989.03万; PE; 平均PE49.05; 平均PEG9, PB.67; ROIC2.24%; ROE1.4667%; 股利率0%; 毛利8.1233%; 净利.55%; 上一年度营收增-7.95%, 利润增-124.34%; 当季营收增12.26%, 利润增-260.15%; 过往5年营收增5.45%, 利润增50.51%
Income profile:
铝加工业务 17.86亿 64.20% 88.25% 18.32%
购销业务 7.17亿 25.78% 2.26% 1.17%
纸包装材料业务 2.02亿 7.26% 9.12% 16.76%</v>
      </c>
      <c r="D28" t="s">
        <v>313</v>
      </c>
      <c r="E28" t="s">
        <v>314</v>
      </c>
      <c r="F28">
        <v>3.99</v>
      </c>
      <c r="G28">
        <v>1.01</v>
      </c>
      <c r="H28" t="s">
        <v>1628</v>
      </c>
      <c r="I28">
        <v>3631842200</v>
      </c>
      <c r="K28">
        <v>0.67</v>
      </c>
      <c r="L28" t="s">
        <v>105</v>
      </c>
      <c r="M28" t="s">
        <v>1629</v>
      </c>
      <c r="N28" t="s">
        <v>1630</v>
      </c>
      <c r="O28" t="s">
        <v>832</v>
      </c>
      <c r="P28">
        <v>12.28</v>
      </c>
      <c r="Q28" t="s">
        <v>1631</v>
      </c>
      <c r="R28">
        <v>-17492155</v>
      </c>
      <c r="S28" s="5">
        <v>-2.6019999999999999</v>
      </c>
      <c r="T28" t="s">
        <v>1632</v>
      </c>
      <c r="U28">
        <v>737640670</v>
      </c>
      <c r="V28">
        <v>910236150</v>
      </c>
      <c r="W28">
        <v>1.87</v>
      </c>
      <c r="X28">
        <v>0.13</v>
      </c>
      <c r="Y28">
        <v>-1.45</v>
      </c>
      <c r="Z28" t="s">
        <v>1633</v>
      </c>
      <c r="AA28" t="s">
        <v>485</v>
      </c>
      <c r="AB28" t="s">
        <v>1634</v>
      </c>
      <c r="AC28" t="s">
        <v>1635</v>
      </c>
      <c r="AD28" t="s">
        <v>5</v>
      </c>
      <c r="AE28">
        <v>22561832</v>
      </c>
      <c r="AF28" t="s">
        <v>1636</v>
      </c>
      <c r="AG28" t="s">
        <v>1637</v>
      </c>
      <c r="AH28" t="s">
        <v>1638</v>
      </c>
      <c r="AI28" t="s">
        <v>1639</v>
      </c>
      <c r="AJ28" t="s">
        <v>1640</v>
      </c>
      <c r="AK28" t="s">
        <v>1641</v>
      </c>
      <c r="AL28" t="s">
        <v>1642</v>
      </c>
      <c r="AM28" t="s">
        <v>5</v>
      </c>
      <c r="AN28" t="s">
        <v>1643</v>
      </c>
      <c r="AO28" t="s">
        <v>1644</v>
      </c>
      <c r="AP28" t="s">
        <v>1645</v>
      </c>
      <c r="AQ28" t="s">
        <v>75</v>
      </c>
      <c r="AR28" t="s">
        <v>5</v>
      </c>
      <c r="AS28" t="s">
        <v>1646</v>
      </c>
      <c r="AT28" t="s">
        <v>899</v>
      </c>
      <c r="AU28" t="s">
        <v>1445</v>
      </c>
      <c r="AV28" t="s">
        <v>1647</v>
      </c>
      <c r="AW28" t="s">
        <v>166</v>
      </c>
      <c r="AX28" t="s">
        <v>889</v>
      </c>
      <c r="AY28" t="s">
        <v>546</v>
      </c>
      <c r="AZ28" t="s">
        <v>315</v>
      </c>
      <c r="BA28" t="s">
        <v>317</v>
      </c>
      <c r="BB28" t="s">
        <v>318</v>
      </c>
      <c r="BC28" t="s">
        <v>589</v>
      </c>
      <c r="BD28" t="s">
        <v>547</v>
      </c>
      <c r="BE28" t="s">
        <v>316</v>
      </c>
      <c r="BF28" t="s">
        <v>72</v>
      </c>
      <c r="BG28" t="s">
        <v>29</v>
      </c>
      <c r="BH28" t="s">
        <v>1631</v>
      </c>
      <c r="BI28" t="s">
        <v>1648</v>
      </c>
      <c r="BJ28" t="s">
        <v>889</v>
      </c>
      <c r="BK28" t="s">
        <v>1632</v>
      </c>
      <c r="BL28" t="s">
        <v>1649</v>
      </c>
      <c r="BM28" t="s">
        <v>589</v>
      </c>
      <c r="BN28">
        <v>0.54</v>
      </c>
      <c r="BO28">
        <v>3.94</v>
      </c>
      <c r="BP28" t="s">
        <v>5</v>
      </c>
      <c r="BQ28">
        <v>0.28000000000000003</v>
      </c>
      <c r="BR28">
        <v>5.36</v>
      </c>
      <c r="BS28">
        <v>-1.24</v>
      </c>
      <c r="BT28" t="s">
        <v>733</v>
      </c>
      <c r="BU28" t="s">
        <v>627</v>
      </c>
      <c r="BV28">
        <v>6.5</v>
      </c>
      <c r="BW28">
        <v>10.18</v>
      </c>
      <c r="BX28">
        <v>7.69</v>
      </c>
      <c r="BY28">
        <v>-0.98</v>
      </c>
      <c r="BZ28">
        <v>3.49</v>
      </c>
      <c r="CA28">
        <v>-0.86</v>
      </c>
      <c r="CB28">
        <v>-1.24</v>
      </c>
      <c r="CC28">
        <v>-29.38</v>
      </c>
      <c r="CD28" t="s">
        <v>1650</v>
      </c>
      <c r="CE28" t="s">
        <v>1651</v>
      </c>
      <c r="CF28" s="7">
        <v>0.12259194395796848</v>
      </c>
      <c r="CG28" s="8">
        <v>-2.6015061047170005</v>
      </c>
      <c r="CH28" s="7">
        <v>-7.9533770680427551E-2</v>
      </c>
      <c r="CI28" s="7">
        <v>7.30181485414505E-2</v>
      </c>
      <c r="CJ28" s="7">
        <v>7.259814441204071E-2</v>
      </c>
      <c r="CK28" s="7">
        <v>0.13858950138092041</v>
      </c>
      <c r="CL28" s="7">
        <v>6.7881941795349121E-2</v>
      </c>
      <c r="CM28" s="8">
        <v>-1.2433673143386841</v>
      </c>
      <c r="CN28" s="8">
        <v>5.6650495529174805</v>
      </c>
      <c r="CO28" s="8">
        <v>-1.5699045658111572</v>
      </c>
      <c r="CP28" s="8">
        <v>-0.4245724081993103</v>
      </c>
      <c r="CQ28" s="8">
        <v>9.8360657691955566E-2</v>
      </c>
      <c r="CR28">
        <v>49.048768190383761</v>
      </c>
      <c r="CS28">
        <v>8.9979920324259144</v>
      </c>
      <c r="CT28">
        <v>0</v>
      </c>
      <c r="CU28" s="7">
        <v>5.4510793089866637E-2</v>
      </c>
      <c r="CV28" s="8">
        <v>0.50511318445205688</v>
      </c>
      <c r="CW28">
        <v>0.06</v>
      </c>
      <c r="CX28" t="e">
        <v>#VALUE!</v>
      </c>
      <c r="CY28" t="s">
        <v>601</v>
      </c>
      <c r="CZ28">
        <v>5.4510793089866637E-2</v>
      </c>
      <c r="DA28" t="e">
        <v>#VALUE!</v>
      </c>
      <c r="DB28" t="s">
        <v>600</v>
      </c>
      <c r="DC28">
        <v>5.1785253435373303E-2</v>
      </c>
      <c r="DD28" t="e">
        <v>#VALUE!</v>
      </c>
      <c r="DE28" t="s">
        <v>600</v>
      </c>
      <c r="DF28">
        <v>4.7969497919082643E-2</v>
      </c>
      <c r="DG28" t="e">
        <v>#VALUE!</v>
      </c>
      <c r="DH28" t="s">
        <v>600</v>
      </c>
      <c r="DI28">
        <v>4.3608634471893309E-2</v>
      </c>
      <c r="DJ28" t="e">
        <v>#VALUE!</v>
      </c>
      <c r="DK28" t="s">
        <v>600</v>
      </c>
      <c r="DL28">
        <v>3.8157555162906642E-2</v>
      </c>
      <c r="DM28">
        <v>-49890300</v>
      </c>
      <c r="DN28">
        <v>5.4510793089866637E-2</v>
      </c>
      <c r="DO28">
        <v>2964842200</v>
      </c>
      <c r="DP28">
        <v>1633944300</v>
      </c>
      <c r="DQ28">
        <v>1552</v>
      </c>
      <c r="DR28">
        <v>6.8081150868101847E-2</v>
      </c>
      <c r="DS28">
        <v>-3.1066192891690574</v>
      </c>
      <c r="DT28" s="9">
        <v>-0.44</v>
      </c>
      <c r="DU28">
        <v>-2.1733333333333338</v>
      </c>
      <c r="DV28">
        <v>-2.6133333333333337</v>
      </c>
      <c r="DW28">
        <v>-3.1513214285714284</v>
      </c>
      <c r="DX28">
        <v>0.28259981024667968</v>
      </c>
      <c r="DY28">
        <v>-3.0185519784291137</v>
      </c>
      <c r="DZ28">
        <v>4743</v>
      </c>
      <c r="EA28">
        <v>-3.0013324023646741</v>
      </c>
      <c r="EB28">
        <v>3</v>
      </c>
      <c r="EC28">
        <v>7.0981689751610066E-2</v>
      </c>
      <c r="ED28">
        <v>0.5789706330604425</v>
      </c>
      <c r="EE28" s="10">
        <v>-2.0642100000000001</v>
      </c>
      <c r="EF28">
        <v>-2.0886100000000001</v>
      </c>
      <c r="EG28">
        <v>16.12259981024668</v>
      </c>
      <c r="EH28" t="s">
        <v>855</v>
      </c>
      <c r="EI28">
        <v>0</v>
      </c>
      <c r="EJ28">
        <v>0</v>
      </c>
      <c r="EK28" s="12">
        <v>45470</v>
      </c>
      <c r="EL28" s="13">
        <v>-1.64</v>
      </c>
      <c r="EM28" s="13">
        <v>-4.7699999999999996</v>
      </c>
      <c r="EN28" s="13">
        <v>0.25</v>
      </c>
      <c r="EO28" s="13">
        <v>2.5</v>
      </c>
      <c r="EP28" s="13">
        <v>-2.44</v>
      </c>
    </row>
    <row r="29" spans="1:146" ht="96" x14ac:dyDescent="0.25">
      <c r="A29" s="6"/>
      <c r="B29" s="6"/>
      <c r="C29" s="6" t="str">
        <f>""&amp;CHAR(10)&amp;Basic_Fundamental_Information_Constructure(F29)&amp;CHAR(10)&amp;Basic_Fundamental_Information_Concatenate("")</f>
        <v xml:space="preserve">
市值59.671392亿, 利润6448.41万; PE73.62; 平均PE271.13; 平均PEG14.54, PB3.58; ROIC3.9667%; ROE3.77%; 股利率.2755%; 毛利10.3033%; 净利1.4533%; 上一年度营收增13.01%, 利润增-4.19%; 当季营收增12.16%, 利润增134.02%; 过往5年营收增18.64%, 利润增65.15%
Income profile:
</v>
      </c>
      <c r="D29" t="s">
        <v>320</v>
      </c>
      <c r="E29" t="s">
        <v>321</v>
      </c>
      <c r="F29">
        <v>7.26</v>
      </c>
      <c r="G29">
        <v>-1.49</v>
      </c>
      <c r="H29" t="s">
        <v>2333</v>
      </c>
      <c r="I29">
        <v>5967139200</v>
      </c>
      <c r="J29">
        <v>73.62</v>
      </c>
      <c r="K29">
        <v>3.58</v>
      </c>
      <c r="L29" t="s">
        <v>105</v>
      </c>
      <c r="M29" t="s">
        <v>2334</v>
      </c>
      <c r="N29" t="s">
        <v>2335</v>
      </c>
      <c r="O29" t="s">
        <v>2336</v>
      </c>
      <c r="P29">
        <v>12.18</v>
      </c>
      <c r="Q29" t="s">
        <v>2337</v>
      </c>
      <c r="R29">
        <v>28937812</v>
      </c>
      <c r="S29" s="5">
        <v>1.34</v>
      </c>
      <c r="T29" t="s">
        <v>2338</v>
      </c>
      <c r="U29">
        <v>711383930</v>
      </c>
      <c r="V29">
        <v>821920000</v>
      </c>
      <c r="W29">
        <v>2.73</v>
      </c>
      <c r="X29">
        <v>0.25</v>
      </c>
      <c r="Y29">
        <v>2.57</v>
      </c>
      <c r="Z29" t="s">
        <v>950</v>
      </c>
      <c r="AA29" t="s">
        <v>2339</v>
      </c>
      <c r="AB29" t="s">
        <v>2340</v>
      </c>
      <c r="AC29" t="s">
        <v>2341</v>
      </c>
      <c r="AD29" t="s">
        <v>5</v>
      </c>
      <c r="AE29">
        <v>21245624</v>
      </c>
      <c r="AF29" t="s">
        <v>24</v>
      </c>
      <c r="AG29">
        <v>3017.69</v>
      </c>
      <c r="AH29" t="s">
        <v>2342</v>
      </c>
      <c r="AI29" t="s">
        <v>744</v>
      </c>
      <c r="AJ29" t="s">
        <v>2343</v>
      </c>
      <c r="AK29" t="s">
        <v>2344</v>
      </c>
      <c r="AL29" t="s">
        <v>2345</v>
      </c>
      <c r="AM29" t="s">
        <v>5</v>
      </c>
      <c r="AN29" t="s">
        <v>2346</v>
      </c>
      <c r="AO29" t="s">
        <v>1914</v>
      </c>
      <c r="AP29" t="s">
        <v>5</v>
      </c>
      <c r="AQ29" t="s">
        <v>2347</v>
      </c>
      <c r="AR29" t="s">
        <v>5</v>
      </c>
      <c r="AS29" t="s">
        <v>781</v>
      </c>
      <c r="AT29" t="s">
        <v>2348</v>
      </c>
      <c r="AU29" t="s">
        <v>2349</v>
      </c>
      <c r="AV29" t="s">
        <v>2350</v>
      </c>
      <c r="AW29" t="s">
        <v>2351</v>
      </c>
      <c r="AX29" t="s">
        <v>893</v>
      </c>
      <c r="AY29" t="s">
        <v>548</v>
      </c>
      <c r="AZ29" t="s">
        <v>322</v>
      </c>
      <c r="BA29" t="s">
        <v>324</v>
      </c>
      <c r="BB29" t="s">
        <v>325</v>
      </c>
      <c r="BC29" t="s">
        <v>2352</v>
      </c>
      <c r="BD29" t="s">
        <v>549</v>
      </c>
      <c r="BE29" t="s">
        <v>323</v>
      </c>
      <c r="BF29" t="s">
        <v>326</v>
      </c>
      <c r="BG29" t="s">
        <v>327</v>
      </c>
      <c r="BH29" t="s">
        <v>2337</v>
      </c>
      <c r="BI29" t="s">
        <v>2353</v>
      </c>
      <c r="BJ29" t="s">
        <v>893</v>
      </c>
      <c r="BK29" t="s">
        <v>2338</v>
      </c>
      <c r="BL29" t="s">
        <v>2354</v>
      </c>
      <c r="BM29" t="s">
        <v>2352</v>
      </c>
      <c r="BN29">
        <v>3.25</v>
      </c>
      <c r="BO29">
        <v>4.41</v>
      </c>
      <c r="BP29">
        <v>4.24</v>
      </c>
      <c r="BQ29">
        <v>4.28</v>
      </c>
      <c r="BR29">
        <v>4.32</v>
      </c>
      <c r="BS29">
        <v>2.71</v>
      </c>
      <c r="BT29" t="s">
        <v>2326</v>
      </c>
      <c r="BU29" t="s">
        <v>627</v>
      </c>
      <c r="BV29">
        <v>10.51</v>
      </c>
      <c r="BW29">
        <v>9.52</v>
      </c>
      <c r="BX29">
        <v>10.88</v>
      </c>
      <c r="BY29">
        <v>1.42</v>
      </c>
      <c r="BZ29">
        <v>1.67</v>
      </c>
      <c r="CA29">
        <v>1.27</v>
      </c>
      <c r="CB29">
        <v>-10.37</v>
      </c>
      <c r="CC29">
        <v>2.4</v>
      </c>
      <c r="CD29" t="s">
        <v>588</v>
      </c>
      <c r="CE29" t="s">
        <v>816</v>
      </c>
      <c r="CF29" s="7">
        <v>0.12163509471585257</v>
      </c>
      <c r="CG29" s="8">
        <v>1.3401677220052242</v>
      </c>
      <c r="CH29" s="7">
        <v>0.13007098436355591</v>
      </c>
      <c r="CI29" s="7">
        <v>0.2344287633895874</v>
      </c>
      <c r="CJ29" s="7">
        <v>0.34810137748718262</v>
      </c>
      <c r="CK29" s="7">
        <v>0.17037034034729004</v>
      </c>
      <c r="CL29" s="7">
        <v>4.9222763627767563E-2</v>
      </c>
      <c r="CM29" s="8">
        <v>-4.1927792131900787E-2</v>
      </c>
      <c r="CN29" s="8">
        <v>0.65677767992019653</v>
      </c>
      <c r="CO29" s="8">
        <v>1.3949147462844849</v>
      </c>
      <c r="CP29" s="8">
        <v>2.3612687364220619E-2</v>
      </c>
      <c r="CQ29" s="8">
        <v>1.224246621131897</v>
      </c>
      <c r="CR29">
        <v>271.13007760673196</v>
      </c>
      <c r="CS29">
        <v>14.542574342845848</v>
      </c>
      <c r="CT29">
        <v>0.27548209366391185</v>
      </c>
      <c r="CU29" s="7">
        <v>0.18643884584307671</v>
      </c>
      <c r="CV29" s="8">
        <v>0.6515247885137796</v>
      </c>
      <c r="CW29">
        <v>0.06</v>
      </c>
      <c r="CX29">
        <v>99.633539797554107</v>
      </c>
      <c r="CY29">
        <v>72175887.904933542</v>
      </c>
      <c r="CZ29">
        <v>0.18643884584307671</v>
      </c>
      <c r="DA29">
        <v>30.03363193148013</v>
      </c>
      <c r="DB29">
        <v>239436216.5856643</v>
      </c>
      <c r="DC29">
        <v>0.17711690355092286</v>
      </c>
      <c r="DD29">
        <v>13.222169949509013</v>
      </c>
      <c r="DE29">
        <v>543869820.7223568</v>
      </c>
      <c r="DF29">
        <v>0.16406618434190751</v>
      </c>
      <c r="DG29">
        <v>6.9636012470119173</v>
      </c>
      <c r="DH29">
        <v>1032675327.73875</v>
      </c>
      <c r="DI29">
        <v>0.14915107667446137</v>
      </c>
      <c r="DJ29">
        <v>2.6492249475769345</v>
      </c>
      <c r="DK29">
        <v>2714431330.7849698</v>
      </c>
      <c r="DL29">
        <v>0.13050719209015368</v>
      </c>
      <c r="DM29">
        <v>64484100</v>
      </c>
      <c r="DN29">
        <v>0.18643884584307671</v>
      </c>
      <c r="DO29">
        <v>7191139200</v>
      </c>
      <c r="DP29">
        <v>1695704100</v>
      </c>
      <c r="DQ29">
        <v>1815</v>
      </c>
      <c r="DR29">
        <v>-6.4803751127224141E-2</v>
      </c>
      <c r="DS29">
        <v>0.68864293349144456</v>
      </c>
      <c r="DT29" s="9">
        <v>-4.0000000000000036E-2</v>
      </c>
      <c r="DU29">
        <v>1.2066666666666666</v>
      </c>
      <c r="DV29">
        <v>1.1666666666666665</v>
      </c>
      <c r="DW29">
        <v>-5.2314368370298938</v>
      </c>
      <c r="DX29">
        <v>0.46519861830742715</v>
      </c>
      <c r="DY29">
        <v>-5.0729485712572639</v>
      </c>
      <c r="DZ29">
        <v>137</v>
      </c>
      <c r="EA29">
        <v>-5.0709928072137718</v>
      </c>
      <c r="EB29">
        <v>5</v>
      </c>
      <c r="EC29">
        <v>0.44408214911426902</v>
      </c>
      <c r="ED29">
        <v>1.4088962429433523</v>
      </c>
      <c r="EE29" s="10">
        <v>8.0928000000000004</v>
      </c>
      <c r="EF29">
        <v>8.0767000000000007</v>
      </c>
      <c r="EG29">
        <v>15.315198618307427</v>
      </c>
      <c r="EH29" t="s">
        <v>2355</v>
      </c>
      <c r="EI29">
        <v>0</v>
      </c>
      <c r="EJ29">
        <v>1</v>
      </c>
      <c r="EK29" s="12">
        <v>45470</v>
      </c>
      <c r="EL29" s="13">
        <v>-0.55000000000000004</v>
      </c>
      <c r="EM29" s="13">
        <v>-4.43</v>
      </c>
      <c r="EN29" s="13">
        <v>1.01</v>
      </c>
      <c r="EO29" s="13">
        <v>6.59</v>
      </c>
      <c r="EP29" s="13">
        <v>-1.61</v>
      </c>
    </row>
    <row r="30" spans="1:146" ht="156" x14ac:dyDescent="0.25">
      <c r="A30" s="6"/>
      <c r="B30" s="6"/>
      <c r="C30" s="6" t="str">
        <f>"公司主要从事铜及铜合金产品的研发、生产和销售，主要产品按大类分为电气化铁路接触网系列产品以及铜母线系列产品，其中，电气化铁路接触网系列产品包括电气化铁路用接触线和承力索，铜母线系列产品包括铜母线及其深加工铜制零部件。"&amp;CHAR(10)&amp;Basic_Fundamental_Information_Constructure(F30)&amp;CHAR(10)&amp;Basic_Fundamental_Information_Concatenate("铜母线及铜制零部件 8.61亿 79.87% 64.63% 9.74%
电气化铁路接触网产品 2.01亿 18.65% 32.29% 20.84%")</f>
        <v>公司主要从事铜及铜合金产品的研发、生产和销售，主要产品按大类分为电气化铁路接触网系列产品以及铜母线系列产品，其中，电气化铁路接触网系列产品包括电气化铁路用接触线和承力索，铜母线系列产品包括铜母线及其深加工铜制零部件。
市值34.81088亿, 利润1.36亿; PE28.12; 平均PE31.35; 平均PEG2.44, PB3.16; ROIC9.0667%; ROE11.76%; 股利率1.912%; 毛利11.6933%; 净利5.2967%; 上一年度营收增12.46%, 利润增20.35%; 当季营收增-4.35%, 利润增-24.2%; 过往5年营收增12.84%, 利润增20.54%
Income profile:
铜母线及铜制零部件 8.61亿 79.87% 64.63% 9.74%
电气化铁路接触网产品 2.01亿 18.65% 32.29% 20.84%</v>
      </c>
      <c r="D30" t="s">
        <v>329</v>
      </c>
      <c r="E30" t="s">
        <v>330</v>
      </c>
      <c r="F30">
        <v>10.46</v>
      </c>
      <c r="G30">
        <v>1.45</v>
      </c>
      <c r="H30" t="s">
        <v>1652</v>
      </c>
      <c r="I30">
        <v>3481088000</v>
      </c>
      <c r="J30">
        <v>28.12</v>
      </c>
      <c r="K30">
        <v>3.16</v>
      </c>
      <c r="L30" t="s">
        <v>105</v>
      </c>
      <c r="M30" t="s">
        <v>1653</v>
      </c>
      <c r="N30" t="s">
        <v>1654</v>
      </c>
      <c r="O30" t="s">
        <v>115</v>
      </c>
      <c r="P30">
        <v>-4.32</v>
      </c>
      <c r="Q30" t="s">
        <v>945</v>
      </c>
      <c r="R30">
        <v>36961259</v>
      </c>
      <c r="S30" s="5">
        <v>-0.24199999999999999</v>
      </c>
      <c r="T30" t="s">
        <v>1017</v>
      </c>
      <c r="U30">
        <v>254800000</v>
      </c>
      <c r="V30">
        <v>332800000</v>
      </c>
      <c r="W30">
        <v>1.46</v>
      </c>
      <c r="X30">
        <v>0.35</v>
      </c>
      <c r="Y30">
        <v>6.74</v>
      </c>
      <c r="Z30" t="s">
        <v>1655</v>
      </c>
      <c r="AA30" t="s">
        <v>1656</v>
      </c>
      <c r="AB30" t="s">
        <v>1657</v>
      </c>
      <c r="AC30" t="s">
        <v>1658</v>
      </c>
      <c r="AD30" t="s">
        <v>5</v>
      </c>
      <c r="AE30">
        <v>3016151</v>
      </c>
      <c r="AF30" t="s">
        <v>1659</v>
      </c>
      <c r="AG30" t="s">
        <v>1660</v>
      </c>
      <c r="AH30" t="s">
        <v>1661</v>
      </c>
      <c r="AI30" t="s">
        <v>779</v>
      </c>
      <c r="AJ30" t="s">
        <v>1662</v>
      </c>
      <c r="AK30" t="s">
        <v>1663</v>
      </c>
      <c r="AL30" t="s">
        <v>1664</v>
      </c>
      <c r="AM30" t="s">
        <v>5</v>
      </c>
      <c r="AN30" t="s">
        <v>1665</v>
      </c>
      <c r="AO30" t="s">
        <v>1666</v>
      </c>
      <c r="AP30" t="s">
        <v>1667</v>
      </c>
      <c r="AQ30" t="s">
        <v>1668</v>
      </c>
      <c r="AR30" t="s">
        <v>5</v>
      </c>
      <c r="AS30" t="s">
        <v>745</v>
      </c>
      <c r="AT30" t="s">
        <v>5</v>
      </c>
      <c r="AU30" t="s">
        <v>1669</v>
      </c>
      <c r="AV30" t="s">
        <v>1670</v>
      </c>
      <c r="AW30" t="s">
        <v>1671</v>
      </c>
      <c r="AX30" t="s">
        <v>894</v>
      </c>
      <c r="AY30" t="s">
        <v>551</v>
      </c>
      <c r="AZ30" t="s">
        <v>331</v>
      </c>
      <c r="BA30" t="s">
        <v>332</v>
      </c>
      <c r="BB30" t="s">
        <v>137</v>
      </c>
      <c r="BC30" t="s">
        <v>31</v>
      </c>
      <c r="BD30" t="s">
        <v>126</v>
      </c>
      <c r="BE30" t="s">
        <v>61</v>
      </c>
      <c r="BF30" t="s">
        <v>22</v>
      </c>
      <c r="BG30" t="s">
        <v>333</v>
      </c>
      <c r="BH30" t="s">
        <v>945</v>
      </c>
      <c r="BI30" t="s">
        <v>1672</v>
      </c>
      <c r="BJ30" t="s">
        <v>894</v>
      </c>
      <c r="BK30" t="s">
        <v>1017</v>
      </c>
      <c r="BL30" t="s">
        <v>1673</v>
      </c>
      <c r="BM30" t="s">
        <v>31</v>
      </c>
      <c r="BN30">
        <v>8.6300000000000008</v>
      </c>
      <c r="BO30">
        <v>9.2799999999999994</v>
      </c>
      <c r="BP30">
        <v>9.2899999999999991</v>
      </c>
      <c r="BQ30">
        <v>11.45</v>
      </c>
      <c r="BR30">
        <v>11.93</v>
      </c>
      <c r="BS30">
        <v>11.9</v>
      </c>
      <c r="BT30" t="s">
        <v>737</v>
      </c>
      <c r="BU30" t="s">
        <v>628</v>
      </c>
      <c r="BV30">
        <v>11.57</v>
      </c>
      <c r="BW30">
        <v>11.72</v>
      </c>
      <c r="BX30">
        <v>11.79</v>
      </c>
      <c r="BY30">
        <v>5.71</v>
      </c>
      <c r="BZ30">
        <v>5.3</v>
      </c>
      <c r="CA30">
        <v>4.88</v>
      </c>
      <c r="CB30">
        <v>-4.3899999999999997</v>
      </c>
      <c r="CC30">
        <v>-11.66</v>
      </c>
      <c r="CD30" t="s">
        <v>1674</v>
      </c>
      <c r="CE30" t="s">
        <v>98</v>
      </c>
      <c r="CF30" s="7">
        <v>-4.3478260869565216E-2</v>
      </c>
      <c r="CG30" s="8">
        <v>-0.2420100200565192</v>
      </c>
      <c r="CH30" s="7">
        <v>0.12458858639001846</v>
      </c>
      <c r="CI30" s="7">
        <v>-2.1619163453578949E-2</v>
      </c>
      <c r="CJ30" s="7">
        <v>0.35367381572723389</v>
      </c>
      <c r="CK30" s="7">
        <v>-0.14483493566513062</v>
      </c>
      <c r="CL30" s="7">
        <v>0.33002832531929016</v>
      </c>
      <c r="CM30" s="8">
        <v>0.20353981852531433</v>
      </c>
      <c r="CN30" s="8">
        <v>6.6037736833095551E-2</v>
      </c>
      <c r="CO30" s="8">
        <v>-8.6206898093223572E-2</v>
      </c>
      <c r="CP30" s="8">
        <v>-0.10077519714832306</v>
      </c>
      <c r="CQ30" s="8">
        <v>0.94451647996902466</v>
      </c>
      <c r="CR30">
        <v>31.345132307751413</v>
      </c>
      <c r="CS30">
        <v>2.4418310614262362</v>
      </c>
      <c r="CT30">
        <v>1.9120458891013383</v>
      </c>
      <c r="CU30" s="7">
        <v>0.12836732566356659</v>
      </c>
      <c r="CV30" s="8">
        <v>0.20542238801717758</v>
      </c>
      <c r="CW30">
        <v>0.06</v>
      </c>
      <c r="CX30">
        <v>19.88018968680824</v>
      </c>
      <c r="CY30">
        <v>144771656.8775897</v>
      </c>
      <c r="CZ30">
        <v>0.12836732566356659</v>
      </c>
      <c r="DA30">
        <v>6.2898826309990197</v>
      </c>
      <c r="DB30">
        <v>457574197.93743819</v>
      </c>
      <c r="DC30">
        <v>0.12194895938038826</v>
      </c>
      <c r="DD30">
        <v>2.9634461018630969</v>
      </c>
      <c r="DE30">
        <v>971196337.328547</v>
      </c>
      <c r="DF30">
        <v>0.11296324658393861</v>
      </c>
      <c r="DG30">
        <v>1.6922147939433156</v>
      </c>
      <c r="DH30">
        <v>1700781727.1785462</v>
      </c>
      <c r="DI30">
        <v>0.10269386053085328</v>
      </c>
      <c r="DJ30">
        <v>0.78038605470180256</v>
      </c>
      <c r="DK30">
        <v>3688031049.0680943</v>
      </c>
      <c r="DL30">
        <v>8.9857127964496616E-2</v>
      </c>
      <c r="DM30">
        <v>136000000</v>
      </c>
      <c r="DN30">
        <v>0.12836732566356659</v>
      </c>
      <c r="DO30">
        <v>2878088000</v>
      </c>
      <c r="DP30">
        <v>832414160</v>
      </c>
      <c r="DQ30">
        <v>2163</v>
      </c>
      <c r="DR30">
        <v>-0.17184558653313181</v>
      </c>
      <c r="DS30">
        <v>-0.44743240807369677</v>
      </c>
      <c r="DT30" s="9">
        <v>-0.20666666666666669</v>
      </c>
      <c r="DU30">
        <v>0.1466666666666667</v>
      </c>
      <c r="DV30">
        <v>-0.06</v>
      </c>
      <c r="DW30">
        <v>-8.3765008576329336</v>
      </c>
      <c r="DX30">
        <v>0.25628232558139402</v>
      </c>
      <c r="DY30">
        <v>-8.0249553524273001</v>
      </c>
      <c r="DZ30">
        <v>1855</v>
      </c>
      <c r="EA30">
        <v>-8.0158962176420481</v>
      </c>
      <c r="EB30">
        <v>8</v>
      </c>
      <c r="EC30">
        <v>8.5641225961538461E-2</v>
      </c>
      <c r="ED30">
        <v>1.2920673076923077</v>
      </c>
      <c r="EE30" s="10">
        <v>1.0485100000000001</v>
      </c>
      <c r="EF30">
        <v>1.08901</v>
      </c>
      <c r="EG30">
        <v>19.066282325581394</v>
      </c>
      <c r="EH30" t="s">
        <v>907</v>
      </c>
      <c r="EI30">
        <v>0</v>
      </c>
      <c r="EJ30">
        <v>0</v>
      </c>
      <c r="EK30" s="12">
        <v>45470</v>
      </c>
      <c r="EL30" s="13">
        <v>-2.5099999999999998</v>
      </c>
      <c r="EM30" s="13">
        <v>-10.82</v>
      </c>
      <c r="EN30" s="13">
        <v>-1.06</v>
      </c>
      <c r="EO30" s="13">
        <v>3.21</v>
      </c>
      <c r="EP30" s="13">
        <v>-4.05</v>
      </c>
    </row>
    <row r="31" spans="1:146" ht="192" x14ac:dyDescent="0.25">
      <c r="A31" s="6"/>
      <c r="B31" s="6"/>
      <c r="C31" s="6" t="str">
        <f>"公司形成从热电-氧化铝-电解铝-熔铸-(铝型材/热轧-冷轧-箔轧/锻压)的完整的铝产业链生产线，主要产品包括上游产品电力、氧化铝、铝合金锭，下游产品铝板带箔、挤压型材、压延材、锻造件及大型机械深加工结构件。"&amp;CHAR(10)&amp;Basic_Fundamental_Information_Constructure(F31)&amp;CHAR(10)&amp;Basic_Fundamental_Information_Concatenate("冷轧卷/板 173.10亿 60.26% 65.29% 26.69%
铝型材 42.52亿 14.80% 12.02% 20.00%
合金锭 15.83亿 5.51% 5.14% 23.00%
氧化铝粉 15.58亿 5.42% 5.74% 26.08%
热轧卷/板 15.03亿 5.23% 4.69% 22.06%
铝箔 13.57亿 4.72% 4.27% 22.27%")</f>
        <v>公司形成从热电-氧化铝-电解铝-熔铸-(铝型材/热轧-冷轧-箔轧/锻压)的完整的铝产业链生产线，主要产品包括上游产品电力、氧化铝、铝合金锭，下游产品铝板带箔、挤压型材、压延材、锻造件及大型机械深加工结构件。
市值467.17126亿, 利润-1.00亿; PE12.27; 平均PE27.35; 平均PEG.96, PB.98; ROIC6.04%; ROE6.9267%; 股利率3.0075%; 毛利21.96%; 净利12.7033%; 上一年度营收增-95.09%, 利润增-102.84%; 当季营收增2006.12%, 利润增43620.46%; 过往5年营收增-28.35%, 利润增-102.84%
Income profile:
冷轧卷/板 173.10亿 60.26% 65.29% 26.69%
铝型材 42.52亿 14.80% 12.02% 20.00%
合金锭 15.83亿 5.51% 5.14% 23.00%
氧化铝粉 15.58亿 5.42% 5.74% 26.08%
热轧卷/板 15.03亿 5.23% 4.69% 22.06%
铝箔 13.57亿 4.72% 4.27% 22.27%</v>
      </c>
      <c r="D31" t="s">
        <v>335</v>
      </c>
      <c r="E31" t="s">
        <v>336</v>
      </c>
      <c r="F31">
        <v>3.99</v>
      </c>
      <c r="G31">
        <v>1.79</v>
      </c>
      <c r="H31" t="s">
        <v>1675</v>
      </c>
      <c r="I31">
        <v>46717126000</v>
      </c>
      <c r="J31">
        <v>12.27</v>
      </c>
      <c r="K31">
        <v>0.98</v>
      </c>
      <c r="L31" t="s">
        <v>105</v>
      </c>
      <c r="M31" t="s">
        <v>363</v>
      </c>
      <c r="N31" t="s">
        <v>1676</v>
      </c>
      <c r="O31" t="s">
        <v>1677</v>
      </c>
      <c r="P31">
        <v>5.7</v>
      </c>
      <c r="Q31" t="s">
        <v>1678</v>
      </c>
      <c r="R31">
        <v>850998980</v>
      </c>
      <c r="S31" s="5">
        <v>0.63990000000000002</v>
      </c>
      <c r="T31" t="s">
        <v>1679</v>
      </c>
      <c r="U31">
        <v>11708552800</v>
      </c>
      <c r="V31">
        <v>11708552800</v>
      </c>
      <c r="W31">
        <v>1.28</v>
      </c>
      <c r="X31" t="s">
        <v>5</v>
      </c>
      <c r="Y31">
        <v>14.26</v>
      </c>
      <c r="Z31" t="s">
        <v>5</v>
      </c>
      <c r="AA31" t="s">
        <v>5</v>
      </c>
      <c r="AB31" t="s">
        <v>5</v>
      </c>
      <c r="AC31" t="s">
        <v>5</v>
      </c>
      <c r="AD31" t="s">
        <v>5</v>
      </c>
      <c r="AE31">
        <v>-22828257</v>
      </c>
      <c r="AF31" t="s">
        <v>1680</v>
      </c>
      <c r="AG31" t="s">
        <v>1681</v>
      </c>
      <c r="AH31" t="s">
        <v>1682</v>
      </c>
      <c r="AI31" t="s">
        <v>1683</v>
      </c>
      <c r="AJ31" t="s">
        <v>1684</v>
      </c>
      <c r="AK31" t="s">
        <v>5</v>
      </c>
      <c r="AL31" t="s">
        <v>1685</v>
      </c>
      <c r="AM31" t="s">
        <v>5</v>
      </c>
      <c r="AN31" t="s">
        <v>493</v>
      </c>
      <c r="AO31" t="s">
        <v>5</v>
      </c>
      <c r="AP31" t="s">
        <v>528</v>
      </c>
      <c r="AQ31" t="s">
        <v>1686</v>
      </c>
      <c r="AR31" t="s">
        <v>236</v>
      </c>
      <c r="AS31" t="s">
        <v>5</v>
      </c>
      <c r="AT31" t="s">
        <v>5</v>
      </c>
      <c r="AU31" t="s">
        <v>1687</v>
      </c>
      <c r="AV31" t="s">
        <v>1171</v>
      </c>
      <c r="AW31" t="s">
        <v>1688</v>
      </c>
      <c r="AX31" t="s">
        <v>1689</v>
      </c>
      <c r="AY31" t="s">
        <v>5</v>
      </c>
      <c r="AZ31" t="s">
        <v>337</v>
      </c>
      <c r="BA31" t="s">
        <v>339</v>
      </c>
      <c r="BB31" t="s">
        <v>340</v>
      </c>
      <c r="BC31" t="s">
        <v>1690</v>
      </c>
      <c r="BD31" t="s">
        <v>5</v>
      </c>
      <c r="BE31" t="s">
        <v>5</v>
      </c>
      <c r="BF31" t="s">
        <v>5</v>
      </c>
      <c r="BG31" t="s">
        <v>5</v>
      </c>
      <c r="BH31" t="s">
        <v>1691</v>
      </c>
      <c r="BI31" t="s">
        <v>629</v>
      </c>
      <c r="BJ31" t="s">
        <v>1689</v>
      </c>
      <c r="BK31" t="s">
        <v>1692</v>
      </c>
      <c r="BL31" t="s">
        <v>1693</v>
      </c>
      <c r="BM31" t="s">
        <v>1690</v>
      </c>
      <c r="BN31">
        <v>3.9</v>
      </c>
      <c r="BO31">
        <v>7.04</v>
      </c>
      <c r="BP31">
        <v>7.18</v>
      </c>
      <c r="BQ31">
        <v>4.63</v>
      </c>
      <c r="BR31">
        <v>7.97</v>
      </c>
      <c r="BS31">
        <v>8.18</v>
      </c>
      <c r="BT31" t="s">
        <v>772</v>
      </c>
      <c r="BU31" t="s">
        <v>627</v>
      </c>
      <c r="BV31">
        <v>20.34</v>
      </c>
      <c r="BW31">
        <v>20.91</v>
      </c>
      <c r="BX31">
        <v>24.63</v>
      </c>
      <c r="BY31">
        <v>13.88</v>
      </c>
      <c r="BZ31">
        <v>11.28</v>
      </c>
      <c r="CA31">
        <v>12.95</v>
      </c>
      <c r="CB31">
        <v>4.72</v>
      </c>
      <c r="CC31">
        <v>8.42</v>
      </c>
      <c r="CD31" t="s">
        <v>1694</v>
      </c>
      <c r="CE31" t="s">
        <v>887</v>
      </c>
      <c r="CF31" s="7">
        <v>20.061224489795915</v>
      </c>
      <c r="CG31" s="8">
        <v>436.20455149841467</v>
      </c>
      <c r="CH31" s="7">
        <v>-0.95087409019470215</v>
      </c>
      <c r="CI31" s="7" t="s">
        <v>5</v>
      </c>
      <c r="CJ31" s="7" t="s">
        <v>5</v>
      </c>
      <c r="CK31" s="7">
        <v>3.6728888750076294E-2</v>
      </c>
      <c r="CL31" s="7">
        <v>6.3643559813499451E-2</v>
      </c>
      <c r="CM31" s="8">
        <v>-1.0284414291381836</v>
      </c>
      <c r="CN31" s="8" t="s">
        <v>5</v>
      </c>
      <c r="CO31" s="8" t="s">
        <v>5</v>
      </c>
      <c r="CP31" s="8" t="s">
        <v>5</v>
      </c>
      <c r="CQ31" s="8" t="s">
        <v>5</v>
      </c>
      <c r="CR31">
        <v>27.351947306791573</v>
      </c>
      <c r="CS31">
        <v>0.96479345722372389</v>
      </c>
      <c r="CT31">
        <v>3.007518796992481</v>
      </c>
      <c r="CU31" s="7">
        <v>-0.28350054721037549</v>
      </c>
      <c r="CV31" s="8">
        <v>-1.0284414291381836</v>
      </c>
      <c r="CW31">
        <v>0.06</v>
      </c>
      <c r="CX31" t="e">
        <v>#VALUE!</v>
      </c>
      <c r="CY31" t="s">
        <v>600</v>
      </c>
      <c r="CZ31">
        <v>-0.28350054721037549</v>
      </c>
      <c r="DA31" t="e">
        <v>#VALUE!</v>
      </c>
      <c r="DB31" t="s">
        <v>600</v>
      </c>
      <c r="DC31">
        <v>-0.2693255198498567</v>
      </c>
      <c r="DD31" t="e">
        <v>#VALUE!</v>
      </c>
      <c r="DE31" t="s">
        <v>600</v>
      </c>
      <c r="DF31">
        <v>-0.24948048154513042</v>
      </c>
      <c r="DG31" t="e">
        <v>#VALUE!</v>
      </c>
      <c r="DH31" t="s">
        <v>600</v>
      </c>
      <c r="DI31">
        <v>-0.22680043776830039</v>
      </c>
      <c r="DJ31" t="e">
        <v>#VALUE!</v>
      </c>
      <c r="DK31" t="s">
        <v>600</v>
      </c>
      <c r="DL31">
        <v>-0.19845038304726284</v>
      </c>
      <c r="DM31">
        <v>-100000000</v>
      </c>
      <c r="DN31">
        <v>-0.28350054721037549</v>
      </c>
      <c r="DO31">
        <v>8238126000</v>
      </c>
      <c r="DP31">
        <v>39919939000</v>
      </c>
      <c r="DQ31">
        <v>3016</v>
      </c>
      <c r="DR31">
        <v>20.344725037006292</v>
      </c>
      <c r="DS31">
        <v>437.23299292755286</v>
      </c>
      <c r="DT31" s="9">
        <v>-1.1599999999999999</v>
      </c>
      <c r="DU31">
        <v>-3.57</v>
      </c>
      <c r="DV31">
        <v>-4.7299999999999995</v>
      </c>
      <c r="DW31">
        <v>8.5605700712589066</v>
      </c>
      <c r="DX31">
        <v>0.35985732814526444</v>
      </c>
      <c r="DY31">
        <v>8.0896112338296504</v>
      </c>
      <c r="DZ31">
        <v>2058</v>
      </c>
      <c r="EA31">
        <v>8.0535212300681192</v>
      </c>
      <c r="EB31">
        <v>8</v>
      </c>
      <c r="EC31">
        <v>4.2105972311112606E-2</v>
      </c>
      <c r="ED31">
        <v>0.26339719798675715</v>
      </c>
      <c r="EE31" s="10">
        <v>-2.0527099999999998</v>
      </c>
      <c r="EF31">
        <v>-2.0721099999999999</v>
      </c>
      <c r="EG31">
        <v>20.159857328145264</v>
      </c>
      <c r="EH31" t="s">
        <v>855</v>
      </c>
      <c r="EI31">
        <v>0</v>
      </c>
      <c r="EJ31">
        <v>0</v>
      </c>
      <c r="EK31" s="12">
        <v>45470</v>
      </c>
      <c r="EL31" s="13">
        <v>-0.44</v>
      </c>
      <c r="EM31" s="13">
        <v>-5.05</v>
      </c>
      <c r="EN31" s="13">
        <v>2.19</v>
      </c>
      <c r="EO31" s="13">
        <v>2.6</v>
      </c>
      <c r="EP31" s="13">
        <v>-1.94</v>
      </c>
    </row>
    <row r="32" spans="1:146" ht="168" x14ac:dyDescent="0.25">
      <c r="A32" s="6"/>
      <c r="B32" s="6"/>
      <c r="C32" s="6" t="str">
        <f>"公司主营业务为有色金属矿山采掘和选矿，并通过控股公司开始进行锂盐湖资源的开发。公司目前的主要产品为铅精矿（含银）、锌精矿和铜精矿（含银）。公司基于超大型有色金属矿床的资源储量，拥有亚洲范围内名列前茅的单一铅锌矿山（井采）采选生产产能。"&amp;CHAR(10)&amp;Basic_Fundamental_Information_Constructure(F32)&amp;CHAR(10)&amp;Basic_Fundamental_Information_Concatenate("锌精矿 9.58亿 46.77% 43.23% 63.95%
铅精矿(含银)、粗铅 9.42亿 45.98% 47.89% 72.05%
铜精矿（含银） 1.47亿 7.17% 8.97% 86.50%")</f>
        <v>公司主营业务为有色金属矿山采掘和选矿，并通过控股公司开始进行锂盐湖资源的开发。公司目前的主要产品为铅精矿（含银）、锌精矿和铜精矿（含银）。公司基于超大型有色金属矿床的资源储量，拥有亚洲范围内名列前茅的单一铅锌矿山（井采）采选生产产能。
市值82.918862亿, 利润7.46亿; PE; 平均PE14.73; 平均PEG.02, PB2.58; ROIC16.66%; ROE15.0333%; 股利率0%; 毛利50.3633%; 净利13.22%; 上一年度营收增3972.12%, 利润增81.07%; 当季营收增-97.95%, 利润增-111.92%; 过往5年营收增801.83%, 利润增520.98%
Income profile:
锌精矿 9.58亿 46.77% 43.23% 63.95%
铅精矿(含银)、粗铅 9.42亿 45.98% 47.89% 72.05%
铜精矿（含银） 1.47亿 7.17% 8.97% 86.50%</v>
      </c>
      <c r="D32" t="s">
        <v>344</v>
      </c>
      <c r="E32" t="s">
        <v>345</v>
      </c>
      <c r="F32">
        <v>9.07</v>
      </c>
      <c r="G32">
        <v>-2.37</v>
      </c>
      <c r="H32" t="s">
        <v>1695</v>
      </c>
      <c r="I32">
        <v>8291886200</v>
      </c>
      <c r="K32">
        <v>2.58</v>
      </c>
      <c r="L32" t="s">
        <v>105</v>
      </c>
      <c r="M32" t="s">
        <v>1696</v>
      </c>
      <c r="N32" t="s">
        <v>1697</v>
      </c>
      <c r="O32" t="s">
        <v>635</v>
      </c>
      <c r="P32">
        <v>-38.979999999999997</v>
      </c>
      <c r="Q32" t="s">
        <v>1698</v>
      </c>
      <c r="R32">
        <v>-24673907</v>
      </c>
      <c r="S32" s="5">
        <v>-6.65</v>
      </c>
      <c r="T32" t="s">
        <v>897</v>
      </c>
      <c r="U32">
        <v>914210170</v>
      </c>
      <c r="V32">
        <v>914210170</v>
      </c>
      <c r="W32">
        <v>1.72</v>
      </c>
      <c r="X32">
        <v>0.06</v>
      </c>
      <c r="Y32">
        <v>-8.27</v>
      </c>
      <c r="Z32" t="s">
        <v>1699</v>
      </c>
      <c r="AA32" t="s">
        <v>625</v>
      </c>
      <c r="AB32" t="s">
        <v>1700</v>
      </c>
      <c r="AC32" t="s">
        <v>1701</v>
      </c>
      <c r="AD32" t="s">
        <v>5</v>
      </c>
      <c r="AE32">
        <v>18284223</v>
      </c>
      <c r="AF32" t="s">
        <v>1702</v>
      </c>
      <c r="AG32">
        <v>0.2</v>
      </c>
      <c r="AH32" t="s">
        <v>1703</v>
      </c>
      <c r="AI32" t="s">
        <v>1704</v>
      </c>
      <c r="AJ32" t="s">
        <v>1705</v>
      </c>
      <c r="AK32" t="s">
        <v>5</v>
      </c>
      <c r="AL32" t="s">
        <v>1706</v>
      </c>
      <c r="AM32" t="s">
        <v>5</v>
      </c>
      <c r="AN32" t="s">
        <v>1707</v>
      </c>
      <c r="AO32" t="s">
        <v>602</v>
      </c>
      <c r="AP32" t="s">
        <v>5</v>
      </c>
      <c r="AQ32" t="s">
        <v>756</v>
      </c>
      <c r="AR32" t="s">
        <v>1708</v>
      </c>
      <c r="AS32" t="s">
        <v>1709</v>
      </c>
      <c r="AT32" t="s">
        <v>5</v>
      </c>
      <c r="AU32" t="s">
        <v>1710</v>
      </c>
      <c r="AV32" t="s">
        <v>1711</v>
      </c>
      <c r="AW32" t="s">
        <v>1712</v>
      </c>
      <c r="AX32" t="s">
        <v>895</v>
      </c>
      <c r="AY32" t="s">
        <v>338</v>
      </c>
      <c r="AZ32" t="s">
        <v>347</v>
      </c>
      <c r="BA32" t="s">
        <v>349</v>
      </c>
      <c r="BB32" t="s">
        <v>350</v>
      </c>
      <c r="BC32" t="s">
        <v>131</v>
      </c>
      <c r="BD32" t="s">
        <v>1713</v>
      </c>
      <c r="BE32" t="s">
        <v>1714</v>
      </c>
      <c r="BF32" t="s">
        <v>1715</v>
      </c>
      <c r="BG32" t="s">
        <v>966</v>
      </c>
      <c r="BH32" t="s">
        <v>1716</v>
      </c>
      <c r="BI32" t="s">
        <v>1717</v>
      </c>
      <c r="BJ32" t="s">
        <v>895</v>
      </c>
      <c r="BK32" t="s">
        <v>1718</v>
      </c>
      <c r="BL32" t="s">
        <v>199</v>
      </c>
      <c r="BM32" t="s">
        <v>131</v>
      </c>
      <c r="BN32">
        <v>11.51</v>
      </c>
      <c r="BO32">
        <v>12.81</v>
      </c>
      <c r="BP32">
        <v>25.66</v>
      </c>
      <c r="BQ32">
        <v>2.0099999999999998</v>
      </c>
      <c r="BR32">
        <v>12.97</v>
      </c>
      <c r="BS32">
        <v>30.12</v>
      </c>
      <c r="BT32" t="s">
        <v>733</v>
      </c>
      <c r="BU32" t="s">
        <v>624</v>
      </c>
      <c r="BV32">
        <v>34.4</v>
      </c>
      <c r="BW32">
        <v>47.79</v>
      </c>
      <c r="BX32">
        <v>68.900000000000006</v>
      </c>
      <c r="BY32">
        <v>-14.96</v>
      </c>
      <c r="BZ32">
        <v>19.96</v>
      </c>
      <c r="CA32">
        <v>34.659999999999997</v>
      </c>
      <c r="CB32">
        <v>-1.84</v>
      </c>
      <c r="CC32">
        <v>-3.41</v>
      </c>
      <c r="CD32" t="s">
        <v>63</v>
      </c>
      <c r="CE32" t="s">
        <v>637</v>
      </c>
      <c r="CF32" s="7">
        <v>-0.97951831342984852</v>
      </c>
      <c r="CG32" s="8">
        <v>-1.1191976183574879</v>
      </c>
      <c r="CH32" s="7">
        <v>39.721237182617188</v>
      </c>
      <c r="CI32" s="7">
        <v>-3.7091266363859177E-2</v>
      </c>
      <c r="CJ32" s="7">
        <v>0.80847311019897461</v>
      </c>
      <c r="CK32" s="7">
        <v>-0.49283796548843384</v>
      </c>
      <c r="CL32" s="7">
        <v>9.1886542737483978E-2</v>
      </c>
      <c r="CM32" s="8">
        <v>0.81067961454391479</v>
      </c>
      <c r="CN32" s="8">
        <v>-0.42377620935440063</v>
      </c>
      <c r="CO32" s="8">
        <v>26.945842742919922</v>
      </c>
      <c r="CP32" s="8">
        <v>-0.95699965953826904</v>
      </c>
      <c r="CQ32" s="8">
        <v>-0.32692307233810425</v>
      </c>
      <c r="CR32">
        <v>14.729848176738814</v>
      </c>
      <c r="CS32">
        <v>1.8370211389484484E-2</v>
      </c>
      <c r="CT32">
        <v>0</v>
      </c>
      <c r="CU32" s="7">
        <v>8.0183335207402706</v>
      </c>
      <c r="CV32" s="8">
        <v>5.2097646832466129</v>
      </c>
      <c r="CW32">
        <v>0.06</v>
      </c>
      <c r="CX32">
        <v>1.1447992514430216</v>
      </c>
      <c r="CY32">
        <v>6346864911.7662649</v>
      </c>
      <c r="CZ32">
        <v>8.0183335207402706</v>
      </c>
      <c r="DA32">
        <v>1.5927271433928875E-2</v>
      </c>
      <c r="DB32">
        <v>456191522203.9812</v>
      </c>
      <c r="DC32">
        <v>7.6174168447032571</v>
      </c>
      <c r="DD32">
        <v>4.3889306346663897E-5</v>
      </c>
      <c r="DE32">
        <v>165550262804558.84</v>
      </c>
      <c r="DF32">
        <v>7.0561334982514383</v>
      </c>
      <c r="DG32">
        <v>2.9764127621007296E-8</v>
      </c>
      <c r="DH32">
        <v>2.4411554380219069E+17</v>
      </c>
      <c r="DI32">
        <v>6.4146668165922165</v>
      </c>
      <c r="DJ32">
        <v>1.025752108146761E-15</v>
      </c>
      <c r="DK32">
        <v>7.0834718664408754E+24</v>
      </c>
      <c r="DL32">
        <v>5.6128334645181894</v>
      </c>
      <c r="DM32">
        <v>746000000</v>
      </c>
      <c r="DN32">
        <v>8.0183335207402706</v>
      </c>
      <c r="DO32">
        <v>7265886200</v>
      </c>
      <c r="DP32">
        <v>-1612807880</v>
      </c>
      <c r="DQ32">
        <v>3109</v>
      </c>
      <c r="DR32">
        <v>-8.9978518341701186</v>
      </c>
      <c r="DS32">
        <v>-6.3289623016041006</v>
      </c>
      <c r="DT32" s="9">
        <v>1.0000000000000011E-2</v>
      </c>
      <c r="DU32">
        <v>-0.63</v>
      </c>
      <c r="DV32">
        <v>-0.62</v>
      </c>
      <c r="DW32">
        <v>-1.0341</v>
      </c>
      <c r="DX32">
        <v>0.39968174204355045</v>
      </c>
      <c r="DY32">
        <v>-1.009196147403685</v>
      </c>
      <c r="DZ32">
        <v>4922</v>
      </c>
      <c r="EA32">
        <v>-1.0003383318418577</v>
      </c>
      <c r="EB32">
        <v>1</v>
      </c>
      <c r="EC32">
        <v>0.17610830122355781</v>
      </c>
      <c r="ED32">
        <v>0.65302270702151566</v>
      </c>
      <c r="EE32" s="10">
        <v>5.1410000000000004E-2</v>
      </c>
      <c r="EF32">
        <v>6.0910000000000006E-2</v>
      </c>
      <c r="EG32">
        <v>13.26968174204355</v>
      </c>
      <c r="EH32">
        <v>-1</v>
      </c>
      <c r="EI32">
        <v>0</v>
      </c>
      <c r="EJ32">
        <v>0</v>
      </c>
      <c r="EK32" s="12">
        <v>45470</v>
      </c>
      <c r="EL32" s="13">
        <v>-3.06</v>
      </c>
      <c r="EM32" s="13">
        <v>-7.21</v>
      </c>
      <c r="EN32" s="13">
        <v>0.49</v>
      </c>
      <c r="EO32" s="13">
        <v>1.45</v>
      </c>
      <c r="EP32" s="13">
        <v>-0.95</v>
      </c>
    </row>
    <row r="33" spans="1:146" ht="132" x14ac:dyDescent="0.25">
      <c r="C33" s="6" t="str">
        <f>"公司主营业务为铝合金及其制品的研究开发与生产加工。公司主要产品为铝合金棒材、型材、结构件、板带箔、铝杆线缆。"&amp;CHAR(10)&amp;Basic_Fundamental_Information_Constructure(F33)&amp;CHAR(10)&amp;Basic_Fundamental_Information_Concatenate("商品零售 33.73亿 84.07% 44.23% 14.99%
铝加工业务 6.39亿 15.93% 55.77% 99.78%")</f>
        <v>公司主营业务为铝合金及其制品的研究开发与生产加工。公司主要产品为铝合金棒材、型材、结构件、板带箔、铝杆线缆。
市值171.71324亿, 利润65.05亿; PE17.63; 平均PE11.8; 平均PEG.05, PB1.65; ROIC8.44%; ROE4.8567%; 股利率1.7677%; 毛利11.81%; 净利-.1633%; 上一年度营收增652.89%, 利润增496.79%; 当季营收增-86.08%, 利润增-83.94%; 过往5年营收增234.99%, 利润增257.84%
Income profile:
商品零售 33.73亿 84.07% 44.23% 14.99%
铝加工业务 6.39亿 15.93% 55.77% 99.78%</v>
      </c>
      <c r="D33" s="5" t="s">
        <v>765</v>
      </c>
      <c r="E33" t="s">
        <v>900</v>
      </c>
      <c r="F33">
        <v>3.96</v>
      </c>
      <c r="G33">
        <v>-0.25</v>
      </c>
      <c r="H33" t="s">
        <v>1719</v>
      </c>
      <c r="I33">
        <v>17171324000</v>
      </c>
      <c r="J33">
        <v>17.63</v>
      </c>
      <c r="K33">
        <v>1.65</v>
      </c>
      <c r="L33" t="s">
        <v>105</v>
      </c>
      <c r="M33" t="s">
        <v>1720</v>
      </c>
      <c r="N33" t="s">
        <v>1721</v>
      </c>
      <c r="O33" t="s">
        <v>1722</v>
      </c>
      <c r="P33" s="5">
        <v>7.78</v>
      </c>
      <c r="Q33" t="s">
        <v>1723</v>
      </c>
      <c r="R33">
        <v>281776870</v>
      </c>
      <c r="S33">
        <v>6.0199999999999997E-2</v>
      </c>
      <c r="T33" t="s">
        <v>1724</v>
      </c>
      <c r="U33">
        <v>998402150</v>
      </c>
      <c r="V33">
        <v>4336192800</v>
      </c>
      <c r="W33">
        <v>2.08</v>
      </c>
      <c r="X33">
        <v>0.85</v>
      </c>
      <c r="Y33">
        <v>1.59</v>
      </c>
      <c r="Z33" t="s">
        <v>1725</v>
      </c>
      <c r="AA33" t="s">
        <v>1726</v>
      </c>
      <c r="AB33" t="s">
        <v>1727</v>
      </c>
      <c r="AC33" t="s">
        <v>36</v>
      </c>
      <c r="AD33" t="s">
        <v>5</v>
      </c>
      <c r="AE33">
        <v>79617820</v>
      </c>
      <c r="AF33" t="s">
        <v>1728</v>
      </c>
      <c r="AG33" t="s">
        <v>1729</v>
      </c>
      <c r="AH33" t="s">
        <v>1730</v>
      </c>
      <c r="AI33" t="s">
        <v>1731</v>
      </c>
      <c r="AJ33" t="s">
        <v>1732</v>
      </c>
      <c r="AK33" t="s">
        <v>898</v>
      </c>
      <c r="AL33" t="s">
        <v>1733</v>
      </c>
      <c r="AM33" t="s">
        <v>5</v>
      </c>
      <c r="AN33" t="s">
        <v>1734</v>
      </c>
      <c r="AO33" t="s">
        <v>1735</v>
      </c>
      <c r="AP33" t="s">
        <v>5</v>
      </c>
      <c r="AQ33" t="s">
        <v>1736</v>
      </c>
      <c r="AR33" t="s">
        <v>5</v>
      </c>
      <c r="AS33" t="s">
        <v>1737</v>
      </c>
      <c r="AT33" t="s">
        <v>351</v>
      </c>
      <c r="AU33" t="s">
        <v>1738</v>
      </c>
      <c r="AV33" t="s">
        <v>1739</v>
      </c>
      <c r="AW33" t="s">
        <v>1740</v>
      </c>
      <c r="AX33" t="s">
        <v>901</v>
      </c>
      <c r="AY33" t="s">
        <v>903</v>
      </c>
      <c r="AZ33" t="s">
        <v>766</v>
      </c>
      <c r="BA33" t="s">
        <v>767</v>
      </c>
      <c r="BB33" t="s">
        <v>768</v>
      </c>
      <c r="BC33" t="s">
        <v>1741</v>
      </c>
      <c r="BD33" t="s">
        <v>604</v>
      </c>
      <c r="BE33" t="s">
        <v>28</v>
      </c>
      <c r="BF33" t="s">
        <v>769</v>
      </c>
      <c r="BG33" t="s">
        <v>770</v>
      </c>
      <c r="BH33" t="s">
        <v>1742</v>
      </c>
      <c r="BI33" t="s">
        <v>1743</v>
      </c>
      <c r="BJ33" t="s">
        <v>901</v>
      </c>
      <c r="BK33" t="s">
        <v>1744</v>
      </c>
      <c r="BL33" t="s">
        <v>1745</v>
      </c>
      <c r="BM33" t="s">
        <v>1741</v>
      </c>
      <c r="BN33">
        <v>5.67</v>
      </c>
      <c r="BO33">
        <v>11.21</v>
      </c>
      <c r="BP33" t="s">
        <v>5</v>
      </c>
      <c r="BQ33">
        <v>8.07</v>
      </c>
      <c r="BR33">
        <v>19.63</v>
      </c>
      <c r="BS33">
        <v>-13.13</v>
      </c>
      <c r="BT33" t="s">
        <v>814</v>
      </c>
      <c r="BU33" t="s">
        <v>627</v>
      </c>
      <c r="BV33">
        <v>3.22</v>
      </c>
      <c r="BW33">
        <v>3.44</v>
      </c>
      <c r="BX33">
        <v>28.77</v>
      </c>
      <c r="BY33">
        <v>1.31</v>
      </c>
      <c r="BZ33">
        <v>1.57</v>
      </c>
      <c r="CA33">
        <v>-3.37</v>
      </c>
      <c r="CB33">
        <v>-1.74</v>
      </c>
      <c r="CC33" s="1">
        <v>0.51</v>
      </c>
      <c r="CD33" s="1" t="s">
        <v>1290</v>
      </c>
      <c r="CE33" s="1" t="s">
        <v>1300</v>
      </c>
      <c r="CF33" s="7">
        <v>-0.86081122341133454</v>
      </c>
      <c r="CG33" s="8">
        <v>-0.83944337891737897</v>
      </c>
      <c r="CH33" s="7">
        <v>6.5288591384887695</v>
      </c>
      <c r="CI33" s="7">
        <v>0.16641709208488464</v>
      </c>
      <c r="CJ33" s="7">
        <v>5.2235836982727051</v>
      </c>
      <c r="CK33" s="7">
        <v>-0.20378556847572327</v>
      </c>
      <c r="CL33" s="7">
        <v>3.4325152635574341E-2</v>
      </c>
      <c r="CM33" s="8">
        <v>4.9678897857666016</v>
      </c>
      <c r="CN33" s="8">
        <v>0.25431531667709351</v>
      </c>
      <c r="CO33" s="8">
        <v>7.4368929862976074</v>
      </c>
      <c r="CP33" s="8">
        <v>0.22241553664207458</v>
      </c>
      <c r="CQ33" s="8">
        <v>1.0320256464183331E-2</v>
      </c>
      <c r="CR33" s="1">
        <v>11.79530358492223</v>
      </c>
      <c r="CS33" s="1">
        <v>5.0195346459473114E-2</v>
      </c>
      <c r="CT33" s="1">
        <v>1.7676767676767675</v>
      </c>
      <c r="CU33" s="7">
        <v>2.3498799026012422</v>
      </c>
      <c r="CV33" s="8">
        <v>2.5783667763695122</v>
      </c>
      <c r="CW33">
        <v>0.06</v>
      </c>
      <c r="CX33">
        <v>0.79072406668544537</v>
      </c>
      <c r="CY33">
        <v>20557517704.17083</v>
      </c>
      <c r="CZ33">
        <v>2.3498799026012422</v>
      </c>
      <c r="DA33">
        <v>6.1390645264265964E-2</v>
      </c>
      <c r="DB33">
        <v>264785032475.65372</v>
      </c>
      <c r="DC33">
        <v>2.2323859074711798</v>
      </c>
      <c r="DD33">
        <v>2.7872833709371783E-3</v>
      </c>
      <c r="DE33">
        <v>5831959595315.3535</v>
      </c>
      <c r="DF33">
        <v>2.0678943142890933</v>
      </c>
      <c r="DG33">
        <v>7.2063818287250721E-5</v>
      </c>
      <c r="DH33">
        <v>225568452884432.22</v>
      </c>
      <c r="DI33">
        <v>1.8799039220809939</v>
      </c>
      <c r="DJ33">
        <v>1.7108918032816546E-8</v>
      </c>
      <c r="DK33">
        <v>9.5010823997290355E+17</v>
      </c>
      <c r="DL33">
        <v>1.6449159318208695</v>
      </c>
      <c r="DM33">
        <v>6505000000</v>
      </c>
      <c r="DN33">
        <v>2.3498799026012422</v>
      </c>
      <c r="DO33">
        <v>16255324000</v>
      </c>
      <c r="DP33">
        <v>3395741000</v>
      </c>
      <c r="DQ33" s="9">
        <v>3126</v>
      </c>
      <c r="DR33">
        <v>-3.210691126012577</v>
      </c>
      <c r="DS33">
        <v>-3.4178101552868911</v>
      </c>
      <c r="DT33">
        <v>0.30833333333333335</v>
      </c>
      <c r="DU33">
        <v>0.54166666666666663</v>
      </c>
      <c r="DV33">
        <v>0.85</v>
      </c>
      <c r="DW33">
        <v>5.1000000000000004E-3</v>
      </c>
      <c r="DX33">
        <v>0.5436538461538446</v>
      </c>
      <c r="DY33">
        <v>1.9566346153846157E-3</v>
      </c>
      <c r="DZ33">
        <v>2829</v>
      </c>
      <c r="EA33">
        <v>8.7340187038988429E-4</v>
      </c>
      <c r="EB33" s="10">
        <v>0</v>
      </c>
      <c r="EC33">
        <v>9.2016203707547317E-2</v>
      </c>
      <c r="ED33">
        <v>0.23984173397455943</v>
      </c>
      <c r="EE33">
        <v>-6.0725100000000003</v>
      </c>
      <c r="EF33">
        <v>-6.0649100000000002</v>
      </c>
      <c r="EG33">
        <v>16.383653846153845</v>
      </c>
      <c r="EH33" s="12" t="s">
        <v>1464</v>
      </c>
      <c r="EI33" s="13">
        <v>0</v>
      </c>
      <c r="EJ33" s="13">
        <v>0</v>
      </c>
      <c r="EK33" s="13">
        <v>45470</v>
      </c>
      <c r="EL33" s="13">
        <v>0.7</v>
      </c>
      <c r="EM33" s="13">
        <v>-4.9000000000000004</v>
      </c>
      <c r="EN33" s="13">
        <v>-5.15</v>
      </c>
      <c r="EO33" s="13">
        <v>1.94</v>
      </c>
      <c r="EP33" s="13">
        <v>0.76</v>
      </c>
    </row>
    <row r="34" spans="1:146" ht="204" x14ac:dyDescent="0.25">
      <c r="A34" s="6"/>
      <c r="B34" s="6"/>
      <c r="C34" s="6" t="str">
        <f>"公司的主营业务为铜和黄金的采选、冶炼和加工，贵金属和稀散金属的提取与加工，有色金属及相关副产品的冶炼、压延加工与深加工，以及相关产品的贸易业务。"&amp;CHAR(10)&amp;Basic_Fundamental_Information_Constructure(F34)&amp;CHAR(10)&amp;Basic_Fundamental_Information_Concatenate("阴极铜 1306.34亿 51.18% 57.20% 3.79%
铜杆线 562.87亿 22.05% 1.60% 0.25%
铜精矿、稀散及其他有色金属 313.57亿 12.28% 3.07% 0.85%
黄金 192.45亿 7.54% 5.54% 2.49%
白银 75.65亿 2.96% 74.20亿 3.01% 1.67% 1.92%
铜加工产品 31.66亿 1.24% 2.23% 6.09%
化工产品(硫酸硫精矿) 23.63亿 0.93% 18.23% 66.85%")</f>
        <v>公司的主营业务为铜和黄金的采选、冶炼和加工，贵金属和稀散金属的提取与加工，有色金属及相关副产品的冶炼、压延加工与深加工，以及相关产品的贸易业务。
市值841.78952亿, 利润3.39亿; PE13.02; 平均PE26.3; 平均PEG16.95, PB1.17; ROIC4.78%; ROE7.82%; 股利率2.4681%; 毛利3.21%; 净利1.3167%; 上一年度营收增-99.32%, 利润增-94.34%; 当季营收增15428.14%, 利润增1716.8%; 过往5年营收增-1.55%, 利润增9.96%
Income profile:
阴极铜 1306.34亿 51.18% 57.20% 3.79%
铜杆线 562.87亿 22.05% 1.60% 0.25%
铜精矿、稀散及其他有色金属 313.57亿 12.28% 3.07% 0.85%
黄金 192.45亿 7.54% 5.54% 2.49%
白银 75.65亿 2.96% 74.20亿 3.01% 1.67% 1.92%
铜加工产品 31.66亿 1.24% 2.23% 6.09%
化工产品(硫酸硫精矿) 23.63亿 0.93% 18.23% 66.85%</v>
      </c>
      <c r="D34" t="s">
        <v>353</v>
      </c>
      <c r="E34" t="s">
        <v>354</v>
      </c>
      <c r="F34">
        <v>24.31</v>
      </c>
      <c r="G34">
        <v>3.31</v>
      </c>
      <c r="H34" t="s">
        <v>1746</v>
      </c>
      <c r="I34">
        <v>84178952000</v>
      </c>
      <c r="J34">
        <v>13.02</v>
      </c>
      <c r="K34">
        <v>1.17</v>
      </c>
      <c r="L34" t="s">
        <v>105</v>
      </c>
      <c r="M34" t="s">
        <v>1747</v>
      </c>
      <c r="N34" t="s">
        <v>1748</v>
      </c>
      <c r="O34" t="s">
        <v>1749</v>
      </c>
      <c r="P34">
        <v>-4.08</v>
      </c>
      <c r="Q34" t="s">
        <v>1750</v>
      </c>
      <c r="R34">
        <v>1714868300</v>
      </c>
      <c r="S34" s="5">
        <v>-2.29E-2</v>
      </c>
      <c r="T34" t="s">
        <v>1194</v>
      </c>
      <c r="U34">
        <v>2075247400</v>
      </c>
      <c r="V34">
        <v>3462729400</v>
      </c>
      <c r="W34">
        <v>2.39</v>
      </c>
      <c r="X34">
        <v>0.68</v>
      </c>
      <c r="Y34">
        <v>1.47</v>
      </c>
      <c r="Z34" t="s">
        <v>1751</v>
      </c>
      <c r="AA34" t="s">
        <v>1752</v>
      </c>
      <c r="AB34" t="s">
        <v>161</v>
      </c>
      <c r="AC34" t="s">
        <v>1753</v>
      </c>
      <c r="AD34" t="s">
        <v>5</v>
      </c>
      <c r="AE34">
        <v>498095730</v>
      </c>
      <c r="AF34" t="s">
        <v>1754</v>
      </c>
      <c r="AG34" t="s">
        <v>1755</v>
      </c>
      <c r="AH34" t="s">
        <v>1756</v>
      </c>
      <c r="AI34" t="s">
        <v>1757</v>
      </c>
      <c r="AJ34" t="s">
        <v>1758</v>
      </c>
      <c r="AK34" t="s">
        <v>101</v>
      </c>
      <c r="AL34" t="s">
        <v>1759</v>
      </c>
      <c r="AM34" t="s">
        <v>5</v>
      </c>
      <c r="AN34" t="s">
        <v>1760</v>
      </c>
      <c r="AO34" t="s">
        <v>1761</v>
      </c>
      <c r="AP34" t="s">
        <v>1762</v>
      </c>
      <c r="AQ34" t="s">
        <v>1763</v>
      </c>
      <c r="AR34" t="s">
        <v>5</v>
      </c>
      <c r="AS34" t="s">
        <v>1764</v>
      </c>
      <c r="AT34" t="s">
        <v>1765</v>
      </c>
      <c r="AU34" t="s">
        <v>1766</v>
      </c>
      <c r="AV34" t="s">
        <v>1767</v>
      </c>
      <c r="AW34" t="s">
        <v>1768</v>
      </c>
      <c r="AX34" t="s">
        <v>905</v>
      </c>
      <c r="AY34" t="s">
        <v>553</v>
      </c>
      <c r="AZ34" t="s">
        <v>355</v>
      </c>
      <c r="BA34" t="s">
        <v>357</v>
      </c>
      <c r="BB34" t="s">
        <v>358</v>
      </c>
      <c r="BC34" t="s">
        <v>906</v>
      </c>
      <c r="BD34" t="s">
        <v>554</v>
      </c>
      <c r="BE34" t="s">
        <v>356</v>
      </c>
      <c r="BF34" t="s">
        <v>346</v>
      </c>
      <c r="BG34" t="s">
        <v>359</v>
      </c>
      <c r="BH34" t="s">
        <v>1723</v>
      </c>
      <c r="BI34" t="s">
        <v>1769</v>
      </c>
      <c r="BJ34" t="s">
        <v>905</v>
      </c>
      <c r="BK34" t="s">
        <v>1724</v>
      </c>
      <c r="BL34" t="s">
        <v>1770</v>
      </c>
      <c r="BM34" t="s">
        <v>906</v>
      </c>
      <c r="BN34">
        <v>3.81</v>
      </c>
      <c r="BO34">
        <v>5.04</v>
      </c>
      <c r="BP34">
        <v>5.49</v>
      </c>
      <c r="BQ34">
        <v>6.41</v>
      </c>
      <c r="BR34">
        <v>8.36</v>
      </c>
      <c r="BS34">
        <v>8.69</v>
      </c>
      <c r="BT34" t="s">
        <v>1771</v>
      </c>
      <c r="BU34" t="s">
        <v>628</v>
      </c>
      <c r="BV34">
        <v>2.68</v>
      </c>
      <c r="BW34">
        <v>2.99</v>
      </c>
      <c r="BX34">
        <v>3.96</v>
      </c>
      <c r="BY34">
        <v>1.34</v>
      </c>
      <c r="BZ34">
        <v>1.27</v>
      </c>
      <c r="CA34">
        <v>1.34</v>
      </c>
      <c r="CB34">
        <v>2.66</v>
      </c>
      <c r="CC34">
        <v>-4.74</v>
      </c>
      <c r="CD34" t="s">
        <v>1772</v>
      </c>
      <c r="CE34" t="s">
        <v>115</v>
      </c>
      <c r="CF34" s="7">
        <v>154.28136882129277</v>
      </c>
      <c r="CG34" s="8">
        <v>17.16797931128006</v>
      </c>
      <c r="CH34" s="7">
        <v>-0.99324911832809448</v>
      </c>
      <c r="CI34" s="7">
        <v>8.3949126303195953E-2</v>
      </c>
      <c r="CJ34" s="7">
        <v>0.38989150524139404</v>
      </c>
      <c r="CK34" s="7">
        <v>0.32535776495933533</v>
      </c>
      <c r="CL34" s="7">
        <v>0.11644755303859711</v>
      </c>
      <c r="CM34" s="8">
        <v>-0.94344347715377808</v>
      </c>
      <c r="CN34" s="8">
        <v>6.3520252704620361E-2</v>
      </c>
      <c r="CO34" s="8">
        <v>1.4293102025985718</v>
      </c>
      <c r="CP34" s="8">
        <v>-5.9205140918493271E-2</v>
      </c>
      <c r="CQ34" s="8">
        <v>7.7645308338105679E-3</v>
      </c>
      <c r="CR34">
        <v>26.303182585147379</v>
      </c>
      <c r="CS34">
        <v>16.94723488536054</v>
      </c>
      <c r="CT34">
        <v>2.4681201151789387</v>
      </c>
      <c r="CU34" s="7">
        <v>-1.552063375711441E-2</v>
      </c>
      <c r="CV34" s="8">
        <v>9.9589273612946269E-2</v>
      </c>
      <c r="CW34">
        <v>0.06</v>
      </c>
      <c r="CX34">
        <v>277.80811799410031</v>
      </c>
      <c r="CY34" t="s">
        <v>1773</v>
      </c>
      <c r="CZ34">
        <v>-1.552063375711441E-2</v>
      </c>
      <c r="DA34">
        <v>92.602705998033429</v>
      </c>
      <c r="DB34" t="s">
        <v>1774</v>
      </c>
      <c r="DC34">
        <v>-1.4744602069258688E-2</v>
      </c>
      <c r="DD34">
        <v>46.301352999016714</v>
      </c>
      <c r="DE34" t="s">
        <v>1775</v>
      </c>
      <c r="DF34">
        <v>-1.3658157706260681E-2</v>
      </c>
      <c r="DG34">
        <v>27.780811799410028</v>
      </c>
      <c r="DH34" t="s">
        <v>1776</v>
      </c>
      <c r="DI34">
        <v>-1.2416507005691529E-2</v>
      </c>
      <c r="DJ34">
        <v>13.890405899705014</v>
      </c>
      <c r="DK34" t="s">
        <v>1777</v>
      </c>
      <c r="DL34">
        <v>-1.0864443629980087E-2</v>
      </c>
      <c r="DM34">
        <v>339000000</v>
      </c>
      <c r="DN34">
        <v>-1.552063375711441E-2</v>
      </c>
      <c r="DO34">
        <v>94176952000</v>
      </c>
      <c r="DP34">
        <v>33490314000</v>
      </c>
      <c r="DQ34">
        <v>3127</v>
      </c>
      <c r="DR34">
        <v>154.29688945504989</v>
      </c>
      <c r="DS34">
        <v>17.068390037667115</v>
      </c>
      <c r="DT34" s="9">
        <v>-0.52333333333333332</v>
      </c>
      <c r="DU34">
        <v>-6.6666666666666652E-2</v>
      </c>
      <c r="DV34">
        <v>-0.59</v>
      </c>
      <c r="DW34">
        <v>6.3594594594594591</v>
      </c>
      <c r="DX34">
        <v>0.49501672727272561</v>
      </c>
      <c r="DY34">
        <v>6.0521276343980341</v>
      </c>
      <c r="DZ34">
        <v>475</v>
      </c>
      <c r="EA34">
        <v>6.0472821106526204</v>
      </c>
      <c r="EB34">
        <v>6</v>
      </c>
      <c r="EC34">
        <v>2.3033621974619212E-2</v>
      </c>
      <c r="ED34">
        <v>0.15883424214436162</v>
      </c>
      <c r="EE34" s="10">
        <v>1.0055000000000001</v>
      </c>
      <c r="EF34">
        <v>1.0503</v>
      </c>
      <c r="EG34">
        <v>35.145016727272726</v>
      </c>
      <c r="EH34" t="s">
        <v>818</v>
      </c>
      <c r="EI34">
        <v>0</v>
      </c>
      <c r="EJ34">
        <v>1</v>
      </c>
      <c r="EK34" s="12">
        <v>45470</v>
      </c>
      <c r="EL34" s="13">
        <v>0.28000000000000003</v>
      </c>
      <c r="EM34" s="13">
        <v>-3.9</v>
      </c>
      <c r="EN34" s="13">
        <v>-1.1599999999999999</v>
      </c>
      <c r="EO34" s="13">
        <v>4.6900000000000004</v>
      </c>
      <c r="EP34" s="13">
        <v>4.4800000000000004</v>
      </c>
    </row>
    <row r="35" spans="1:146" ht="216" x14ac:dyDescent="0.25">
      <c r="A35" s="6"/>
      <c r="B35" s="6"/>
      <c r="C35" s="6" t="str">
        <f>"公司主要业务是金属铜、金、钴的开采、加工、冶炼及销售，除此之外，公司的业务范围还包括贸易、金融以及生态修复等领域，即采用先进高效的湿法冶炼技术将铜矿石转化为阴极铜产品，然后出售以获得盈利。"&amp;CHAR(10)&amp;Basic_Fundamental_Information_Constructure(F35)&amp;CHAR(10)&amp;Basic_Fundamental_Information_Concatenate("自产阴极铜 23.10亿 26.90% 94.78% 23.16%
锡锭 8.44亿 9.83% -0.0052% -0.0035%
贸易阴极铜 7.21亿 8.40% -0.48% -0.38%
镍 3.75亿 4.36% 0.0045% 0.0068%
铅 2.86亿 3.33% 0.0000% 0.0000%
铝 8084.94万 0.94% -0.0033% -0.02%
硫酸 7276.03万 0.85% 1.63% 12.61%
氢氧化钴 6292.20万 0.73% 3.77% 33.79%")</f>
        <v>公司主要业务是金属铜、金、钴的开采、加工、冶炼及销售，除此之外，公司的业务范围还包括贸易、金融以及生态修复等领域，即采用先进高效的湿法冶炼技术将铜矿石转化为阴极铜产品，然后出售以获得盈利。
市值57.977641亿, 利润-13.11亿; PE; 平均PE-39.19; 平均PEG-33.81, PB.941; ROIC1.41%; ROE-3.38%; 股利率0%; 毛利6.2733%; 净利-4.13%; 上一年度营收增7.81%, 利润增-110.43%; 当季营收增-81.84%, 利润增-65.97%; 过往5年营收增-1.16%, 利润增-205.25%
Income profile:
自产阴极铜 23.10亿 26.90% 94.78% 23.16%
锡锭 8.44亿 9.83% -0.0052% -0.0035%
贸易阴极铜 7.21亿 8.40% -0.48% -0.38%
镍 3.75亿 4.36% 0.0045% 0.0068%
铅 2.86亿 3.33% 0.0000% 0.0000%
铝 8084.94万 0.94% -0.0033% -0.02%
硫酸 7276.03万 0.85% 1.63% 12.61%
氢氧化钴 6292.20万 0.73% 3.77% 33.79%</v>
      </c>
      <c r="D35" t="s">
        <v>360</v>
      </c>
      <c r="E35" t="s">
        <v>361</v>
      </c>
      <c r="F35">
        <v>2.62</v>
      </c>
      <c r="G35">
        <v>2.75</v>
      </c>
      <c r="H35" t="s">
        <v>1778</v>
      </c>
      <c r="I35">
        <v>5797764100</v>
      </c>
      <c r="K35">
        <v>0.94099999999999995</v>
      </c>
      <c r="L35" t="s">
        <v>105</v>
      </c>
      <c r="M35" t="s">
        <v>1779</v>
      </c>
      <c r="N35" t="s">
        <v>1780</v>
      </c>
      <c r="O35" t="s">
        <v>1781</v>
      </c>
      <c r="P35">
        <v>-70.27</v>
      </c>
      <c r="Q35" t="s">
        <v>1782</v>
      </c>
      <c r="R35">
        <v>28096667</v>
      </c>
      <c r="S35" s="5">
        <v>0.3236</v>
      </c>
      <c r="T35" t="s">
        <v>1783</v>
      </c>
      <c r="U35">
        <v>1992621400</v>
      </c>
      <c r="V35">
        <v>2212887100</v>
      </c>
      <c r="W35">
        <v>1.34</v>
      </c>
      <c r="X35">
        <v>7.0000000000000007E-2</v>
      </c>
      <c r="Y35">
        <v>3.38</v>
      </c>
      <c r="Z35" t="s">
        <v>1784</v>
      </c>
      <c r="AA35" t="s">
        <v>150</v>
      </c>
      <c r="AB35" t="s">
        <v>1785</v>
      </c>
      <c r="AC35" t="s">
        <v>1786</v>
      </c>
      <c r="AD35" t="s">
        <v>5</v>
      </c>
      <c r="AE35">
        <v>19963445</v>
      </c>
      <c r="AF35" t="s">
        <v>1787</v>
      </c>
      <c r="AG35" t="s">
        <v>1788</v>
      </c>
      <c r="AH35" t="s">
        <v>1789</v>
      </c>
      <c r="AI35" t="s">
        <v>1790</v>
      </c>
      <c r="AJ35" t="s">
        <v>1791</v>
      </c>
      <c r="AK35" t="s">
        <v>652</v>
      </c>
      <c r="AL35" t="s">
        <v>1792</v>
      </c>
      <c r="AM35" t="s">
        <v>5</v>
      </c>
      <c r="AN35" t="s">
        <v>1793</v>
      </c>
      <c r="AO35" t="s">
        <v>1794</v>
      </c>
      <c r="AP35" t="s">
        <v>70</v>
      </c>
      <c r="AQ35" t="s">
        <v>754</v>
      </c>
      <c r="AR35" t="s">
        <v>1795</v>
      </c>
      <c r="AS35" t="s">
        <v>877</v>
      </c>
      <c r="AT35" t="s">
        <v>5</v>
      </c>
      <c r="AU35" t="s">
        <v>1796</v>
      </c>
      <c r="AV35" t="s">
        <v>1797</v>
      </c>
      <c r="AW35" t="s">
        <v>1798</v>
      </c>
      <c r="AX35" t="s">
        <v>908</v>
      </c>
      <c r="AY35" t="s">
        <v>555</v>
      </c>
      <c r="AZ35" t="s">
        <v>362</v>
      </c>
      <c r="BA35" t="s">
        <v>363</v>
      </c>
      <c r="BB35" t="s">
        <v>364</v>
      </c>
      <c r="BC35" t="s">
        <v>909</v>
      </c>
      <c r="BD35" t="s">
        <v>556</v>
      </c>
      <c r="BE35" t="s">
        <v>312</v>
      </c>
      <c r="BF35" t="s">
        <v>285</v>
      </c>
      <c r="BG35" t="s">
        <v>32</v>
      </c>
      <c r="BH35" t="s">
        <v>1799</v>
      </c>
      <c r="BI35" t="s">
        <v>819</v>
      </c>
      <c r="BJ35" t="s">
        <v>908</v>
      </c>
      <c r="BK35" t="s">
        <v>1800</v>
      </c>
      <c r="BL35" t="s">
        <v>1801</v>
      </c>
      <c r="BM35" t="s">
        <v>909</v>
      </c>
      <c r="BN35" t="s">
        <v>5</v>
      </c>
      <c r="BO35" t="s">
        <v>5</v>
      </c>
      <c r="BP35">
        <v>1.41</v>
      </c>
      <c r="BQ35">
        <v>-0.75</v>
      </c>
      <c r="BR35">
        <v>-10.52</v>
      </c>
      <c r="BS35">
        <v>1.1299999999999999</v>
      </c>
      <c r="BT35" t="s">
        <v>733</v>
      </c>
      <c r="BU35" t="s">
        <v>628</v>
      </c>
      <c r="BV35">
        <v>6.56</v>
      </c>
      <c r="BW35">
        <v>5.69</v>
      </c>
      <c r="BX35">
        <v>6.57</v>
      </c>
      <c r="BY35">
        <v>-3.75</v>
      </c>
      <c r="BZ35">
        <v>-9.49</v>
      </c>
      <c r="CA35">
        <v>0.85</v>
      </c>
      <c r="CB35">
        <v>0.77</v>
      </c>
      <c r="CC35">
        <v>-17.350000000000001</v>
      </c>
      <c r="CD35" t="s">
        <v>806</v>
      </c>
      <c r="CE35" t="s">
        <v>967</v>
      </c>
      <c r="CF35" s="7">
        <v>-0.81840341255332116</v>
      </c>
      <c r="CG35" s="8">
        <v>-0.65974984408397064</v>
      </c>
      <c r="CH35" s="7">
        <v>7.8065164387226105E-2</v>
      </c>
      <c r="CI35" s="7">
        <v>-2.736692875623703E-2</v>
      </c>
      <c r="CJ35" s="7">
        <v>-1.4574313536286354E-2</v>
      </c>
      <c r="CK35" s="7">
        <v>-0.41069856286048889</v>
      </c>
      <c r="CL35" s="7">
        <v>0.31662371754646301</v>
      </c>
      <c r="CM35" s="8">
        <v>-1.1043339967727661</v>
      </c>
      <c r="CN35" s="8">
        <v>-9.378239631652832</v>
      </c>
      <c r="CO35" s="8">
        <v>-0.83939677476882935</v>
      </c>
      <c r="CP35" s="8">
        <v>0.48874598741531372</v>
      </c>
      <c r="CQ35" s="8">
        <v>0.57070708274841309</v>
      </c>
      <c r="CR35">
        <v>-39.18993867676415</v>
      </c>
      <c r="CS35">
        <v>-33.813040845306716</v>
      </c>
      <c r="CT35">
        <v>0</v>
      </c>
      <c r="CU35" s="7">
        <v>-1.1590184643864632E-2</v>
      </c>
      <c r="CV35" s="8">
        <v>-2.0525034666061401</v>
      </c>
      <c r="CW35">
        <v>0.06</v>
      </c>
      <c r="CX35" t="e">
        <v>#VALUE!</v>
      </c>
      <c r="CY35" t="s">
        <v>600</v>
      </c>
      <c r="CZ35">
        <v>-1.1590184643864632E-2</v>
      </c>
      <c r="DA35" t="e">
        <v>#VALUE!</v>
      </c>
      <c r="DB35" t="s">
        <v>600</v>
      </c>
      <c r="DC35">
        <v>-1.1010675411671399E-2</v>
      </c>
      <c r="DD35" t="e">
        <v>#VALUE!</v>
      </c>
      <c r="DE35" t="s">
        <v>600</v>
      </c>
      <c r="DF35">
        <v>-1.0199362486600876E-2</v>
      </c>
      <c r="DG35" t="e">
        <v>#VALUE!</v>
      </c>
      <c r="DH35" t="s">
        <v>600</v>
      </c>
      <c r="DI35">
        <v>-9.272147715091706E-3</v>
      </c>
      <c r="DJ35" t="e">
        <v>#VALUE!</v>
      </c>
      <c r="DK35" t="s">
        <v>600</v>
      </c>
      <c r="DL35">
        <v>-8.1131292507052415E-3</v>
      </c>
      <c r="DM35">
        <v>-1311000000</v>
      </c>
      <c r="DN35">
        <v>-1.1590184643864632E-2</v>
      </c>
      <c r="DO35">
        <v>2349764100</v>
      </c>
      <c r="DP35">
        <v>502869200</v>
      </c>
      <c r="DQ35">
        <v>3213</v>
      </c>
      <c r="DR35">
        <v>-0.80681322790945653</v>
      </c>
      <c r="DS35">
        <v>1.3927536225221695</v>
      </c>
      <c r="DT35" s="9">
        <v>-0.45666666666666672</v>
      </c>
      <c r="DU35">
        <v>-1.956666666666667</v>
      </c>
      <c r="DV35">
        <v>-2.4133333333333336</v>
      </c>
      <c r="DW35">
        <v>-3.0152678571428573</v>
      </c>
      <c r="DX35">
        <v>0.46661764705882602</v>
      </c>
      <c r="DY35">
        <v>-3.0016278230042017</v>
      </c>
      <c r="DZ35">
        <v>232</v>
      </c>
      <c r="EA35">
        <v>-3.0015539179284727</v>
      </c>
      <c r="EB35">
        <v>3</v>
      </c>
      <c r="EC35">
        <v>6.5525258834940106E-2</v>
      </c>
      <c r="ED35">
        <v>0.61458173803805893</v>
      </c>
      <c r="EE35" s="10">
        <v>3.0790000000000002</v>
      </c>
      <c r="EF35">
        <v>3.0659000000000001</v>
      </c>
      <c r="EG35">
        <v>36.106617647058826</v>
      </c>
      <c r="EH35" t="s">
        <v>828</v>
      </c>
      <c r="EI35">
        <v>0</v>
      </c>
      <c r="EJ35">
        <v>1</v>
      </c>
      <c r="EK35" s="12">
        <v>45470</v>
      </c>
      <c r="EL35" s="13">
        <v>0.13</v>
      </c>
      <c r="EM35" s="13">
        <v>-1.6</v>
      </c>
      <c r="EN35" s="13">
        <v>-1.83</v>
      </c>
      <c r="EO35" s="13">
        <v>-0.34</v>
      </c>
      <c r="EP35" s="13">
        <v>-1.31</v>
      </c>
    </row>
    <row r="36" spans="1:146" ht="168" x14ac:dyDescent="0.25">
      <c r="A36" s="6"/>
      <c r="B36" s="6"/>
      <c r="C36" s="6" t="str">
        <f>"公司主要从事锌、铅、锗系列产品的采选、冶炼、深加工与销售。公司主要产品有锌产品、铅产品、硫酸、银产品、硫精矿、铅精矿、锌精矿、煤炭、电解铜、锗产品。"&amp;CHAR(10)&amp;Basic_Fundamental_Information_Constructure(F36)&amp;CHAR(10)&amp;Basic_Fundamental_Information_Concatenate("锌产品 161.53亿 74.38% 58.46% 13.08%
铅产品 26.67亿 12.28% 12.68% 17.18%
银产品 7.55亿 3.48% 9.60% 45.95%
锌精矿 5.32亿 2.45% 3.76% 25.54%
锗产品 4.05亿 1.87% 4.15% 37.01%")</f>
        <v>公司主要从事锌、铅、锗系列产品的采选、冶炼、深加工与销售。公司主要产品有锌产品、铅产品、硫酸、银产品、硫精矿、铅精矿、锌精矿、煤炭、电解铜、锗产品。
市值282.05755亿, 利润5.05亿; PE21.86; 平均PE46.6; 平均PEG3.9, PB1.73; ROIC4.2733%; ROE6.3167%; 股利率2.5271%; 毛利16.2%; 净利3.8733%; 上一年度营收增42.15%, 利润增-24.74%; 当季营收增-6.86%, 利润增1203.91%; 过往5年营收增11.94%, 利润增-.13%
Income profile:
锌产品 161.53亿 74.38% 58.46% 13.08%
铅产品 26.67亿 12.28% 12.68% 17.18%
银产品 7.55亿 3.48% 9.60% 45.95%
锌精矿 5.32亿 2.45% 3.76% 25.54%
锗产品 4.05亿 1.87% 4.15% 37.01%</v>
      </c>
      <c r="D36" t="s">
        <v>365</v>
      </c>
      <c r="E36" t="s">
        <v>366</v>
      </c>
      <c r="F36">
        <v>5.54</v>
      </c>
      <c r="G36">
        <v>3.75</v>
      </c>
      <c r="H36" t="s">
        <v>489</v>
      </c>
      <c r="I36">
        <v>28205755000</v>
      </c>
      <c r="J36">
        <v>21.86</v>
      </c>
      <c r="K36">
        <v>1.73</v>
      </c>
      <c r="L36" t="s">
        <v>105</v>
      </c>
      <c r="M36" t="s">
        <v>1802</v>
      </c>
      <c r="N36" t="s">
        <v>1803</v>
      </c>
      <c r="O36" t="s">
        <v>1804</v>
      </c>
      <c r="P36">
        <v>-19.600000000000001</v>
      </c>
      <c r="Q36" t="s">
        <v>1805</v>
      </c>
      <c r="R36">
        <v>487535410</v>
      </c>
      <c r="S36" s="5">
        <v>-0.22600000000000001</v>
      </c>
      <c r="T36" t="s">
        <v>626</v>
      </c>
      <c r="U36">
        <v>5091291600</v>
      </c>
      <c r="V36">
        <v>5091291600</v>
      </c>
      <c r="W36">
        <v>1.45</v>
      </c>
      <c r="X36">
        <v>0.17</v>
      </c>
      <c r="Y36">
        <v>10.32</v>
      </c>
      <c r="Z36" t="s">
        <v>1806</v>
      </c>
      <c r="AA36" t="s">
        <v>1807</v>
      </c>
      <c r="AB36" t="s">
        <v>1808</v>
      </c>
      <c r="AC36" t="s">
        <v>804</v>
      </c>
      <c r="AD36" t="s">
        <v>5</v>
      </c>
      <c r="AE36">
        <v>20071615</v>
      </c>
      <c r="AF36" t="s">
        <v>1809</v>
      </c>
      <c r="AG36" t="s">
        <v>1810</v>
      </c>
      <c r="AH36" t="s">
        <v>1811</v>
      </c>
      <c r="AI36" t="s">
        <v>884</v>
      </c>
      <c r="AJ36" t="s">
        <v>1812</v>
      </c>
      <c r="AK36" t="s">
        <v>5</v>
      </c>
      <c r="AL36" t="s">
        <v>1813</v>
      </c>
      <c r="AM36" t="s">
        <v>5</v>
      </c>
      <c r="AN36" t="s">
        <v>1814</v>
      </c>
      <c r="AO36" t="s">
        <v>641</v>
      </c>
      <c r="AP36" t="s">
        <v>5</v>
      </c>
      <c r="AQ36" t="s">
        <v>1815</v>
      </c>
      <c r="AR36" t="s">
        <v>5</v>
      </c>
      <c r="AS36" t="s">
        <v>1816</v>
      </c>
      <c r="AT36" t="s">
        <v>1817</v>
      </c>
      <c r="AU36" t="s">
        <v>1818</v>
      </c>
      <c r="AV36" t="s">
        <v>1819</v>
      </c>
      <c r="AW36" t="s">
        <v>1820</v>
      </c>
      <c r="AX36" t="s">
        <v>910</v>
      </c>
      <c r="AY36" t="s">
        <v>557</v>
      </c>
      <c r="AZ36" t="s">
        <v>367</v>
      </c>
      <c r="BA36" t="s">
        <v>370</v>
      </c>
      <c r="BB36" t="s">
        <v>371</v>
      </c>
      <c r="BC36" t="s">
        <v>1821</v>
      </c>
      <c r="BD36" t="s">
        <v>523</v>
      </c>
      <c r="BE36" t="s">
        <v>368</v>
      </c>
      <c r="BF36" t="s">
        <v>372</v>
      </c>
      <c r="BG36" t="s">
        <v>373</v>
      </c>
      <c r="BH36" t="s">
        <v>1822</v>
      </c>
      <c r="BI36" t="s">
        <v>1823</v>
      </c>
      <c r="BJ36" t="s">
        <v>910</v>
      </c>
      <c r="BK36" t="s">
        <v>1824</v>
      </c>
      <c r="BL36" t="s">
        <v>1825</v>
      </c>
      <c r="BM36" t="s">
        <v>1821</v>
      </c>
      <c r="BN36">
        <v>7.06</v>
      </c>
      <c r="BO36">
        <v>3.03</v>
      </c>
      <c r="BP36">
        <v>2.73</v>
      </c>
      <c r="BQ36">
        <v>10.52</v>
      </c>
      <c r="BR36">
        <v>4.5</v>
      </c>
      <c r="BS36">
        <v>3.93</v>
      </c>
      <c r="BT36" t="s">
        <v>1067</v>
      </c>
      <c r="BU36" t="s">
        <v>624</v>
      </c>
      <c r="BV36">
        <v>16.059999999999999</v>
      </c>
      <c r="BW36">
        <v>15.89</v>
      </c>
      <c r="BX36">
        <v>16.649999999999999</v>
      </c>
      <c r="BY36">
        <v>6.42</v>
      </c>
      <c r="BZ36">
        <v>2.72</v>
      </c>
      <c r="CA36">
        <v>2.48</v>
      </c>
      <c r="CB36">
        <v>3.75</v>
      </c>
      <c r="CC36">
        <v>1.47</v>
      </c>
      <c r="CD36" t="s">
        <v>1826</v>
      </c>
      <c r="CE36" t="s">
        <v>1827</v>
      </c>
      <c r="CF36" s="7">
        <v>-6.8580542264752797E-2</v>
      </c>
      <c r="CG36" s="8">
        <v>12.039053072446404</v>
      </c>
      <c r="CH36" s="7">
        <v>0.42146119475364685</v>
      </c>
      <c r="CI36" s="7">
        <v>8.4265340119600296E-3</v>
      </c>
      <c r="CJ36" s="7">
        <v>0.13315942883491516</v>
      </c>
      <c r="CK36" s="7">
        <v>0.16838379204273224</v>
      </c>
      <c r="CL36" s="7">
        <v>-0.13445200026035309</v>
      </c>
      <c r="CM36" s="8">
        <v>-0.2473919540643692</v>
      </c>
      <c r="CN36" s="8">
        <v>0.14897260069847107</v>
      </c>
      <c r="CO36" s="8">
        <v>0.23728813230991364</v>
      </c>
      <c r="CP36" s="8">
        <v>-0.39253538846969604</v>
      </c>
      <c r="CQ36" s="8">
        <v>0.24719101190567017</v>
      </c>
      <c r="CR36">
        <v>46.595410242290747</v>
      </c>
      <c r="CS36">
        <v>3.9026007776703477</v>
      </c>
      <c r="CT36">
        <v>2.5270758122743682</v>
      </c>
      <c r="CU36" s="7">
        <v>0.11939578987658024</v>
      </c>
      <c r="CV36" s="8">
        <v>-1.2951195240020752E-3</v>
      </c>
      <c r="CW36">
        <v>0.06</v>
      </c>
      <c r="CX36">
        <v>33.596201163808466</v>
      </c>
      <c r="CY36">
        <v>533297050.83742738</v>
      </c>
      <c r="CZ36">
        <v>0.11939578987658024</v>
      </c>
      <c r="DA36">
        <v>10.709908717455148</v>
      </c>
      <c r="DB36">
        <v>1672913884.9520762</v>
      </c>
      <c r="DC36">
        <v>0.11342600038275122</v>
      </c>
      <c r="DD36">
        <v>5.098329100177633</v>
      </c>
      <c r="DE36">
        <v>3514240577.2463288</v>
      </c>
      <c r="DF36">
        <v>0.10506829509139061</v>
      </c>
      <c r="DG36">
        <v>2.9464685173257941</v>
      </c>
      <c r="DH36">
        <v>6080755621.3976431</v>
      </c>
      <c r="DI36">
        <v>9.5516631901264193E-2</v>
      </c>
      <c r="DJ36">
        <v>1.396796553181932</v>
      </c>
      <c r="DK36">
        <v>12827032654.959846</v>
      </c>
      <c r="DL36">
        <v>8.3577052913606162E-2</v>
      </c>
      <c r="DM36">
        <v>505000000</v>
      </c>
      <c r="DN36">
        <v>0.11939578987658024</v>
      </c>
      <c r="DO36">
        <v>17916755000</v>
      </c>
      <c r="DP36">
        <v>-901041300</v>
      </c>
      <c r="DQ36">
        <v>3218</v>
      </c>
      <c r="DR36">
        <v>-0.18797633214133302</v>
      </c>
      <c r="DS36">
        <v>12.040348191970406</v>
      </c>
      <c r="DT36" s="9">
        <v>-0.1566666666666667</v>
      </c>
      <c r="DU36">
        <v>-4.9999999999999989E-2</v>
      </c>
      <c r="DV36">
        <v>-0.20666666666666669</v>
      </c>
      <c r="DW36">
        <v>4.3920000000000003</v>
      </c>
      <c r="DX36">
        <v>0.67501017951908326</v>
      </c>
      <c r="DY36">
        <v>4.0568439903714806</v>
      </c>
      <c r="DZ36">
        <v>2109</v>
      </c>
      <c r="EA36">
        <v>4.0333833297661084</v>
      </c>
      <c r="EB36">
        <v>4</v>
      </c>
      <c r="EC36">
        <v>6.9923317690151546E-2</v>
      </c>
      <c r="ED36">
        <v>0.48219591272281476</v>
      </c>
      <c r="EE36" s="10">
        <v>-1.0468999999999999</v>
      </c>
      <c r="EF36">
        <v>-1.0351999999999999</v>
      </c>
      <c r="EG36">
        <v>53.145010179519083</v>
      </c>
      <c r="EH36" t="s">
        <v>853</v>
      </c>
      <c r="EI36">
        <v>0</v>
      </c>
      <c r="EJ36">
        <v>0</v>
      </c>
      <c r="EK36" s="12">
        <v>45470</v>
      </c>
      <c r="EL36" s="13">
        <v>0.39</v>
      </c>
      <c r="EM36" s="13">
        <v>-1.94</v>
      </c>
      <c r="EN36" s="13">
        <v>0</v>
      </c>
      <c r="EO36" s="13">
        <v>1.58</v>
      </c>
      <c r="EP36" s="13">
        <v>-1.17</v>
      </c>
    </row>
    <row r="37" spans="1:146" ht="96" x14ac:dyDescent="0.25">
      <c r="A37" s="6"/>
      <c r="B37" s="6"/>
      <c r="C37" s="6" t="str">
        <f>""&amp;CHAR(10)&amp;Basic_Fundamental_Information_Constructure(F37)&amp;CHAR(10)&amp;Basic_Fundamental_Information_Concatenate("")</f>
        <v xml:space="preserve">
市值71.410893亿, 利润-1.34亿; PE11.93; 平均PE31.71; 平均PEG3.64, PB1.43; ROIC5.1767%; ROE10.31%; 股利率2.4427%; 毛利3.74%; 净利1.6167%; 上一年度营收增-82.41%, 利润增-131.53%; 当季营收增359.08%, 利润增1603.2%; 过往5年营收增-8.71%, 利润增2.2%
Income profile:
</v>
      </c>
      <c r="D37" t="s">
        <v>374</v>
      </c>
      <c r="E37" t="s">
        <v>1828</v>
      </c>
      <c r="F37">
        <v>6.55</v>
      </c>
      <c r="G37">
        <v>3.97</v>
      </c>
      <c r="H37" t="s">
        <v>1829</v>
      </c>
      <c r="I37">
        <v>7141089300</v>
      </c>
      <c r="J37">
        <v>11.93</v>
      </c>
      <c r="K37">
        <v>1.43</v>
      </c>
      <c r="L37" t="s">
        <v>105</v>
      </c>
      <c r="M37" t="s">
        <v>1830</v>
      </c>
      <c r="N37" t="s">
        <v>1831</v>
      </c>
      <c r="O37" t="s">
        <v>1832</v>
      </c>
      <c r="P37">
        <v>2.7</v>
      </c>
      <c r="Q37" t="s">
        <v>1833</v>
      </c>
      <c r="R37">
        <v>169003040</v>
      </c>
      <c r="S37" s="5">
        <v>0.1129</v>
      </c>
      <c r="T37" t="s">
        <v>1171</v>
      </c>
      <c r="U37">
        <v>1090242630</v>
      </c>
      <c r="V37">
        <v>1090242630</v>
      </c>
      <c r="W37">
        <v>3.25</v>
      </c>
      <c r="X37">
        <v>0.55000000000000004</v>
      </c>
      <c r="Y37">
        <v>1.97</v>
      </c>
      <c r="Z37" t="s">
        <v>1834</v>
      </c>
      <c r="AA37" t="s">
        <v>958</v>
      </c>
      <c r="AB37" t="s">
        <v>1835</v>
      </c>
      <c r="AC37" t="s">
        <v>1836</v>
      </c>
      <c r="AD37" t="s">
        <v>5</v>
      </c>
      <c r="AE37">
        <v>97585874</v>
      </c>
      <c r="AF37" t="s">
        <v>1837</v>
      </c>
      <c r="AG37" t="s">
        <v>1838</v>
      </c>
      <c r="AH37" t="s">
        <v>1839</v>
      </c>
      <c r="AI37" t="s">
        <v>1840</v>
      </c>
      <c r="AJ37" t="s">
        <v>1841</v>
      </c>
      <c r="AK37" t="s">
        <v>1842</v>
      </c>
      <c r="AL37" t="s">
        <v>1843</v>
      </c>
      <c r="AM37" t="s">
        <v>5</v>
      </c>
      <c r="AN37" t="s">
        <v>776</v>
      </c>
      <c r="AO37" t="s">
        <v>1844</v>
      </c>
      <c r="AP37" t="s">
        <v>28</v>
      </c>
      <c r="AQ37" t="s">
        <v>1845</v>
      </c>
      <c r="AR37" t="s">
        <v>5</v>
      </c>
      <c r="AS37" t="s">
        <v>1846</v>
      </c>
      <c r="AT37" t="s">
        <v>1847</v>
      </c>
      <c r="AU37" t="s">
        <v>750</v>
      </c>
      <c r="AV37" t="s">
        <v>1848</v>
      </c>
      <c r="AW37" t="s">
        <v>732</v>
      </c>
      <c r="AX37" t="s">
        <v>911</v>
      </c>
      <c r="AY37" t="s">
        <v>559</v>
      </c>
      <c r="AZ37" t="s">
        <v>375</v>
      </c>
      <c r="BA37" t="s">
        <v>377</v>
      </c>
      <c r="BB37" t="s">
        <v>378</v>
      </c>
      <c r="BC37" t="s">
        <v>912</v>
      </c>
      <c r="BD37" t="s">
        <v>560</v>
      </c>
      <c r="BE37" t="s">
        <v>376</v>
      </c>
      <c r="BF37" t="s">
        <v>166</v>
      </c>
      <c r="BG37" t="s">
        <v>38</v>
      </c>
      <c r="BH37" t="s">
        <v>1849</v>
      </c>
      <c r="BI37" t="s">
        <v>204</v>
      </c>
      <c r="BJ37" t="s">
        <v>911</v>
      </c>
      <c r="BK37" t="s">
        <v>1850</v>
      </c>
      <c r="BL37" t="s">
        <v>1851</v>
      </c>
      <c r="BM37" t="s">
        <v>912</v>
      </c>
      <c r="BN37">
        <v>5.05</v>
      </c>
      <c r="BO37">
        <v>5.4</v>
      </c>
      <c r="BP37">
        <v>5.08</v>
      </c>
      <c r="BQ37">
        <v>10.6</v>
      </c>
      <c r="BR37">
        <v>10.07</v>
      </c>
      <c r="BS37">
        <v>10.26</v>
      </c>
      <c r="BT37" t="s">
        <v>757</v>
      </c>
      <c r="BU37" t="s">
        <v>624</v>
      </c>
      <c r="BV37">
        <v>4.7</v>
      </c>
      <c r="BW37">
        <v>2.44</v>
      </c>
      <c r="BX37">
        <v>4.08</v>
      </c>
      <c r="BY37">
        <v>1.8</v>
      </c>
      <c r="BZ37">
        <v>1.57</v>
      </c>
      <c r="CA37">
        <v>1.48</v>
      </c>
      <c r="CB37">
        <v>4.3</v>
      </c>
      <c r="CC37">
        <v>-2.82</v>
      </c>
      <c r="CD37" t="s">
        <v>785</v>
      </c>
      <c r="CE37" t="s">
        <v>1852</v>
      </c>
      <c r="CF37" s="7">
        <v>3.5907873594001063</v>
      </c>
      <c r="CG37" s="8">
        <v>16.03196105898596</v>
      </c>
      <c r="CH37" s="7">
        <v>-0.82413691282272339</v>
      </c>
      <c r="CI37" s="7">
        <v>8.2183508202433586E-3</v>
      </c>
      <c r="CJ37" s="7">
        <v>0.3287380039691925</v>
      </c>
      <c r="CK37" s="7">
        <v>9.9652275443077087E-2</v>
      </c>
      <c r="CL37" s="7">
        <v>-4.8101834952831268E-2</v>
      </c>
      <c r="CM37" s="8">
        <v>-1.3152941465377808</v>
      </c>
      <c r="CN37" s="8">
        <v>6.25E-2</v>
      </c>
      <c r="CO37" s="8">
        <v>0.28205129504203796</v>
      </c>
      <c r="CP37" s="8">
        <v>0.4444444477558136</v>
      </c>
      <c r="CQ37" s="8">
        <v>0.63636362552642822</v>
      </c>
      <c r="CR37">
        <v>31.714682309400445</v>
      </c>
      <c r="CS37">
        <v>3.6400929403448474</v>
      </c>
      <c r="CT37">
        <v>2.4427480916030535</v>
      </c>
      <c r="CU37" s="7">
        <v>-8.7126023508608347E-2</v>
      </c>
      <c r="CV37" s="8">
        <v>2.2013044357299803E-2</v>
      </c>
      <c r="CW37">
        <v>0.06</v>
      </c>
      <c r="CX37" t="e">
        <v>#VALUE!</v>
      </c>
      <c r="CY37" t="s">
        <v>600</v>
      </c>
      <c r="CZ37">
        <v>-8.7126023508608347E-2</v>
      </c>
      <c r="DA37" t="e">
        <v>#VALUE!</v>
      </c>
      <c r="DB37" t="s">
        <v>600</v>
      </c>
      <c r="DC37">
        <v>-8.276972233317792E-2</v>
      </c>
      <c r="DD37" t="e">
        <v>#VALUE!</v>
      </c>
      <c r="DE37" t="s">
        <v>600</v>
      </c>
      <c r="DF37">
        <v>-7.6670900687575344E-2</v>
      </c>
      <c r="DG37" t="e">
        <v>#VALUE!</v>
      </c>
      <c r="DH37" t="s">
        <v>600</v>
      </c>
      <c r="DI37">
        <v>-6.970081880688668E-2</v>
      </c>
      <c r="DJ37" t="e">
        <v>#VALUE!</v>
      </c>
      <c r="DK37" t="s">
        <v>600</v>
      </c>
      <c r="DL37">
        <v>-6.098821645602584E-2</v>
      </c>
      <c r="DM37">
        <v>-134000000.00000001</v>
      </c>
      <c r="DN37">
        <v>-8.7126023508608347E-2</v>
      </c>
      <c r="DO37">
        <v>12127089300</v>
      </c>
      <c r="DP37">
        <v>2448562500</v>
      </c>
      <c r="DQ37">
        <v>3249</v>
      </c>
      <c r="DR37">
        <v>3.6779133829087147</v>
      </c>
      <c r="DS37">
        <v>16.009948014628659</v>
      </c>
      <c r="DT37" s="9">
        <v>-0.64</v>
      </c>
      <c r="DU37">
        <v>-0.3</v>
      </c>
      <c r="DV37">
        <v>-0.94</v>
      </c>
      <c r="DW37">
        <v>4.655813953488372</v>
      </c>
      <c r="DX37">
        <v>0.44415971394517439</v>
      </c>
      <c r="DY37">
        <v>4.0617512542617176</v>
      </c>
      <c r="DZ37">
        <v>4836</v>
      </c>
      <c r="EA37">
        <v>4.0033111240054229</v>
      </c>
      <c r="EB37">
        <v>4</v>
      </c>
      <c r="EC37">
        <v>0.14492186936406989</v>
      </c>
      <c r="ED37">
        <v>1.539106941727274</v>
      </c>
      <c r="EE37" s="10">
        <v>7.1809999999999999E-2</v>
      </c>
      <c r="EF37">
        <v>8.8410000000000002E-2</v>
      </c>
      <c r="EG37">
        <v>35.094159713945174</v>
      </c>
      <c r="EH37">
        <v>-1</v>
      </c>
      <c r="EI37">
        <v>0</v>
      </c>
      <c r="EJ37">
        <v>0</v>
      </c>
      <c r="EK37" s="12">
        <v>45470</v>
      </c>
      <c r="EL37" s="13">
        <v>5.36</v>
      </c>
      <c r="EM37" s="13">
        <v>-9.82</v>
      </c>
      <c r="EN37" s="13">
        <v>-2.02</v>
      </c>
      <c r="EO37" s="13">
        <v>-0.82</v>
      </c>
      <c r="EP37" s="13">
        <v>-1.66</v>
      </c>
    </row>
    <row r="38" spans="1:146" ht="204" x14ac:dyDescent="0.25">
      <c r="A38" s="6"/>
      <c r="B38" s="6"/>
      <c r="C38" s="6" t="str">
        <f>"公司主营业务为铝及铝精深加工，配套煤炭开采、火力发电、炭素等产业。公司主要产品包括易拉罐罐体料、罐盖料、拉环料、高档双零铝箔毛料、3C电子产品用高表面阳极氧化料、油罐车用高性能板材、汽车板用坯料、新能源电池包用铝箔毛料、铝合金车轮、中间合金、精铝锭、铝棒材、煤炭开采、火力发电。"&amp;CHAR(10)&amp;Basic_Fundamental_Information_Constructure(F38)&amp;CHAR(10)&amp;Basic_Fundamental_Information_Concatenate("铝加工 66.31亿 66.35% 65.03% 21.02%
电解铝 23.36亿 23.38% 27.48% 25.21%
贸易 4.54亿 4.55% 0.27% 1.29%
煤炭 2.50亿 2.50% 6.28% 53.83%
电 2.04亿 2.04% 1.05% 10.99%")</f>
        <v>公司主营业务为铝及铝精深加工，配套煤炭开采、火力发电、炭素等产业。公司主要产品包括易拉罐罐体料、罐盖料、拉环料、高档双零铝箔毛料、3C电子产品用高表面阳极氧化料、油罐车用高性能板材、汽车板用坯料、新能源电池包用铝箔毛料、铝合金车轮、中间合金、精铝锭、铝棒材、煤炭开采、火力发电。
市值101.049105亿, 利润1.40亿; PE10.07; 平均PE-25.51; 平均PEG-1.6, PB.736; ROIC8.9933%; ROE11.22%; 股利率0%; 毛利17.74%; 净利9.0033%; 上一年度营收增-16.48%, 利润增-86.67%; 当季营收增33.56%, 利润增-58.75%; 过往5年营收增15.97%, 利润增-320.03%
Income profile:
铝加工 66.31亿 66.35% 65.03% 21.02%
电解铝 23.36亿 23.38% 27.48% 25.21%
贸易 4.54亿 4.55% 0.27% 1.29%
煤炭 2.50亿 2.50% 6.28% 53.83%
电 2.04亿 2.04% 1.05% 10.99%</v>
      </c>
      <c r="D38" t="s">
        <v>379</v>
      </c>
      <c r="E38" t="s">
        <v>605</v>
      </c>
      <c r="F38">
        <v>2.52</v>
      </c>
      <c r="G38">
        <v>1.2</v>
      </c>
      <c r="H38" t="s">
        <v>1853</v>
      </c>
      <c r="I38">
        <v>10104910500</v>
      </c>
      <c r="J38">
        <v>10.07</v>
      </c>
      <c r="K38">
        <v>0.73599999999999999</v>
      </c>
      <c r="L38" t="s">
        <v>105</v>
      </c>
      <c r="M38" t="s">
        <v>1854</v>
      </c>
      <c r="N38" t="s">
        <v>1855</v>
      </c>
      <c r="O38" t="s">
        <v>1856</v>
      </c>
      <c r="P38">
        <v>28.19</v>
      </c>
      <c r="Q38" t="s">
        <v>1857</v>
      </c>
      <c r="R38">
        <v>43725057</v>
      </c>
      <c r="S38" s="5">
        <v>-0.78069999999999995</v>
      </c>
      <c r="T38" t="s">
        <v>748</v>
      </c>
      <c r="U38">
        <v>3966105100</v>
      </c>
      <c r="V38">
        <v>4009885100</v>
      </c>
      <c r="W38">
        <v>1.54</v>
      </c>
      <c r="X38">
        <v>0.22</v>
      </c>
      <c r="Y38">
        <v>0.75</v>
      </c>
      <c r="Z38" t="s">
        <v>930</v>
      </c>
      <c r="AA38" t="s">
        <v>1858</v>
      </c>
      <c r="AB38" t="s">
        <v>1859</v>
      </c>
      <c r="AC38" t="s">
        <v>1860</v>
      </c>
      <c r="AD38" t="s">
        <v>5</v>
      </c>
      <c r="AE38">
        <v>62967125</v>
      </c>
      <c r="AF38" t="s">
        <v>1861</v>
      </c>
      <c r="AG38" t="s">
        <v>1862</v>
      </c>
      <c r="AH38" t="s">
        <v>1863</v>
      </c>
      <c r="AI38" t="s">
        <v>778</v>
      </c>
      <c r="AJ38" t="s">
        <v>1864</v>
      </c>
      <c r="AK38" t="s">
        <v>5</v>
      </c>
      <c r="AL38" t="s">
        <v>1865</v>
      </c>
      <c r="AM38" t="s">
        <v>5</v>
      </c>
      <c r="AN38" t="s">
        <v>128</v>
      </c>
      <c r="AO38" t="s">
        <v>752</v>
      </c>
      <c r="AP38" t="s">
        <v>898</v>
      </c>
      <c r="AQ38" t="s">
        <v>1866</v>
      </c>
      <c r="AR38" t="s">
        <v>5</v>
      </c>
      <c r="AS38" t="s">
        <v>396</v>
      </c>
      <c r="AT38" t="s">
        <v>845</v>
      </c>
      <c r="AU38" t="s">
        <v>1867</v>
      </c>
      <c r="AV38" t="s">
        <v>1868</v>
      </c>
      <c r="AW38" t="s">
        <v>1869</v>
      </c>
      <c r="AX38" t="s">
        <v>915</v>
      </c>
      <c r="AY38" t="s">
        <v>917</v>
      </c>
      <c r="AZ38" t="s">
        <v>380</v>
      </c>
      <c r="BA38" t="s">
        <v>382</v>
      </c>
      <c r="BB38" t="s">
        <v>383</v>
      </c>
      <c r="BC38" t="s">
        <v>916</v>
      </c>
      <c r="BD38" t="s">
        <v>248</v>
      </c>
      <c r="BE38" t="s">
        <v>381</v>
      </c>
      <c r="BF38" t="s">
        <v>27</v>
      </c>
      <c r="BG38" t="s">
        <v>384</v>
      </c>
      <c r="BH38" t="s">
        <v>1870</v>
      </c>
      <c r="BI38" t="s">
        <v>1871</v>
      </c>
      <c r="BJ38" t="s">
        <v>915</v>
      </c>
      <c r="BK38" t="s">
        <v>822</v>
      </c>
      <c r="BL38" t="s">
        <v>126</v>
      </c>
      <c r="BM38" t="s">
        <v>916</v>
      </c>
      <c r="BN38">
        <v>6.33</v>
      </c>
      <c r="BO38">
        <v>9.14</v>
      </c>
      <c r="BP38">
        <v>11.51</v>
      </c>
      <c r="BQ38">
        <v>6.27</v>
      </c>
      <c r="BR38">
        <v>9.4499999999999993</v>
      </c>
      <c r="BS38">
        <v>17.940000000000001</v>
      </c>
      <c r="BT38" t="s">
        <v>733</v>
      </c>
      <c r="BU38" t="s">
        <v>627</v>
      </c>
      <c r="BV38">
        <v>15.71</v>
      </c>
      <c r="BW38">
        <v>16.059999999999999</v>
      </c>
      <c r="BX38">
        <v>21.45</v>
      </c>
      <c r="BY38">
        <v>8.39</v>
      </c>
      <c r="BZ38">
        <v>8.26</v>
      </c>
      <c r="CA38">
        <v>10.36</v>
      </c>
      <c r="CB38">
        <v>1.2</v>
      </c>
      <c r="CC38">
        <v>-18.45</v>
      </c>
      <c r="CD38" t="s">
        <v>1872</v>
      </c>
      <c r="CE38" t="s">
        <v>290</v>
      </c>
      <c r="CF38" s="7">
        <v>0.33556701030927849</v>
      </c>
      <c r="CG38" s="8">
        <v>-0.58749946226415095</v>
      </c>
      <c r="CH38" s="7">
        <v>-0.16475427150726318</v>
      </c>
      <c r="CI38" s="7">
        <v>0.15122243762016296</v>
      </c>
      <c r="CJ38" s="7">
        <v>0.86014676094055176</v>
      </c>
      <c r="CK38" s="7">
        <v>0.48215249180793762</v>
      </c>
      <c r="CL38" s="7">
        <v>-0.5303378701210022</v>
      </c>
      <c r="CM38" s="8">
        <v>-0.86666667461395264</v>
      </c>
      <c r="CN38" s="8">
        <v>0.60060977935791016</v>
      </c>
      <c r="CO38" s="8">
        <v>1.3679193258285522</v>
      </c>
      <c r="CP38" s="8">
        <v>-18.144229888916016</v>
      </c>
      <c r="CQ38" s="8">
        <v>1.040880560874939</v>
      </c>
      <c r="CR38">
        <v>-25.506715607909129</v>
      </c>
      <c r="CS38">
        <v>-1.597305338219813</v>
      </c>
      <c r="CT38">
        <v>0</v>
      </c>
      <c r="CU38" s="7">
        <v>0.15968590974807739</v>
      </c>
      <c r="CV38" s="8">
        <v>-3.2002973794937133</v>
      </c>
      <c r="CW38">
        <v>0.06</v>
      </c>
      <c r="CX38">
        <v>18.717661298604529</v>
      </c>
      <c r="CY38">
        <v>153166063.55163285</v>
      </c>
      <c r="CZ38">
        <v>0.15968590974807739</v>
      </c>
      <c r="DA38">
        <v>5.7690007147505362</v>
      </c>
      <c r="DB38">
        <v>496950969.8048237</v>
      </c>
      <c r="DC38">
        <v>0.15170161426067352</v>
      </c>
      <c r="DD38">
        <v>2.6209012908490568</v>
      </c>
      <c r="DE38">
        <v>1093864354.9873056</v>
      </c>
      <c r="DF38">
        <v>0.14052360057830809</v>
      </c>
      <c r="DG38">
        <v>1.4336602976533233</v>
      </c>
      <c r="DH38">
        <v>1999713952.2470436</v>
      </c>
      <c r="DI38">
        <v>0.12774872779846191</v>
      </c>
      <c r="DJ38">
        <v>0.59767998224537178</v>
      </c>
      <c r="DK38">
        <v>4796731671.0684443</v>
      </c>
      <c r="DL38">
        <v>0.11178013682365416</v>
      </c>
      <c r="DM38">
        <v>140000000</v>
      </c>
      <c r="DN38">
        <v>0.15968590974807739</v>
      </c>
      <c r="DO38">
        <v>2866910500</v>
      </c>
      <c r="DP38">
        <v>717565400</v>
      </c>
      <c r="DQ38">
        <v>3302</v>
      </c>
      <c r="DR38">
        <v>0.1758811005612011</v>
      </c>
      <c r="DS38">
        <v>2.6127979172295621</v>
      </c>
      <c r="DT38" s="9">
        <v>-0.17333333333333334</v>
      </c>
      <c r="DU38">
        <v>-0.65666666666666662</v>
      </c>
      <c r="DV38">
        <v>-0.83</v>
      </c>
      <c r="DW38">
        <v>-3.0277083333333334</v>
      </c>
      <c r="DX38">
        <v>0.34215962441314562</v>
      </c>
      <c r="DY38">
        <v>-3.0050473395931143</v>
      </c>
      <c r="DZ38">
        <v>3975</v>
      </c>
      <c r="EA38">
        <v>-3.0011210822775314</v>
      </c>
      <c r="EB38">
        <v>3</v>
      </c>
      <c r="EC38">
        <v>4.8380438631520889E-2</v>
      </c>
      <c r="ED38">
        <v>0.26559364506479249</v>
      </c>
      <c r="EE38" s="10">
        <v>-3.0928</v>
      </c>
      <c r="EF38">
        <v>-3.0669</v>
      </c>
      <c r="EG38">
        <v>16.182159624413146</v>
      </c>
      <c r="EH38" t="s">
        <v>1873</v>
      </c>
      <c r="EI38">
        <v>0</v>
      </c>
      <c r="EJ38">
        <v>0</v>
      </c>
      <c r="EK38" s="12">
        <v>45470</v>
      </c>
      <c r="EL38" s="13">
        <v>0.33</v>
      </c>
      <c r="EM38" s="13">
        <v>-2.99</v>
      </c>
      <c r="EN38" s="13">
        <v>0.68</v>
      </c>
      <c r="EO38" s="13">
        <v>5.0999999999999996</v>
      </c>
      <c r="EP38" s="13">
        <v>-2.59</v>
      </c>
    </row>
    <row r="39" spans="1:146" ht="96" x14ac:dyDescent="0.25">
      <c r="A39" s="6"/>
      <c r="B39" s="6"/>
      <c r="C39" s="6" t="str">
        <f>""&amp;CHAR(10)&amp;Basic_Fundamental_Information_Constructure(F39)&amp;CHAR(10)&amp;Basic_Fundamental_Information_Concatenate("")</f>
        <v xml:space="preserve">
市值16.432992亿, 利润1.05亿; PE201.9; 平均PE72.6; 平均PEG.89, PB2.57; ROIC-.21%; ROE-.5767%; 股利率0%; 毛利7.7567%; 净利-1.28%; 上一年度营收增276.97%, 利润增1402.94%; 当季营收增-75.24%, 利润增-99.47%; 过往5年营收增81.15%, 利润增212.22%
Income profile:
</v>
      </c>
      <c r="D39" t="s">
        <v>639</v>
      </c>
      <c r="E39" t="s">
        <v>640</v>
      </c>
      <c r="F39">
        <v>8.74</v>
      </c>
      <c r="G39">
        <v>1.04</v>
      </c>
      <c r="H39" t="s">
        <v>1874</v>
      </c>
      <c r="I39">
        <v>1643299200</v>
      </c>
      <c r="J39">
        <v>201.9</v>
      </c>
      <c r="K39">
        <v>2.57</v>
      </c>
      <c r="L39" t="s">
        <v>105</v>
      </c>
      <c r="M39" t="s">
        <v>1875</v>
      </c>
      <c r="N39" t="s">
        <v>1876</v>
      </c>
      <c r="O39" t="s">
        <v>1877</v>
      </c>
      <c r="P39">
        <v>17.57</v>
      </c>
      <c r="Q39" t="s">
        <v>1878</v>
      </c>
      <c r="R39">
        <v>703201</v>
      </c>
      <c r="S39" s="5">
        <v>1.22</v>
      </c>
      <c r="T39" t="s">
        <v>36</v>
      </c>
      <c r="U39">
        <v>187624510</v>
      </c>
      <c r="V39">
        <v>188020510</v>
      </c>
      <c r="W39">
        <v>1.0900000000000001</v>
      </c>
      <c r="X39">
        <v>0.04</v>
      </c>
      <c r="Y39">
        <v>1.08</v>
      </c>
      <c r="Z39" t="s">
        <v>1879</v>
      </c>
      <c r="AA39" t="s">
        <v>1880</v>
      </c>
      <c r="AB39" t="s">
        <v>1881</v>
      </c>
      <c r="AC39" t="s">
        <v>1882</v>
      </c>
      <c r="AD39" t="s">
        <v>5</v>
      </c>
      <c r="AE39">
        <v>56377</v>
      </c>
      <c r="AF39" t="s">
        <v>1883</v>
      </c>
      <c r="AG39" t="s">
        <v>1884</v>
      </c>
      <c r="AH39" t="s">
        <v>1885</v>
      </c>
      <c r="AI39" t="s">
        <v>1886</v>
      </c>
      <c r="AJ39" t="s">
        <v>1887</v>
      </c>
      <c r="AK39" t="s">
        <v>1888</v>
      </c>
      <c r="AL39" t="s">
        <v>1889</v>
      </c>
      <c r="AM39" t="s">
        <v>5</v>
      </c>
      <c r="AN39" t="s">
        <v>1890</v>
      </c>
      <c r="AO39" t="s">
        <v>885</v>
      </c>
      <c r="AP39" t="s">
        <v>1891</v>
      </c>
      <c r="AQ39" t="s">
        <v>1892</v>
      </c>
      <c r="AR39" t="s">
        <v>5</v>
      </c>
      <c r="AS39" t="s">
        <v>1893</v>
      </c>
      <c r="AT39" t="s">
        <v>5</v>
      </c>
      <c r="AU39" t="s">
        <v>1894</v>
      </c>
      <c r="AV39" t="s">
        <v>1895</v>
      </c>
      <c r="AW39" t="s">
        <v>1896</v>
      </c>
      <c r="AX39" t="s">
        <v>599</v>
      </c>
      <c r="AY39" t="s">
        <v>35</v>
      </c>
      <c r="AZ39" t="s">
        <v>643</v>
      </c>
      <c r="BA39" t="s">
        <v>644</v>
      </c>
      <c r="BB39" t="s">
        <v>645</v>
      </c>
      <c r="BC39" t="s">
        <v>918</v>
      </c>
      <c r="BD39" t="s">
        <v>642</v>
      </c>
      <c r="BE39" t="s">
        <v>646</v>
      </c>
      <c r="BF39" t="s">
        <v>647</v>
      </c>
      <c r="BG39" t="s">
        <v>648</v>
      </c>
      <c r="BH39" t="s">
        <v>785</v>
      </c>
      <c r="BI39" t="s">
        <v>631</v>
      </c>
      <c r="BJ39" t="s">
        <v>599</v>
      </c>
      <c r="BK39" t="s">
        <v>1897</v>
      </c>
      <c r="BL39" t="s">
        <v>799</v>
      </c>
      <c r="BM39" t="s">
        <v>918</v>
      </c>
      <c r="BN39" t="s">
        <v>5</v>
      </c>
      <c r="BO39" t="s">
        <v>5</v>
      </c>
      <c r="BP39">
        <v>-0.21</v>
      </c>
      <c r="BQ39">
        <v>-0.01</v>
      </c>
      <c r="BR39">
        <v>-1.27</v>
      </c>
      <c r="BS39">
        <v>-0.45</v>
      </c>
      <c r="BT39" t="s">
        <v>733</v>
      </c>
      <c r="BU39" t="s">
        <v>627</v>
      </c>
      <c r="BV39">
        <v>11.61</v>
      </c>
      <c r="BW39">
        <v>0.38</v>
      </c>
      <c r="BX39">
        <v>11.28</v>
      </c>
      <c r="BY39">
        <v>3.08</v>
      </c>
      <c r="BZ39">
        <v>-6.08</v>
      </c>
      <c r="CA39">
        <v>-0.84</v>
      </c>
      <c r="CB39">
        <v>3.31</v>
      </c>
      <c r="CC39">
        <v>-15.15</v>
      </c>
      <c r="CD39" t="s">
        <v>1898</v>
      </c>
      <c r="CE39" t="s">
        <v>1899</v>
      </c>
      <c r="CF39" s="7">
        <v>-0.75243000000000004</v>
      </c>
      <c r="CG39" s="8">
        <v>-0.99471277443609019</v>
      </c>
      <c r="CH39" s="7">
        <v>2.7697367668151855</v>
      </c>
      <c r="CI39" s="7">
        <v>-3.1847134232521057E-2</v>
      </c>
      <c r="CJ39" s="7">
        <v>1.61945641040802</v>
      </c>
      <c r="CK39" s="7">
        <v>-9.4414286315441132E-2</v>
      </c>
      <c r="CL39" s="7">
        <v>-0.20552343130111694</v>
      </c>
      <c r="CM39" s="8">
        <v>14.029397010803223</v>
      </c>
      <c r="CN39" s="8">
        <v>-1.8409715890884399</v>
      </c>
      <c r="CO39" s="8">
        <v>-2.9373035430908203</v>
      </c>
      <c r="CP39" s="8">
        <v>-0.95263034105300903</v>
      </c>
      <c r="CQ39" s="8">
        <v>2.3124115467071533</v>
      </c>
      <c r="CR39">
        <v>72.599599736692127</v>
      </c>
      <c r="CS39">
        <v>0.89465483770354626</v>
      </c>
      <c r="CT39">
        <v>0</v>
      </c>
      <c r="CU39" s="7">
        <v>0.81148166507482533</v>
      </c>
      <c r="CV39" s="8">
        <v>2.1221806168556214</v>
      </c>
      <c r="CW39">
        <v>0.06</v>
      </c>
      <c r="CX39">
        <v>6.0410432607441731</v>
      </c>
      <c r="CY39">
        <v>179439221.54043078</v>
      </c>
      <c r="CZ39">
        <v>0.81148166507482533</v>
      </c>
      <c r="DA39">
        <v>1.1313953638235874</v>
      </c>
      <c r="DB39">
        <v>958109017.1136874</v>
      </c>
      <c r="DC39">
        <v>0.77090758182108399</v>
      </c>
      <c r="DD39">
        <v>0.23337582814215993</v>
      </c>
      <c r="DE39">
        <v>4644868787.9521341</v>
      </c>
      <c r="DF39">
        <v>0.71410386526584635</v>
      </c>
      <c r="DG39">
        <v>4.4920434101767985E-2</v>
      </c>
      <c r="DH39">
        <v>24131558870.160957</v>
      </c>
      <c r="DI39">
        <v>0.64918533205986029</v>
      </c>
      <c r="DJ39">
        <v>1.3290519201206092E-3</v>
      </c>
      <c r="DK39">
        <v>815619076718.70996</v>
      </c>
      <c r="DL39">
        <v>0.56803716555237771</v>
      </c>
      <c r="DM39">
        <v>105000000</v>
      </c>
      <c r="DN39">
        <v>0.81148166507482533</v>
      </c>
      <c r="DO39">
        <v>1084000100</v>
      </c>
      <c r="DP39">
        <v>591031560</v>
      </c>
      <c r="DQ39">
        <v>3320</v>
      </c>
      <c r="DR39">
        <v>-1.5639116650748255</v>
      </c>
      <c r="DS39">
        <v>-3.1168933912917116</v>
      </c>
      <c r="DT39" s="9">
        <v>2.6666666666666616E-2</v>
      </c>
      <c r="DU39">
        <v>-1.4366666666666668</v>
      </c>
      <c r="DV39">
        <v>-1.4100000000000001</v>
      </c>
      <c r="DW39">
        <v>6.1793066088840733</v>
      </c>
      <c r="DX39">
        <v>0.26899816713985614</v>
      </c>
      <c r="DY39">
        <v>6.0285094221686304</v>
      </c>
      <c r="DZ39">
        <v>2531</v>
      </c>
      <c r="EA39">
        <v>6.0143886105230724</v>
      </c>
      <c r="EB39">
        <v>6</v>
      </c>
      <c r="EC39">
        <v>5.1766692899620367E-2</v>
      </c>
      <c r="ED39">
        <v>0.32558043800647068</v>
      </c>
      <c r="EE39" s="10">
        <v>-1.0275099999999999</v>
      </c>
      <c r="EF39">
        <v>-1.04941</v>
      </c>
      <c r="EG39">
        <v>11.158998167139856</v>
      </c>
      <c r="EH39" t="s">
        <v>598</v>
      </c>
      <c r="EI39">
        <v>0</v>
      </c>
      <c r="EJ39">
        <v>0</v>
      </c>
      <c r="EK39" s="12">
        <v>45470</v>
      </c>
      <c r="EL39" s="13">
        <v>1.1000000000000001</v>
      </c>
      <c r="EM39" s="13">
        <v>-5.0999999999999996</v>
      </c>
      <c r="EN39" s="13">
        <v>0.96</v>
      </c>
      <c r="EO39" s="13">
        <v>4.37</v>
      </c>
      <c r="EP39" s="13">
        <v>-2.19</v>
      </c>
    </row>
    <row r="40" spans="1:146" ht="96" x14ac:dyDescent="0.25">
      <c r="A40" s="6"/>
      <c r="B40" s="6"/>
      <c r="C40" s="6" t="str">
        <f>""&amp;CHAR(10)&amp;Basic_Fundamental_Information_Constructure(F40)&amp;CHAR(10)&amp;Basic_Fundamental_Information_Concatenate("")</f>
        <v xml:space="preserve">
市值9.3489293亿, 利润1215.93万; PE69.08; 平均PE21.34; 平均PEG.69, PB2.3; ROIC18.7733%; ROE19.2833%; 股利率0%; 毛利3.43%; 净利20.65%; 上一年度营收增-78.02%, 利润增-92.93%; 当季营收增288.55%, 利润增-142.23%; 过往5年营收增-31.06%, 利润增1033.64%
Income profile:
</v>
      </c>
      <c r="D40" t="s">
        <v>385</v>
      </c>
      <c r="E40" t="s">
        <v>386</v>
      </c>
      <c r="F40">
        <v>6.99</v>
      </c>
      <c r="G40">
        <v>2.04</v>
      </c>
      <c r="H40" t="s">
        <v>1900</v>
      </c>
      <c r="I40">
        <v>934892930</v>
      </c>
      <c r="J40">
        <v>69.08</v>
      </c>
      <c r="K40">
        <v>2.2999999999999998</v>
      </c>
      <c r="L40" t="s">
        <v>105</v>
      </c>
      <c r="M40" t="s">
        <v>157</v>
      </c>
      <c r="N40" t="s">
        <v>896</v>
      </c>
      <c r="O40" t="s">
        <v>1901</v>
      </c>
      <c r="P40">
        <v>-6.08</v>
      </c>
      <c r="Q40" t="s">
        <v>1902</v>
      </c>
      <c r="R40">
        <v>-1458295</v>
      </c>
      <c r="S40" s="5">
        <v>-2.9529999999999998</v>
      </c>
      <c r="T40" t="s">
        <v>1903</v>
      </c>
      <c r="U40">
        <v>133747200</v>
      </c>
      <c r="V40">
        <v>133747200</v>
      </c>
      <c r="W40">
        <v>1.43</v>
      </c>
      <c r="X40">
        <v>0.11</v>
      </c>
      <c r="Y40">
        <v>-2.31</v>
      </c>
      <c r="Z40" t="s">
        <v>1904</v>
      </c>
      <c r="AA40" t="s">
        <v>1905</v>
      </c>
      <c r="AB40" t="s">
        <v>1906</v>
      </c>
      <c r="AC40" t="s">
        <v>1907</v>
      </c>
      <c r="AD40" t="s">
        <v>5</v>
      </c>
      <c r="AE40">
        <v>-641197</v>
      </c>
      <c r="AF40" t="s">
        <v>24</v>
      </c>
      <c r="AG40" t="s">
        <v>5</v>
      </c>
      <c r="AH40" t="s">
        <v>1908</v>
      </c>
      <c r="AI40" t="s">
        <v>777</v>
      </c>
      <c r="AJ40" t="s">
        <v>1909</v>
      </c>
      <c r="AK40" t="s">
        <v>5</v>
      </c>
      <c r="AL40" t="s">
        <v>1910</v>
      </c>
      <c r="AM40" t="s">
        <v>5</v>
      </c>
      <c r="AN40">
        <v>0</v>
      </c>
      <c r="AO40" t="s">
        <v>5</v>
      </c>
      <c r="AP40" t="s">
        <v>1434</v>
      </c>
      <c r="AQ40" t="s">
        <v>1911</v>
      </c>
      <c r="AR40" t="s">
        <v>5</v>
      </c>
      <c r="AS40" t="s">
        <v>23</v>
      </c>
      <c r="AT40" t="s">
        <v>5</v>
      </c>
      <c r="AU40" t="s">
        <v>1912</v>
      </c>
      <c r="AV40" t="s">
        <v>5</v>
      </c>
      <c r="AW40" t="s">
        <v>1913</v>
      </c>
      <c r="AX40" t="s">
        <v>812</v>
      </c>
      <c r="AY40" t="s">
        <v>486</v>
      </c>
      <c r="AZ40" t="s">
        <v>182</v>
      </c>
      <c r="BA40" t="s">
        <v>387</v>
      </c>
      <c r="BB40" t="s">
        <v>388</v>
      </c>
      <c r="BC40" t="s">
        <v>1914</v>
      </c>
      <c r="BD40" t="s">
        <v>649</v>
      </c>
      <c r="BE40" t="s">
        <v>650</v>
      </c>
      <c r="BF40" t="s">
        <v>21</v>
      </c>
      <c r="BG40" t="s">
        <v>390</v>
      </c>
      <c r="BH40" t="s">
        <v>1915</v>
      </c>
      <c r="BI40" t="s">
        <v>1916</v>
      </c>
      <c r="BJ40" t="s">
        <v>812</v>
      </c>
      <c r="BK40" t="s">
        <v>1917</v>
      </c>
      <c r="BL40" t="s">
        <v>1918</v>
      </c>
      <c r="BM40" t="s">
        <v>1914</v>
      </c>
      <c r="BN40">
        <v>-0.08</v>
      </c>
      <c r="BO40">
        <v>55.49</v>
      </c>
      <c r="BP40">
        <v>0.91</v>
      </c>
      <c r="BQ40">
        <v>0.17</v>
      </c>
      <c r="BR40">
        <v>55.92</v>
      </c>
      <c r="BS40">
        <v>1.76</v>
      </c>
      <c r="BT40" t="s">
        <v>733</v>
      </c>
      <c r="BU40" t="s">
        <v>627</v>
      </c>
      <c r="BV40">
        <v>1.42</v>
      </c>
      <c r="BW40">
        <v>1.86</v>
      </c>
      <c r="BX40">
        <v>7.01</v>
      </c>
      <c r="BY40">
        <v>4.78</v>
      </c>
      <c r="BZ40">
        <v>56.59</v>
      </c>
      <c r="CA40">
        <v>0.57999999999999996</v>
      </c>
      <c r="CB40">
        <v>-0.28999999999999998</v>
      </c>
      <c r="CC40">
        <v>-17.38</v>
      </c>
      <c r="CD40" t="s">
        <v>1919</v>
      </c>
      <c r="CE40" t="s">
        <v>1920</v>
      </c>
      <c r="CF40" s="7">
        <v>2.8854937417350919</v>
      </c>
      <c r="CG40" s="8">
        <v>-1.4222902730721338</v>
      </c>
      <c r="CH40" s="7">
        <v>-0.78020757436752319</v>
      </c>
      <c r="CI40" s="7">
        <v>-0.27338129281997681</v>
      </c>
      <c r="CJ40" s="7">
        <v>-0.15757575631141663</v>
      </c>
      <c r="CK40" s="7">
        <v>-4.2553190141916275E-2</v>
      </c>
      <c r="CL40" s="7">
        <v>-0.29945799708366394</v>
      </c>
      <c r="CM40" s="8">
        <v>-0.92930644750595093</v>
      </c>
      <c r="CN40" s="8">
        <v>47.4493408203125</v>
      </c>
      <c r="CO40" s="8">
        <v>1.6093754768371582</v>
      </c>
      <c r="CP40" s="8">
        <v>-1.052016019821167</v>
      </c>
      <c r="CQ40" s="8">
        <v>4.6047983169555664</v>
      </c>
      <c r="CR40">
        <v>21.343458546142347</v>
      </c>
      <c r="CS40">
        <v>0.68709087531392987</v>
      </c>
      <c r="CT40">
        <v>0</v>
      </c>
      <c r="CU40" s="7">
        <v>-0.31063516214489939</v>
      </c>
      <c r="CV40" s="8">
        <v>10.336438429355621</v>
      </c>
      <c r="CW40">
        <v>0.06</v>
      </c>
      <c r="CX40" t="e">
        <v>#VALUE!</v>
      </c>
      <c r="CY40" t="s">
        <v>1921</v>
      </c>
      <c r="CZ40">
        <v>-0.31063516214489939</v>
      </c>
      <c r="DA40">
        <v>19.159352100861071</v>
      </c>
      <c r="DB40" t="s">
        <v>1922</v>
      </c>
      <c r="DC40">
        <v>-0.29510340403765439</v>
      </c>
      <c r="DD40">
        <v>9.5796760504305354</v>
      </c>
      <c r="DE40" t="s">
        <v>1923</v>
      </c>
      <c r="DF40">
        <v>-0.27335894268751149</v>
      </c>
      <c r="DG40">
        <v>5.7478056302583207</v>
      </c>
      <c r="DH40" t="s">
        <v>1924</v>
      </c>
      <c r="DI40">
        <v>-0.24850812971591951</v>
      </c>
      <c r="DJ40">
        <v>2.8739028151291603</v>
      </c>
      <c r="DK40" t="s">
        <v>1925</v>
      </c>
      <c r="DL40">
        <v>-0.21744461350142957</v>
      </c>
      <c r="DM40">
        <v>12159300</v>
      </c>
      <c r="DN40">
        <v>-0.31063516214489939</v>
      </c>
      <c r="DO40">
        <v>698892930</v>
      </c>
      <c r="DP40">
        <v>154075170</v>
      </c>
      <c r="DQ40">
        <v>3447</v>
      </c>
      <c r="DR40">
        <v>3.1961289038799912</v>
      </c>
      <c r="DS40">
        <v>-11.758728702427755</v>
      </c>
      <c r="DT40" s="9">
        <v>-1.1566666666666665</v>
      </c>
      <c r="DU40">
        <v>-0.87333333333333341</v>
      </c>
      <c r="DV40">
        <v>-2.0299999999999998</v>
      </c>
      <c r="DW40">
        <v>-3.0156071428571427</v>
      </c>
      <c r="DX40">
        <v>0.297529793439269</v>
      </c>
      <c r="DY40">
        <v>-3.0019903757047488</v>
      </c>
      <c r="DZ40">
        <v>711</v>
      </c>
      <c r="EA40">
        <v>-3.0017134369325227</v>
      </c>
      <c r="EB40">
        <v>3</v>
      </c>
      <c r="EC40">
        <v>6.2544113073021337E-2</v>
      </c>
      <c r="ED40">
        <v>0.49042746315436886</v>
      </c>
      <c r="EE40" s="10">
        <v>1.02491</v>
      </c>
      <c r="EF40">
        <v>1.03111</v>
      </c>
      <c r="EG40">
        <v>17.127529793439269</v>
      </c>
      <c r="EH40" t="s">
        <v>907</v>
      </c>
      <c r="EI40">
        <v>0</v>
      </c>
      <c r="EJ40">
        <v>1</v>
      </c>
      <c r="EK40" s="12">
        <v>45470</v>
      </c>
      <c r="EL40" s="13">
        <v>0.51</v>
      </c>
      <c r="EM40" s="13">
        <v>-0.86</v>
      </c>
      <c r="EN40" s="13">
        <v>-2.87</v>
      </c>
      <c r="EO40" s="13">
        <v>2.16</v>
      </c>
      <c r="EP40" s="13">
        <v>-0.62</v>
      </c>
    </row>
    <row r="41" spans="1:146" ht="228" x14ac:dyDescent="0.25">
      <c r="A41" s="6"/>
      <c r="B41" s="6"/>
      <c r="C41" s="6" t="str">
        <f>"公司主要从事高纯铝、电子铝箔和电极箔等电子元器件原料的生产、销售，以及铝及铝制品（高性能铝合金产品）的生产、销售：高纯铝主要应用于电子铝箔、电子导针导线、高纯氧化铝粉、航空铝合金、靶材等电子、航空航天、集成电路等领域；电子铝箔主要用于电极箔生产，电极箔主要用于铝电解电容器的生产；高性能铝合金主要用于电子消费品、节能导线、汽车发动机、汽车装饰、建筑装饰等电子、电力、交通、建筑相关领域。"&amp;CHAR(10)&amp;Basic_Fundamental_Information_Constructure(F41)&amp;CHAR(10)&amp;Basic_Fundamental_Information_Concatenate("合金产品 11.30亿 26.70% 10.06% 6.61%
电极箔 9.51亿 22.47% 29.36% 22.90%
电子铝箔 4.76亿 11.24% 22.74% 35.45%
铝制品 4.63亿 10.95% 11.44% 18.31%
高纯铝 4.48亿 10.58% 11.92% 19.75%")</f>
        <v>公司主要从事高纯铝、电子铝箔和电极箔等电子元器件原料的生产、销售，以及铝及铝制品（高性能铝合金产品）的生产、销售：高纯铝主要应用于电子铝箔、电子导针导线、高纯氧化铝粉、航空铝合金、靶材等电子、航空航天、集成电路等领域；电子铝箔主要用于电极箔生产，电极箔主要用于铝电解电容器的生产；高性能铝合金主要用于电子消费品、节能导线、汽车发动机、汽车装饰、建筑装饰等电子、电力、交通、建筑相关领域。
市值97.192634亿, 利润-1.85亿; PE6.6; 平均PE20.19; 平均PEG2.65, PB.96; ROIC11.5367%; ROE15.94%; 股利率1.6997%; 毛利15.2667%; 净利18.2033%; 上一年度营收增-93.87%, 利润增-111.95%; 当季营收增1466.35%, 利润增863.04%; 过往5年营收增-7.61%, 利润增47.88%
Income profile:
合金产品 11.30亿 26.70% 10.06% 6.61%
电极箔 9.51亿 22.47% 29.36% 22.90%
电子铝箔 4.76亿 11.24% 22.74% 35.45%
铝制品 4.63亿 10.95% 11.44% 18.31%
高纯铝 4.48亿 10.58% 11.92% 19.75%</v>
      </c>
      <c r="D41" t="s">
        <v>391</v>
      </c>
      <c r="E41" t="s">
        <v>392</v>
      </c>
      <c r="F41">
        <v>7.06</v>
      </c>
      <c r="G41">
        <v>1.29</v>
      </c>
      <c r="H41" t="s">
        <v>1926</v>
      </c>
      <c r="I41">
        <v>9719263400</v>
      </c>
      <c r="J41">
        <v>6.6</v>
      </c>
      <c r="K41">
        <v>0.96</v>
      </c>
      <c r="L41" t="s">
        <v>105</v>
      </c>
      <c r="M41" t="s">
        <v>1927</v>
      </c>
      <c r="N41" t="s">
        <v>1928</v>
      </c>
      <c r="O41" t="s">
        <v>1929</v>
      </c>
      <c r="P41">
        <v>12.37</v>
      </c>
      <c r="Q41" t="s">
        <v>743</v>
      </c>
      <c r="R41">
        <v>337362780</v>
      </c>
      <c r="S41" s="5">
        <v>-0.2084</v>
      </c>
      <c r="T41" t="s">
        <v>1597</v>
      </c>
      <c r="U41">
        <v>1366896000</v>
      </c>
      <c r="V41">
        <v>1376666200</v>
      </c>
      <c r="W41">
        <v>1.65</v>
      </c>
      <c r="X41">
        <v>0.1</v>
      </c>
      <c r="Y41">
        <v>20.72</v>
      </c>
      <c r="Z41" t="s">
        <v>407</v>
      </c>
      <c r="AA41" t="s">
        <v>1930</v>
      </c>
      <c r="AB41" t="s">
        <v>1931</v>
      </c>
      <c r="AC41" t="s">
        <v>1932</v>
      </c>
      <c r="AD41" t="s">
        <v>5</v>
      </c>
      <c r="AE41">
        <v>27224884</v>
      </c>
      <c r="AF41" t="s">
        <v>1933</v>
      </c>
      <c r="AG41" t="s">
        <v>1934</v>
      </c>
      <c r="AH41" t="s">
        <v>1935</v>
      </c>
      <c r="AI41" t="s">
        <v>1936</v>
      </c>
      <c r="AJ41" t="s">
        <v>1937</v>
      </c>
      <c r="AK41" t="s">
        <v>1938</v>
      </c>
      <c r="AL41" t="s">
        <v>1939</v>
      </c>
      <c r="AM41" t="s">
        <v>5</v>
      </c>
      <c r="AN41" t="s">
        <v>1940</v>
      </c>
      <c r="AO41" t="s">
        <v>1941</v>
      </c>
      <c r="AP41" t="s">
        <v>1942</v>
      </c>
      <c r="AQ41" t="s">
        <v>731</v>
      </c>
      <c r="AR41" t="s">
        <v>1943</v>
      </c>
      <c r="AS41" t="s">
        <v>1944</v>
      </c>
      <c r="AT41" t="s">
        <v>1945</v>
      </c>
      <c r="AU41" t="s">
        <v>801</v>
      </c>
      <c r="AV41" t="s">
        <v>1946</v>
      </c>
      <c r="AW41" t="s">
        <v>1947</v>
      </c>
      <c r="AX41" t="s">
        <v>919</v>
      </c>
      <c r="AY41" t="s">
        <v>561</v>
      </c>
      <c r="AZ41" t="s">
        <v>393</v>
      </c>
      <c r="BA41" t="s">
        <v>395</v>
      </c>
      <c r="BB41" t="s">
        <v>396</v>
      </c>
      <c r="BC41" t="s">
        <v>920</v>
      </c>
      <c r="BD41" t="s">
        <v>436</v>
      </c>
      <c r="BE41" t="s">
        <v>394</v>
      </c>
      <c r="BF41" t="s">
        <v>67</v>
      </c>
      <c r="BG41" t="s">
        <v>34</v>
      </c>
      <c r="BH41" t="s">
        <v>1948</v>
      </c>
      <c r="BI41" t="s">
        <v>27</v>
      </c>
      <c r="BJ41" t="s">
        <v>919</v>
      </c>
      <c r="BK41" t="s">
        <v>734</v>
      </c>
      <c r="BL41" t="s">
        <v>1949</v>
      </c>
      <c r="BM41" t="s">
        <v>920</v>
      </c>
      <c r="BN41">
        <v>9.98</v>
      </c>
      <c r="BO41">
        <v>14.59</v>
      </c>
      <c r="BP41">
        <v>10.039999999999999</v>
      </c>
      <c r="BQ41">
        <v>13.13</v>
      </c>
      <c r="BR41">
        <v>20.440000000000001</v>
      </c>
      <c r="BS41">
        <v>14.25</v>
      </c>
      <c r="BT41" t="s">
        <v>772</v>
      </c>
      <c r="BU41" t="s">
        <v>627</v>
      </c>
      <c r="BV41">
        <v>15.46</v>
      </c>
      <c r="BW41">
        <v>17</v>
      </c>
      <c r="BX41">
        <v>13.34</v>
      </c>
      <c r="BY41">
        <v>23.97</v>
      </c>
      <c r="BZ41">
        <v>20.2</v>
      </c>
      <c r="CA41">
        <v>10.44</v>
      </c>
      <c r="CB41">
        <v>-0.14000000000000001</v>
      </c>
      <c r="CC41">
        <v>-7.47</v>
      </c>
      <c r="CD41" t="s">
        <v>1950</v>
      </c>
      <c r="CE41" t="s">
        <v>102</v>
      </c>
      <c r="CF41" s="7">
        <v>14.663461538461538</v>
      </c>
      <c r="CG41" s="8">
        <v>8.6304151050937623</v>
      </c>
      <c r="CH41" s="7">
        <v>-0.93872010707855225</v>
      </c>
      <c r="CI41" s="7">
        <v>-5.9688769280910492E-2</v>
      </c>
      <c r="CJ41" s="7">
        <v>0.43886646628379822</v>
      </c>
      <c r="CK41" s="7">
        <v>0.20408590137958527</v>
      </c>
      <c r="CL41" s="7">
        <v>-2.5251448154449463E-2</v>
      </c>
      <c r="CM41" s="8">
        <v>-1.1195089817047119</v>
      </c>
      <c r="CN41" s="8">
        <v>0.81477141380310059</v>
      </c>
      <c r="CO41" s="8">
        <v>1.4301993846893311</v>
      </c>
      <c r="CP41" s="8">
        <v>1.4893616437911987</v>
      </c>
      <c r="CQ41" s="8">
        <v>-0.22099447250366211</v>
      </c>
      <c r="CR41">
        <v>20.185386085150572</v>
      </c>
      <c r="CS41">
        <v>2.6510328615321845</v>
      </c>
      <c r="CT41">
        <v>1.6997167138810199</v>
      </c>
      <c r="CU41" s="7">
        <v>-7.6141591370105746E-2</v>
      </c>
      <c r="CV41" s="8">
        <v>0.47876579761505128</v>
      </c>
      <c r="CW41">
        <v>0.06</v>
      </c>
      <c r="CX41" t="e">
        <v>#VALUE!</v>
      </c>
      <c r="CY41" t="s">
        <v>600</v>
      </c>
      <c r="CZ41">
        <v>-7.6141591370105746E-2</v>
      </c>
      <c r="DA41" t="e">
        <v>#VALUE!</v>
      </c>
      <c r="DB41" t="s">
        <v>600</v>
      </c>
      <c r="DC41">
        <v>-7.2334511801600457E-2</v>
      </c>
      <c r="DD41" t="e">
        <v>#VALUE!</v>
      </c>
      <c r="DE41" t="s">
        <v>600</v>
      </c>
      <c r="DF41">
        <v>-6.700460040569306E-2</v>
      </c>
      <c r="DG41" t="e">
        <v>#VALUE!</v>
      </c>
      <c r="DH41" t="s">
        <v>600</v>
      </c>
      <c r="DI41">
        <v>-6.0913273096084602E-2</v>
      </c>
      <c r="DJ41" t="e">
        <v>#VALUE!</v>
      </c>
      <c r="DK41" t="s">
        <v>600</v>
      </c>
      <c r="DL41">
        <v>-5.3299113959074017E-2</v>
      </c>
      <c r="DM41">
        <v>-185000000</v>
      </c>
      <c r="DN41">
        <v>-7.6141591370105746E-2</v>
      </c>
      <c r="DO41">
        <v>6385263400</v>
      </c>
      <c r="DP41">
        <v>2942038799.9999995</v>
      </c>
      <c r="DQ41">
        <v>3551</v>
      </c>
      <c r="DR41">
        <v>14.739603129831645</v>
      </c>
      <c r="DS41">
        <v>8.1516493074787117</v>
      </c>
      <c r="DT41" s="9">
        <v>-0.52333333333333332</v>
      </c>
      <c r="DU41">
        <v>0.17000000000000004</v>
      </c>
      <c r="DV41">
        <v>-0.35333333333333328</v>
      </c>
      <c r="DW41">
        <v>-2.0747</v>
      </c>
      <c r="DX41">
        <v>0.32939327485380049</v>
      </c>
      <c r="DY41">
        <v>-2.0096656776315789</v>
      </c>
      <c r="DZ41">
        <v>1398</v>
      </c>
      <c r="EA41">
        <v>-2.0070213298176949</v>
      </c>
      <c r="EB41">
        <v>2</v>
      </c>
      <c r="EC41">
        <v>3.2144684019989739E-2</v>
      </c>
      <c r="ED41">
        <v>0.24842623433334821</v>
      </c>
      <c r="EE41" s="10">
        <v>1.0378099999999999</v>
      </c>
      <c r="EF41">
        <v>1.0463100000000001</v>
      </c>
      <c r="EG41">
        <v>20.1293932748538</v>
      </c>
      <c r="EH41" t="s">
        <v>907</v>
      </c>
      <c r="EI41">
        <v>0</v>
      </c>
      <c r="EJ41">
        <v>1</v>
      </c>
      <c r="EK41" s="12">
        <v>45470</v>
      </c>
      <c r="EL41" s="13">
        <v>0.51</v>
      </c>
      <c r="EM41" s="13">
        <v>0.74</v>
      </c>
      <c r="EN41" s="13">
        <v>-0.77</v>
      </c>
      <c r="EO41" s="13">
        <v>0.85</v>
      </c>
      <c r="EP41" s="13">
        <v>-0.85</v>
      </c>
    </row>
    <row r="42" spans="1:146" ht="96" x14ac:dyDescent="0.25">
      <c r="A42" s="6"/>
      <c r="B42" s="6"/>
      <c r="C42" s="6" t="str">
        <f>""&amp;CHAR(10)&amp;Basic_Fundamental_Information_Constructure(F42)&amp;CHAR(10)&amp;Basic_Fundamental_Information_Concatenate("")</f>
        <v xml:space="preserve">
市值104.712376亿, 利润5821.99万; PE16.62; 平均PE-92.35; 平均PEG-11.75, PB4.59; ROIC6.8633%; ROE29.72%; 股利率0%; 毛利5.8%; 净利1.7967%; 上一年度营收增-92.71%, 利润增-88.19%; 当季营收增1266.05%, 利润增2394.06%; 过往5年营收增-7.86%, 利润增65.13%
Income profile:
</v>
      </c>
      <c r="D42" t="s">
        <v>397</v>
      </c>
      <c r="E42" t="s">
        <v>398</v>
      </c>
      <c r="F42">
        <v>9.76</v>
      </c>
      <c r="G42">
        <v>6.09</v>
      </c>
      <c r="H42" t="s">
        <v>1951</v>
      </c>
      <c r="I42">
        <v>10471237600</v>
      </c>
      <c r="J42">
        <v>16.62</v>
      </c>
      <c r="K42">
        <v>4.59</v>
      </c>
      <c r="L42" t="s">
        <v>105</v>
      </c>
      <c r="M42" t="s">
        <v>1952</v>
      </c>
      <c r="N42" t="s">
        <v>1953</v>
      </c>
      <c r="O42" t="s">
        <v>764</v>
      </c>
      <c r="P42">
        <v>-1.64</v>
      </c>
      <c r="Q42" t="s">
        <v>1954</v>
      </c>
      <c r="R42">
        <v>159088460</v>
      </c>
      <c r="S42" s="5">
        <v>0.13370000000000001</v>
      </c>
      <c r="T42" t="s">
        <v>1955</v>
      </c>
      <c r="U42">
        <v>751812400</v>
      </c>
      <c r="V42">
        <v>1072872700</v>
      </c>
      <c r="W42">
        <v>2.2400000000000002</v>
      </c>
      <c r="X42">
        <v>0.5</v>
      </c>
      <c r="Y42">
        <v>3.75</v>
      </c>
      <c r="Z42" t="s">
        <v>1139</v>
      </c>
      <c r="AA42" t="s">
        <v>1956</v>
      </c>
      <c r="AB42" t="s">
        <v>1957</v>
      </c>
      <c r="AC42" t="s">
        <v>489</v>
      </c>
      <c r="AD42" t="s">
        <v>5</v>
      </c>
      <c r="AE42">
        <v>21377712</v>
      </c>
      <c r="AF42" t="s">
        <v>1958</v>
      </c>
      <c r="AG42" t="s">
        <v>1959</v>
      </c>
      <c r="AH42" t="s">
        <v>1960</v>
      </c>
      <c r="AI42" t="s">
        <v>1961</v>
      </c>
      <c r="AJ42" t="s">
        <v>1962</v>
      </c>
      <c r="AK42" t="s">
        <v>783</v>
      </c>
      <c r="AL42" t="s">
        <v>1963</v>
      </c>
      <c r="AM42" t="s">
        <v>5</v>
      </c>
      <c r="AN42" t="s">
        <v>762</v>
      </c>
      <c r="AO42" t="s">
        <v>1964</v>
      </c>
      <c r="AP42" t="s">
        <v>1019</v>
      </c>
      <c r="AQ42" t="s">
        <v>1965</v>
      </c>
      <c r="AR42" t="s">
        <v>5</v>
      </c>
      <c r="AS42" t="s">
        <v>1966</v>
      </c>
      <c r="AT42" t="s">
        <v>798</v>
      </c>
      <c r="AU42" t="s">
        <v>439</v>
      </c>
      <c r="AV42" t="s">
        <v>1967</v>
      </c>
      <c r="AW42" t="s">
        <v>1968</v>
      </c>
      <c r="AX42" t="s">
        <v>1969</v>
      </c>
      <c r="AY42" t="s">
        <v>562</v>
      </c>
      <c r="AZ42" t="s">
        <v>399</v>
      </c>
      <c r="BA42" t="s">
        <v>401</v>
      </c>
      <c r="BB42" t="s">
        <v>402</v>
      </c>
      <c r="BC42" t="s">
        <v>1694</v>
      </c>
      <c r="BD42" t="s">
        <v>552</v>
      </c>
      <c r="BE42" t="s">
        <v>54</v>
      </c>
      <c r="BF42" t="s">
        <v>403</v>
      </c>
      <c r="BG42" t="s">
        <v>404</v>
      </c>
      <c r="BH42" t="s">
        <v>1970</v>
      </c>
      <c r="BI42" t="s">
        <v>875</v>
      </c>
      <c r="BJ42" t="s">
        <v>1969</v>
      </c>
      <c r="BK42" t="s">
        <v>1971</v>
      </c>
      <c r="BL42" t="s">
        <v>1972</v>
      </c>
      <c r="BM42" t="s">
        <v>1694</v>
      </c>
      <c r="BN42">
        <v>9.02</v>
      </c>
      <c r="BO42">
        <v>3.42</v>
      </c>
      <c r="BP42">
        <v>8.15</v>
      </c>
      <c r="BQ42">
        <v>29.72</v>
      </c>
      <c r="BR42" t="s">
        <v>5</v>
      </c>
      <c r="BS42" t="s">
        <v>5</v>
      </c>
      <c r="BT42" t="s">
        <v>733</v>
      </c>
      <c r="BU42" t="s">
        <v>624</v>
      </c>
      <c r="BV42">
        <v>8.5299999999999994</v>
      </c>
      <c r="BW42">
        <v>4.18</v>
      </c>
      <c r="BX42">
        <v>4.6900000000000004</v>
      </c>
      <c r="BY42">
        <v>3.27</v>
      </c>
      <c r="BZ42">
        <v>0.66</v>
      </c>
      <c r="CA42">
        <v>1.46</v>
      </c>
      <c r="CB42">
        <v>3.39</v>
      </c>
      <c r="CC42">
        <v>-3.94</v>
      </c>
      <c r="CD42" t="s">
        <v>1973</v>
      </c>
      <c r="CE42" t="s">
        <v>1850</v>
      </c>
      <c r="CF42" s="7">
        <v>12.660493827160494</v>
      </c>
      <c r="CG42" s="8">
        <v>23.940577233605595</v>
      </c>
      <c r="CH42" s="7">
        <v>-0.92713642120361328</v>
      </c>
      <c r="CI42" s="7">
        <v>0.2389509379863739</v>
      </c>
      <c r="CJ42" s="7">
        <v>0.11561129987239838</v>
      </c>
      <c r="CK42" s="7">
        <v>0.31924581527709961</v>
      </c>
      <c r="CL42" s="7">
        <v>-0.13960635662078857</v>
      </c>
      <c r="CM42" s="8">
        <v>-0.88190686702728271</v>
      </c>
      <c r="CN42" s="8">
        <v>2.0060975551605225</v>
      </c>
      <c r="CO42" s="8">
        <v>3.1446542590856552E-2</v>
      </c>
      <c r="CP42" s="8">
        <v>1.0532077550888062</v>
      </c>
      <c r="CQ42" s="8">
        <v>1.0474507808685303</v>
      </c>
      <c r="CR42">
        <v>-92.347058670491805</v>
      </c>
      <c r="CS42">
        <v>-11.750941424646694</v>
      </c>
      <c r="CT42">
        <v>0</v>
      </c>
      <c r="CU42" s="7">
        <v>-7.8586944937705988E-2</v>
      </c>
      <c r="CV42" s="8">
        <v>0.65125915333628659</v>
      </c>
      <c r="CW42">
        <v>0.06</v>
      </c>
      <c r="CX42">
        <v>204.72789544468472</v>
      </c>
      <c r="CY42" t="s">
        <v>1974</v>
      </c>
      <c r="CZ42">
        <v>-7.8586944937705988E-2</v>
      </c>
      <c r="DA42">
        <v>68.242631814894906</v>
      </c>
      <c r="DB42" t="s">
        <v>1975</v>
      </c>
      <c r="DC42">
        <v>-7.4657597690820685E-2</v>
      </c>
      <c r="DD42">
        <v>34.121315907447453</v>
      </c>
      <c r="DE42" t="s">
        <v>1976</v>
      </c>
      <c r="DF42">
        <v>-6.9156511545181265E-2</v>
      </c>
      <c r="DG42">
        <v>20.472789544468473</v>
      </c>
      <c r="DH42" t="s">
        <v>1977</v>
      </c>
      <c r="DI42">
        <v>-6.2869555950164788E-2</v>
      </c>
      <c r="DJ42">
        <v>10.236394772234236</v>
      </c>
      <c r="DK42" t="s">
        <v>1978</v>
      </c>
      <c r="DL42">
        <v>-5.5010861456394188E-2</v>
      </c>
      <c r="DM42">
        <v>58219900</v>
      </c>
      <c r="DN42">
        <v>-7.8586944937705988E-2</v>
      </c>
      <c r="DO42">
        <v>11919237600</v>
      </c>
      <c r="DP42">
        <v>59993800</v>
      </c>
      <c r="DQ42">
        <v>3586</v>
      </c>
      <c r="DR42">
        <v>12.7390807720982</v>
      </c>
      <c r="DS42">
        <v>23.289318080269307</v>
      </c>
      <c r="DT42" s="9">
        <v>-0.50666666666666671</v>
      </c>
      <c r="DU42">
        <v>0.85666666666666647</v>
      </c>
      <c r="DV42">
        <v>0.34999999999999976</v>
      </c>
      <c r="DW42">
        <v>6.4624829467939975</v>
      </c>
      <c r="DX42">
        <v>0.56138554216867131</v>
      </c>
      <c r="DY42">
        <v>6.0468890843044756</v>
      </c>
      <c r="DZ42">
        <v>4923</v>
      </c>
      <c r="EA42">
        <v>6.0017159019109467</v>
      </c>
      <c r="EB42">
        <v>6</v>
      </c>
      <c r="EC42">
        <v>5.4903997464004817E-2</v>
      </c>
      <c r="ED42">
        <v>0.54153675454692807</v>
      </c>
      <c r="EE42" s="10">
        <v>-2.0021</v>
      </c>
      <c r="EF42">
        <v>-2.03091</v>
      </c>
      <c r="EG42">
        <v>46.101385542168671</v>
      </c>
      <c r="EH42" t="s">
        <v>855</v>
      </c>
      <c r="EI42">
        <v>0</v>
      </c>
      <c r="EJ42">
        <v>0</v>
      </c>
      <c r="EK42" s="12">
        <v>45470</v>
      </c>
      <c r="EL42" s="13">
        <v>0.37</v>
      </c>
      <c r="EM42" s="13">
        <v>-4.83</v>
      </c>
      <c r="EN42" s="13">
        <v>3.13</v>
      </c>
      <c r="EO42" s="13">
        <v>3.41</v>
      </c>
      <c r="EP42" s="13">
        <v>-3.3</v>
      </c>
    </row>
    <row r="43" spans="1:146" ht="96" x14ac:dyDescent="0.25">
      <c r="A43" s="6"/>
      <c r="B43" s="6"/>
      <c r="C43" s="6" t="str">
        <f>""&amp;CHAR(10)&amp;Basic_Fundamental_Information_Constructure(F43)&amp;CHAR(10)&amp;Basic_Fundamental_Information_Concatenate("")</f>
        <v xml:space="preserve">
市值100.937654亿, 利润22.57亿; PE104.5; 平均PE20.33; 平均PEG.03, PB3.39; ROIC4.37%; ROE4.7767%; 股利率.2356%; 毛利38.9%; 净利12.8667%; 上一年度营收增3080.5%, 利润增1425%; 当季营收增-93.61%, 利润增-89.28%; 过往5年营收增613.8%, 利润增289.02%
Income profile:
</v>
      </c>
      <c r="D43" t="s">
        <v>405</v>
      </c>
      <c r="E43" t="s">
        <v>654</v>
      </c>
      <c r="F43">
        <v>12.31</v>
      </c>
      <c r="G43">
        <v>2.75</v>
      </c>
      <c r="H43" t="s">
        <v>1979</v>
      </c>
      <c r="I43">
        <v>10093765400</v>
      </c>
      <c r="J43">
        <v>104.5</v>
      </c>
      <c r="K43">
        <v>3.39</v>
      </c>
      <c r="L43" t="s">
        <v>105</v>
      </c>
      <c r="M43" t="s">
        <v>1980</v>
      </c>
      <c r="N43" t="s">
        <v>1981</v>
      </c>
      <c r="O43" t="s">
        <v>603</v>
      </c>
      <c r="P43">
        <v>61.53</v>
      </c>
      <c r="Q43" t="s">
        <v>1982</v>
      </c>
      <c r="R43">
        <v>38164041</v>
      </c>
      <c r="S43" s="5">
        <v>1.4670000000000001</v>
      </c>
      <c r="T43" t="s">
        <v>904</v>
      </c>
      <c r="U43">
        <v>819964700</v>
      </c>
      <c r="V43">
        <v>819964700</v>
      </c>
      <c r="W43">
        <v>1.51</v>
      </c>
      <c r="X43">
        <v>0.05</v>
      </c>
      <c r="Y43">
        <v>19.62</v>
      </c>
      <c r="Z43" t="s">
        <v>656</v>
      </c>
      <c r="AA43" t="s">
        <v>334</v>
      </c>
      <c r="AB43" t="s">
        <v>1983</v>
      </c>
      <c r="AC43" t="s">
        <v>1984</v>
      </c>
      <c r="AD43" t="s">
        <v>5</v>
      </c>
      <c r="AE43">
        <v>15051672</v>
      </c>
      <c r="AF43" t="s">
        <v>1985</v>
      </c>
      <c r="AG43" t="s">
        <v>1986</v>
      </c>
      <c r="AH43" t="s">
        <v>1987</v>
      </c>
      <c r="AI43" t="s">
        <v>1988</v>
      </c>
      <c r="AJ43" t="s">
        <v>1989</v>
      </c>
      <c r="AK43" t="s">
        <v>5</v>
      </c>
      <c r="AL43" t="s">
        <v>1990</v>
      </c>
      <c r="AM43" t="s">
        <v>5</v>
      </c>
      <c r="AN43" t="s">
        <v>199</v>
      </c>
      <c r="AO43" t="s">
        <v>5</v>
      </c>
      <c r="AP43" t="s">
        <v>653</v>
      </c>
      <c r="AQ43" t="s">
        <v>157</v>
      </c>
      <c r="AR43" t="s">
        <v>1991</v>
      </c>
      <c r="AS43" t="s">
        <v>960</v>
      </c>
      <c r="AT43" t="s">
        <v>591</v>
      </c>
      <c r="AU43" t="s">
        <v>1992</v>
      </c>
      <c r="AV43" t="s">
        <v>1993</v>
      </c>
      <c r="AW43" t="s">
        <v>1994</v>
      </c>
      <c r="AX43" t="s">
        <v>638</v>
      </c>
      <c r="AY43" t="s">
        <v>319</v>
      </c>
      <c r="AZ43" t="s">
        <v>179</v>
      </c>
      <c r="BA43" t="s">
        <v>407</v>
      </c>
      <c r="BB43" t="s">
        <v>408</v>
      </c>
      <c r="BC43" t="s">
        <v>774</v>
      </c>
      <c r="BD43" t="s">
        <v>142</v>
      </c>
      <c r="BE43" t="s">
        <v>406</v>
      </c>
      <c r="BF43" t="s">
        <v>71</v>
      </c>
      <c r="BG43" t="s">
        <v>409</v>
      </c>
      <c r="BH43" t="s">
        <v>1995</v>
      </c>
      <c r="BI43" t="s">
        <v>585</v>
      </c>
      <c r="BJ43" t="s">
        <v>638</v>
      </c>
      <c r="BK43" t="s">
        <v>1996</v>
      </c>
      <c r="BL43" t="s">
        <v>1826</v>
      </c>
      <c r="BM43" t="s">
        <v>774</v>
      </c>
      <c r="BN43">
        <v>4.32</v>
      </c>
      <c r="BO43">
        <v>4.6399999999999997</v>
      </c>
      <c r="BP43">
        <v>4.1500000000000004</v>
      </c>
      <c r="BQ43">
        <v>4.2699999999999996</v>
      </c>
      <c r="BR43">
        <v>5.43</v>
      </c>
      <c r="BS43">
        <v>4.63</v>
      </c>
      <c r="BT43" t="s">
        <v>1997</v>
      </c>
      <c r="BU43" t="s">
        <v>624</v>
      </c>
      <c r="BV43">
        <v>41.96</v>
      </c>
      <c r="BW43">
        <v>45.75</v>
      </c>
      <c r="BX43">
        <v>28.99</v>
      </c>
      <c r="BY43">
        <v>5.26</v>
      </c>
      <c r="BZ43">
        <v>23.77</v>
      </c>
      <c r="CA43">
        <v>9.57</v>
      </c>
      <c r="CB43">
        <v>-3.83</v>
      </c>
      <c r="CC43">
        <v>3.01</v>
      </c>
      <c r="CD43" t="s">
        <v>634</v>
      </c>
      <c r="CE43" t="s">
        <v>782</v>
      </c>
      <c r="CF43" s="7">
        <v>-0.93606005695055661</v>
      </c>
      <c r="CG43" s="8">
        <v>-0.89279763764044939</v>
      </c>
      <c r="CH43" s="7">
        <v>30.804962158203125</v>
      </c>
      <c r="CI43" s="7">
        <v>-0.59943181276321411</v>
      </c>
      <c r="CJ43" s="7">
        <v>-0.40815469622612</v>
      </c>
      <c r="CK43" s="7">
        <v>0.56616193056106567</v>
      </c>
      <c r="CL43" s="7">
        <v>0.32663768529891968</v>
      </c>
      <c r="CM43" s="8">
        <v>14.25</v>
      </c>
      <c r="CN43" s="8">
        <v>-1.9867550581693649E-2</v>
      </c>
      <c r="CO43" s="8">
        <v>1.0861973762512207</v>
      </c>
      <c r="CP43" s="8">
        <v>-0.42095604538917542</v>
      </c>
      <c r="CQ43" s="8">
        <v>-0.4444444477558136</v>
      </c>
      <c r="CR43">
        <v>20.334068262936853</v>
      </c>
      <c r="CS43">
        <v>3.3127976766684608E-2</v>
      </c>
      <c r="CT43">
        <v>0.23558082859463847</v>
      </c>
      <c r="CU43" s="7">
        <v>6.1380350530147556</v>
      </c>
      <c r="CV43" s="8">
        <v>2.8901858665049076</v>
      </c>
      <c r="CW43">
        <v>0.06</v>
      </c>
      <c r="CX43">
        <v>0.557337523969478</v>
      </c>
      <c r="CY43">
        <v>15198627466.655003</v>
      </c>
      <c r="CZ43">
        <v>6.1380350530147556</v>
      </c>
      <c r="DA43">
        <v>1.1891165958060097E-2</v>
      </c>
      <c r="DB43">
        <v>712357848664.81714</v>
      </c>
      <c r="DC43">
        <v>5.8311333003640176</v>
      </c>
      <c r="DD43">
        <v>6.4556161226142446E-5</v>
      </c>
      <c r="DE43">
        <v>131215444647128.55</v>
      </c>
      <c r="DF43">
        <v>5.4014708466529848</v>
      </c>
      <c r="DG43">
        <v>1.0602823970945297E-7</v>
      </c>
      <c r="DH43">
        <v>7.9891597023701104E+16</v>
      </c>
      <c r="DI43">
        <v>4.9104280424118052</v>
      </c>
      <c r="DJ43">
        <v>3.1881990436326553E-14</v>
      </c>
      <c r="DK43">
        <v>2.6569123458328226E+23</v>
      </c>
      <c r="DL43">
        <v>4.2966245371103282</v>
      </c>
      <c r="DM43">
        <v>2257000000</v>
      </c>
      <c r="DN43">
        <v>6.1380350530147556</v>
      </c>
      <c r="DO43">
        <v>8470765400</v>
      </c>
      <c r="DP43">
        <v>-535168710</v>
      </c>
      <c r="DQ43">
        <v>3635</v>
      </c>
      <c r="DR43">
        <v>-7.0740951099653122</v>
      </c>
      <c r="DS43">
        <v>-3.7829835041453572</v>
      </c>
      <c r="DT43" s="9">
        <v>-0.20666666666666675</v>
      </c>
      <c r="DU43">
        <v>-9.0000000000000011E-2</v>
      </c>
      <c r="DV43">
        <v>-0.29666666666666675</v>
      </c>
      <c r="DW43">
        <v>-4.7859007832898168</v>
      </c>
      <c r="DX43">
        <v>0.33592159568058078</v>
      </c>
      <c r="DY43">
        <v>-4.083243865012677</v>
      </c>
      <c r="DZ43">
        <v>2363</v>
      </c>
      <c r="EA43">
        <v>-4.0447496863385171</v>
      </c>
      <c r="EB43">
        <v>4</v>
      </c>
      <c r="EC43">
        <v>0.30976943275728819</v>
      </c>
      <c r="ED43">
        <v>2.9245161407558156</v>
      </c>
      <c r="EE43" s="10">
        <v>1.0096099999999999</v>
      </c>
      <c r="EF43">
        <v>1.0138100000000001</v>
      </c>
      <c r="EG43">
        <v>23.105921595680581</v>
      </c>
      <c r="EH43" t="s">
        <v>907</v>
      </c>
      <c r="EI43">
        <v>0</v>
      </c>
      <c r="EJ43">
        <v>0</v>
      </c>
      <c r="EK43" s="12">
        <v>45470</v>
      </c>
      <c r="EL43" s="13">
        <v>1.06</v>
      </c>
      <c r="EM43" s="13">
        <v>-2.74</v>
      </c>
      <c r="EN43" s="13">
        <v>-0.99</v>
      </c>
      <c r="EO43" s="13">
        <v>-0.92</v>
      </c>
      <c r="EP43" s="13">
        <v>-0.42</v>
      </c>
    </row>
    <row r="44" spans="1:146" ht="192" x14ac:dyDescent="0.25">
      <c r="A44" s="6"/>
      <c r="B44" s="6"/>
      <c r="C44" s="6" t="str">
        <f>"公司主要从事铜、铅、锌、铁等基本有色金属、黑色金属的采选、冶炼、贸易等业务，分矿山、冶炼、贸易和金融四大板块经营，其中矿山板块主要产品有铅精矿、锌精矿、铜精矿、铁精粉、球团等；冶炼板块主要产品有锌锭、电铅、电解铜等。"&amp;CHAR(10)&amp;Basic_Fundamental_Information_Constructure(F44)&amp;CHAR(10)&amp;Basic_Fundamental_Information_Concatenate("铜类产品 276.03亿 71.88% 60.37% 17.66%
锌类产品 31.56亿 8.22% 14.48% 37.05%
其他 29.44亿 7.67% 13.67% 37.50%
其他业务 14.56亿 3.79% 1.39% 7.72%
铅类产品 14.33亿 3.73% 7.78% 43.86%")</f>
        <v>公司主要从事铜、铅、锌、铁等基本有色金属、黑色金属的采选、冶炼、贸易等业务，分矿山、冶炼、贸易和金融四大板块经营，其中矿山板块主要产品有铅精矿、锌精矿、铜精矿、铁精粉、球团等；冶炼板块主要产品有锌锭、电铅、电解铜等。
市值442.7614亿, 利润256.24亿; PE15.56; 平均PE8.35; 平均PEG.4, PB2.76; ROIC11.4267%; ROE20.45%; 股利率2.6911%; 毛利19.49%; 净利11.5167%; 上一年度营收增65.79%, 利润增649.9%; 当季营收增-33.1%, 利润增-90.16%; 过往5年营收增20.93%, 利润增205.74%
Income profile:
铜类产品 276.03亿 71.88% 60.37% 17.66%
锌类产品 31.56亿 8.22% 14.48% 37.05%
其他 29.44亿 7.67% 13.67% 37.50%
其他业务 14.56亿 3.79% 1.39% 7.72%
铅类产品 14.33亿 3.73% 7.78% 43.86%</v>
      </c>
      <c r="D44" t="s">
        <v>410</v>
      </c>
      <c r="E44" t="s">
        <v>411</v>
      </c>
      <c r="F44">
        <v>18.579999999999998</v>
      </c>
      <c r="G44">
        <v>3.34</v>
      </c>
      <c r="H44" t="s">
        <v>1998</v>
      </c>
      <c r="I44">
        <v>44276140000</v>
      </c>
      <c r="J44">
        <v>15.56</v>
      </c>
      <c r="K44">
        <v>2.76</v>
      </c>
      <c r="L44" t="s">
        <v>105</v>
      </c>
      <c r="M44" t="s">
        <v>1999</v>
      </c>
      <c r="N44" t="s">
        <v>2000</v>
      </c>
      <c r="O44" t="s">
        <v>928</v>
      </c>
      <c r="P44">
        <v>-5.18</v>
      </c>
      <c r="Q44" t="s">
        <v>2001</v>
      </c>
      <c r="R44">
        <v>736994980</v>
      </c>
      <c r="S44" s="5">
        <v>8.3900000000000002E-2</v>
      </c>
      <c r="T44" t="s">
        <v>2002</v>
      </c>
      <c r="U44">
        <v>2383000000</v>
      </c>
      <c r="V44">
        <v>2383000000</v>
      </c>
      <c r="W44">
        <v>2.4700000000000002</v>
      </c>
      <c r="X44">
        <v>0.21</v>
      </c>
      <c r="Y44">
        <v>10.83</v>
      </c>
      <c r="Z44" t="s">
        <v>1846</v>
      </c>
      <c r="AA44" t="s">
        <v>2003</v>
      </c>
      <c r="AB44" t="s">
        <v>2004</v>
      </c>
      <c r="AC44" t="s">
        <v>632</v>
      </c>
      <c r="AD44" t="s">
        <v>5</v>
      </c>
      <c r="AE44">
        <v>174467860</v>
      </c>
      <c r="AF44" t="s">
        <v>2005</v>
      </c>
      <c r="AG44" t="s">
        <v>2006</v>
      </c>
      <c r="AH44" t="s">
        <v>2007</v>
      </c>
      <c r="AI44" t="s">
        <v>2008</v>
      </c>
      <c r="AJ44" t="s">
        <v>2009</v>
      </c>
      <c r="AK44" t="s">
        <v>591</v>
      </c>
      <c r="AL44" t="s">
        <v>2010</v>
      </c>
      <c r="AM44" t="s">
        <v>5</v>
      </c>
      <c r="AN44" t="s">
        <v>2011</v>
      </c>
      <c r="AO44" t="s">
        <v>2012</v>
      </c>
      <c r="AP44" t="s">
        <v>2013</v>
      </c>
      <c r="AQ44" t="s">
        <v>2014</v>
      </c>
      <c r="AR44" t="s">
        <v>5</v>
      </c>
      <c r="AS44" t="s">
        <v>2015</v>
      </c>
      <c r="AT44" t="s">
        <v>2016</v>
      </c>
      <c r="AU44" t="s">
        <v>797</v>
      </c>
      <c r="AV44" t="s">
        <v>2017</v>
      </c>
      <c r="AW44" t="s">
        <v>2018</v>
      </c>
      <c r="AX44" t="s">
        <v>2019</v>
      </c>
      <c r="AY44" t="s">
        <v>925</v>
      </c>
      <c r="AZ44" t="s">
        <v>564</v>
      </c>
      <c r="BA44" t="s">
        <v>412</v>
      </c>
      <c r="BB44" t="s">
        <v>413</v>
      </c>
      <c r="BC44" t="s">
        <v>939</v>
      </c>
      <c r="BD44" t="s">
        <v>563</v>
      </c>
      <c r="BE44" t="s">
        <v>565</v>
      </c>
      <c r="BF44" t="s">
        <v>414</v>
      </c>
      <c r="BG44" t="s">
        <v>415</v>
      </c>
      <c r="BH44" t="s">
        <v>2020</v>
      </c>
      <c r="BI44" t="s">
        <v>370</v>
      </c>
      <c r="BJ44" t="s">
        <v>2019</v>
      </c>
      <c r="BK44" t="s">
        <v>2021</v>
      </c>
      <c r="BL44" t="s">
        <v>2022</v>
      </c>
      <c r="BM44" t="s">
        <v>939</v>
      </c>
      <c r="BN44">
        <v>8.44</v>
      </c>
      <c r="BO44">
        <v>13.21</v>
      </c>
      <c r="BP44">
        <v>12.63</v>
      </c>
      <c r="BQ44">
        <v>14.07</v>
      </c>
      <c r="BR44">
        <v>23.41</v>
      </c>
      <c r="BS44">
        <v>23.87</v>
      </c>
      <c r="BT44" t="s">
        <v>771</v>
      </c>
      <c r="BU44" t="s">
        <v>628</v>
      </c>
      <c r="BV44">
        <v>18.04</v>
      </c>
      <c r="BW44">
        <v>19.399999999999999</v>
      </c>
      <c r="BX44">
        <v>21.03</v>
      </c>
      <c r="BY44">
        <v>9.9</v>
      </c>
      <c r="BZ44">
        <v>12.79</v>
      </c>
      <c r="CA44">
        <v>11.86</v>
      </c>
      <c r="CB44">
        <v>3.51</v>
      </c>
      <c r="CC44">
        <v>0.92</v>
      </c>
      <c r="CD44" t="s">
        <v>489</v>
      </c>
      <c r="CE44" t="s">
        <v>959</v>
      </c>
      <c r="CF44" s="7">
        <v>-0.33097604096811561</v>
      </c>
      <c r="CG44" s="8">
        <v>-0.90164220205525158</v>
      </c>
      <c r="CH44" s="7">
        <v>0.65791046619415283</v>
      </c>
      <c r="CI44" s="7">
        <v>4.5142814517021179E-2</v>
      </c>
      <c r="CJ44" s="7">
        <v>0.34267973899841309</v>
      </c>
      <c r="CK44" s="7">
        <v>-6.1929505318403244E-2</v>
      </c>
      <c r="CL44" s="7">
        <v>6.2460865825414658E-2</v>
      </c>
      <c r="CM44" s="8">
        <v>6.4989762306213379</v>
      </c>
      <c r="CN44" s="8">
        <v>0.16541607677936554</v>
      </c>
      <c r="CO44" s="8">
        <v>2.2326350212097168</v>
      </c>
      <c r="CP44" s="8">
        <v>-9.9304862320423126E-2</v>
      </c>
      <c r="CQ44" s="8">
        <v>1.489072322845459</v>
      </c>
      <c r="CR44">
        <v>8.3466394369737333</v>
      </c>
      <c r="CS44">
        <v>0.39887812271912598</v>
      </c>
      <c r="CT44">
        <v>2.6910656620021531</v>
      </c>
      <c r="CU44" s="7">
        <v>0.20925287604331971</v>
      </c>
      <c r="CV44" s="8">
        <v>2.0573589578270912</v>
      </c>
      <c r="CW44">
        <v>0.06</v>
      </c>
      <c r="CX44">
        <v>1.8658382177398094</v>
      </c>
      <c r="CY44">
        <v>29231977071.447189</v>
      </c>
      <c r="CZ44">
        <v>0.20925287604331971</v>
      </c>
      <c r="DA44">
        <v>0.55195081315373962</v>
      </c>
      <c r="DB44">
        <v>98817029887.784409</v>
      </c>
      <c r="DC44">
        <v>0.19879023224115372</v>
      </c>
      <c r="DD44">
        <v>0.23651104347280397</v>
      </c>
      <c r="DE44">
        <v>230611387946.76077</v>
      </c>
      <c r="DF44">
        <v>0.18414253091812136</v>
      </c>
      <c r="DG44">
        <v>0.12050267066581949</v>
      </c>
      <c r="DH44">
        <v>452621835670.82422</v>
      </c>
      <c r="DI44">
        <v>0.16740230083465579</v>
      </c>
      <c r="DJ44">
        <v>4.2257329598292932E-2</v>
      </c>
      <c r="DK44">
        <v>1290714309647.3218</v>
      </c>
      <c r="DL44">
        <v>0.14647701323032378</v>
      </c>
      <c r="DM44">
        <v>25624000000</v>
      </c>
      <c r="DN44">
        <v>0.20925287604331971</v>
      </c>
      <c r="DO44">
        <v>54542140000</v>
      </c>
      <c r="DP44">
        <v>-2400482499.9999981</v>
      </c>
      <c r="DQ44">
        <v>3681</v>
      </c>
      <c r="DR44">
        <v>-0.54022891701143538</v>
      </c>
      <c r="DS44">
        <v>-2.9590011598823427</v>
      </c>
      <c r="DT44" s="9">
        <v>2.6666666666666616E-2</v>
      </c>
      <c r="DU44">
        <v>0.62499999999999989</v>
      </c>
      <c r="DV44">
        <v>0.65166666666666651</v>
      </c>
      <c r="DW44">
        <v>4.2621082621082618</v>
      </c>
      <c r="DX44">
        <v>0.40832535885167531</v>
      </c>
      <c r="DY44">
        <v>4.0388773020351971</v>
      </c>
      <c r="DZ44">
        <v>2834</v>
      </c>
      <c r="EA44">
        <v>4.0173159959749727</v>
      </c>
      <c r="EB44">
        <v>4</v>
      </c>
      <c r="EC44">
        <v>5.2035249685270665E-2</v>
      </c>
      <c r="ED44">
        <v>0.35081829626521194</v>
      </c>
      <c r="EE44" s="10">
        <v>7.0309999999999997E-2</v>
      </c>
      <c r="EF44">
        <v>6.3409999999999994E-2</v>
      </c>
      <c r="EG44">
        <v>26.148325358851675</v>
      </c>
      <c r="EH44">
        <v>-1</v>
      </c>
      <c r="EI44">
        <v>0</v>
      </c>
      <c r="EJ44">
        <v>0</v>
      </c>
      <c r="EK44" s="12">
        <v>45470</v>
      </c>
      <c r="EL44" s="13">
        <v>0.28999999999999998</v>
      </c>
      <c r="EM44" s="13">
        <v>0.4</v>
      </c>
      <c r="EN44" s="13">
        <v>-0.56999999999999995</v>
      </c>
      <c r="EO44" s="13">
        <v>0.06</v>
      </c>
      <c r="EP44" s="13">
        <v>0.69</v>
      </c>
    </row>
    <row r="45" spans="1:146" ht="168" x14ac:dyDescent="0.25">
      <c r="A45" s="6"/>
      <c r="B45" s="6"/>
      <c r="C45" s="6" t="str">
        <f>"公司的主营业务为铜、铅、锌、金、银等多种有色金属及贵金属的采选、冶炼、加工及贸易。其主要产品包括阴极铜、锌、电银、电铅、金。"&amp;CHAR(10)&amp;Basic_Fundamental_Information_Constructure(F45)&amp;CHAR(10)&amp;Basic_Fundamental_Information_Concatenate("阴极铜 301.20亿 41.67% -4.61% -0.48%
其他 291.51亿 40.33% 86.63% 9.34%
锌 82.49亿 11.41% 10.34% 3.94%
金 30.17亿 4.17% 5.58% 5.81%
电银 9.21亿 1.27% 1.22% 4.15%")</f>
        <v>公司的主营业务为铜、铅、锌、金、银等多种有色金属及贵金属的采选、冶炼、加工及贸易。其主要产品包括阴极铜、锌、电银、电铅、金。
市值211.03607亿, 利润27.23亿; PE315.5; 平均PE42.28; 平均PEG5.3, PB1.41; ROIC2.02%; ROE.14%; 股利率.1193%; 毛利4.5133%; 净利.6833%; 上一年度营收增-78.23%, 利润增8074.92%; 当季营收增335.58%, 利润增-110.18%; 过往5年营收增-7.98%, 利润增1635.5%
Income profile:
阴极铜 301.20亿 41.67% -4.61% -0.48%
其他 291.51亿 40.33% 86.63% 9.34%
锌 82.49亿 11.41% 10.34% 3.94%
金 30.17亿 4.17% 5.58% 5.81%
电银 9.21亿 1.27% 1.22% 4.15%</v>
      </c>
      <c r="D45" t="s">
        <v>416</v>
      </c>
      <c r="E45" t="s">
        <v>417</v>
      </c>
      <c r="F45">
        <v>2.85</v>
      </c>
      <c r="G45">
        <v>3.26</v>
      </c>
      <c r="H45" t="s">
        <v>2023</v>
      </c>
      <c r="I45">
        <v>21103607000</v>
      </c>
      <c r="J45">
        <v>315.5</v>
      </c>
      <c r="K45">
        <v>1.41</v>
      </c>
      <c r="L45" t="s">
        <v>105</v>
      </c>
      <c r="M45" t="s">
        <v>2024</v>
      </c>
      <c r="N45" t="s">
        <v>2025</v>
      </c>
      <c r="O45" t="s">
        <v>2026</v>
      </c>
      <c r="P45">
        <v>5.66</v>
      </c>
      <c r="Q45" t="s">
        <v>2027</v>
      </c>
      <c r="R45">
        <v>-84472058</v>
      </c>
      <c r="S45" s="5">
        <v>-0.23699999999999999</v>
      </c>
      <c r="T45" t="s">
        <v>2028</v>
      </c>
      <c r="U45">
        <v>7404774500</v>
      </c>
      <c r="V45">
        <v>7404774500</v>
      </c>
      <c r="W45">
        <v>2.73</v>
      </c>
      <c r="X45">
        <v>0.46</v>
      </c>
      <c r="Y45">
        <v>0.12</v>
      </c>
      <c r="Z45" t="s">
        <v>2029</v>
      </c>
      <c r="AA45" t="s">
        <v>2030</v>
      </c>
      <c r="AB45" t="s">
        <v>2031</v>
      </c>
      <c r="AC45" t="s">
        <v>2032</v>
      </c>
      <c r="AD45" t="s">
        <v>5</v>
      </c>
      <c r="AE45">
        <v>258036070</v>
      </c>
      <c r="AF45" t="s">
        <v>2033</v>
      </c>
      <c r="AG45" t="s">
        <v>2034</v>
      </c>
      <c r="AH45" t="s">
        <v>2035</v>
      </c>
      <c r="AI45" t="s">
        <v>546</v>
      </c>
      <c r="AJ45" t="s">
        <v>2036</v>
      </c>
      <c r="AK45" t="s">
        <v>5</v>
      </c>
      <c r="AL45" t="s">
        <v>2037</v>
      </c>
      <c r="AM45" t="s">
        <v>5</v>
      </c>
      <c r="AN45" t="s">
        <v>751</v>
      </c>
      <c r="AO45" t="s">
        <v>2038</v>
      </c>
      <c r="AP45" t="s">
        <v>5</v>
      </c>
      <c r="AQ45" t="s">
        <v>2039</v>
      </c>
      <c r="AR45" t="s">
        <v>5</v>
      </c>
      <c r="AS45" t="s">
        <v>2040</v>
      </c>
      <c r="AT45" t="s">
        <v>2041</v>
      </c>
      <c r="AU45" t="s">
        <v>826</v>
      </c>
      <c r="AV45" t="s">
        <v>2042</v>
      </c>
      <c r="AW45" t="s">
        <v>633</v>
      </c>
      <c r="AX45" t="s">
        <v>926</v>
      </c>
      <c r="AY45" t="s">
        <v>566</v>
      </c>
      <c r="AZ45" t="s">
        <v>418</v>
      </c>
      <c r="BA45" t="s">
        <v>420</v>
      </c>
      <c r="BB45" t="s">
        <v>421</v>
      </c>
      <c r="BC45" t="s">
        <v>927</v>
      </c>
      <c r="BD45" t="s">
        <v>567</v>
      </c>
      <c r="BE45" t="s">
        <v>419</v>
      </c>
      <c r="BF45" t="s">
        <v>422</v>
      </c>
      <c r="BG45" t="s">
        <v>423</v>
      </c>
      <c r="BH45" t="s">
        <v>2043</v>
      </c>
      <c r="BI45" t="s">
        <v>2044</v>
      </c>
      <c r="BJ45" t="s">
        <v>926</v>
      </c>
      <c r="BK45" t="s">
        <v>2045</v>
      </c>
      <c r="BL45" t="s">
        <v>2046</v>
      </c>
      <c r="BM45" t="s">
        <v>927</v>
      </c>
      <c r="BN45">
        <v>1.61</v>
      </c>
      <c r="BO45">
        <v>2.39</v>
      </c>
      <c r="BP45">
        <v>2.06</v>
      </c>
      <c r="BQ45">
        <v>-0.34</v>
      </c>
      <c r="BR45">
        <v>0.23</v>
      </c>
      <c r="BS45">
        <v>0.53</v>
      </c>
      <c r="BT45" t="s">
        <v>2047</v>
      </c>
      <c r="BU45" t="s">
        <v>628</v>
      </c>
      <c r="BV45">
        <v>4.2300000000000004</v>
      </c>
      <c r="BW45">
        <v>4.96</v>
      </c>
      <c r="BX45">
        <v>4.3499999999999996</v>
      </c>
      <c r="BY45">
        <v>0.77</v>
      </c>
      <c r="BZ45">
        <v>0.63</v>
      </c>
      <c r="CA45">
        <v>0.65</v>
      </c>
      <c r="CB45">
        <v>2.52</v>
      </c>
      <c r="CC45">
        <v>-8.06</v>
      </c>
      <c r="CD45" t="s">
        <v>788</v>
      </c>
      <c r="CE45" t="s">
        <v>2048</v>
      </c>
      <c r="CF45" s="7">
        <v>3.3557692307692308</v>
      </c>
      <c r="CG45" s="8">
        <v>-1.1017735638554216</v>
      </c>
      <c r="CH45" s="7">
        <v>-0.78227353096008301</v>
      </c>
      <c r="CI45" s="7">
        <v>0.21520479023456573</v>
      </c>
      <c r="CJ45" s="7">
        <v>0.17675784230232239</v>
      </c>
      <c r="CK45" s="7">
        <v>-4.4894679449498653E-3</v>
      </c>
      <c r="CL45" s="7">
        <v>-3.9872308261692524E-3</v>
      </c>
      <c r="CM45" s="8">
        <v>80.749191284179688</v>
      </c>
      <c r="CN45" s="8">
        <v>-0.59250062704086304</v>
      </c>
      <c r="CO45" s="8">
        <v>0.12024696916341782</v>
      </c>
      <c r="CP45" s="8">
        <v>0.25710019469261169</v>
      </c>
      <c r="CQ45" s="8">
        <v>1.2410012483596802</v>
      </c>
      <c r="CR45">
        <v>42.278235799044289</v>
      </c>
      <c r="CS45">
        <v>5.3008463774318075</v>
      </c>
      <c r="CT45">
        <v>0.1192982456140351</v>
      </c>
      <c r="CU45" s="7">
        <v>-7.9757519438862806E-2</v>
      </c>
      <c r="CV45" s="8">
        <v>16.355007813870905</v>
      </c>
      <c r="CW45">
        <v>0.06</v>
      </c>
      <c r="CX45" t="e">
        <v>#VALUE!</v>
      </c>
      <c r="CY45" t="s">
        <v>1921</v>
      </c>
      <c r="CZ45">
        <v>-7.9757519438862806E-2</v>
      </c>
      <c r="DA45">
        <v>4.1283641816623824</v>
      </c>
      <c r="DB45" t="s">
        <v>2049</v>
      </c>
      <c r="DC45">
        <v>-7.5769643466919667E-2</v>
      </c>
      <c r="DD45">
        <v>2.0641820908311912</v>
      </c>
      <c r="DE45" t="s">
        <v>2050</v>
      </c>
      <c r="DF45">
        <v>-7.0186617106199264E-2</v>
      </c>
      <c r="DG45">
        <v>1.2385092544987146</v>
      </c>
      <c r="DH45" t="s">
        <v>2051</v>
      </c>
      <c r="DI45">
        <v>-6.380601555109025E-2</v>
      </c>
      <c r="DJ45">
        <v>0.61925462724935731</v>
      </c>
      <c r="DK45" t="s">
        <v>2052</v>
      </c>
      <c r="DL45">
        <v>-5.5830263607203959E-2</v>
      </c>
      <c r="DM45">
        <v>2723000000</v>
      </c>
      <c r="DN45">
        <v>-7.9757519438862806E-2</v>
      </c>
      <c r="DO45">
        <v>33724607000</v>
      </c>
      <c r="DP45">
        <v>6044961000</v>
      </c>
      <c r="DQ45">
        <v>3693</v>
      </c>
      <c r="DR45">
        <v>3.4355267502080937</v>
      </c>
      <c r="DS45">
        <v>-17.456781377726326</v>
      </c>
      <c r="DT45" s="9">
        <v>-0.49</v>
      </c>
      <c r="DU45">
        <v>-0.4316666666666667</v>
      </c>
      <c r="DV45">
        <v>-0.92166666666666663</v>
      </c>
      <c r="DW45">
        <v>6.2381852551984878</v>
      </c>
      <c r="DX45">
        <v>0.45042036731756097</v>
      </c>
      <c r="DY45">
        <v>6.0239186508166593</v>
      </c>
      <c r="DZ45">
        <v>2738</v>
      </c>
      <c r="EA45">
        <v>6.0111027475023713</v>
      </c>
      <c r="EB45">
        <v>6</v>
      </c>
      <c r="EC45">
        <v>2.9035320386866608E-2</v>
      </c>
      <c r="ED45">
        <v>0.28913777185247169</v>
      </c>
      <c r="EE45" s="10">
        <v>9.2999999999999992E-3</v>
      </c>
      <c r="EF45">
        <v>2.8999999999999989E-3</v>
      </c>
      <c r="EG45">
        <v>35.100420367317561</v>
      </c>
      <c r="EH45" t="s">
        <v>494</v>
      </c>
      <c r="EI45">
        <v>0</v>
      </c>
      <c r="EJ45">
        <v>0</v>
      </c>
      <c r="EK45" s="12">
        <v>45470</v>
      </c>
      <c r="EL45" s="13">
        <v>-0.14000000000000001</v>
      </c>
      <c r="EM45" s="13">
        <v>-0.28000000000000003</v>
      </c>
      <c r="EN45" s="13">
        <v>-1.36</v>
      </c>
      <c r="EO45" s="13">
        <v>2.02</v>
      </c>
      <c r="EP45" s="13">
        <v>-0.64</v>
      </c>
    </row>
    <row r="46" spans="1:146" ht="156" x14ac:dyDescent="0.25">
      <c r="A46" s="6" t="s">
        <v>790</v>
      </c>
      <c r="B46" s="6"/>
      <c r="C46" s="6" t="str">
        <f>"公司主要业务包括铝合金锭业务、废料贸易业务。公司主要产品为铝合金(再生铝)和金属废料。公司是中国铝资源再生领域的龙头企业之一，生产和节能技术水平领先"&amp;CHAR(10)&amp;Basic_Fundamental_Information_Constructure(F46)&amp;CHAR(10)&amp;Basic_Fundamental_Information_Concatenate("铝锭销售 45.43亿 54.84% 56.26% 18.84%
废料贸易 31.60亿 38.15% 31.54% 15.18%
边角料 5.76亿 6.96% 12.12% 31.98%
其他 387.72万 0.05% 0.08% 32.72%")</f>
        <v>公司主要业务包括铝合金锭业务、废料贸易业务。公司主要产品为铝合金(再生铝)和金属废料。公司是中国铝资源再生领域的龙头企业之一，生产和节能技术水平领先
市值48.64702亿, 利润334.83亿; PE55.55; 平均PE.82; 平均PEG0, PB1.15; ROIC9.57%; ROE12.0833%; 股利率.5882%; 毛利12.4133%; 净利5.74%; 上一年度营收增16360.06%, 利润增8688.19%; 当季营收增-99.42%, 利润增-99.64%; 过往5年营收增3277.91%, 利润增1807.4%
Income profile:
铝锭销售 45.43亿 54.84% 56.26% 18.84%
废料贸易 31.60亿 38.15% 31.54% 15.18%
边角料 5.76亿 6.96% 12.12% 31.98%
其他 387.72万 0.05% 0.08% 32.72%</v>
      </c>
      <c r="D46" t="s">
        <v>424</v>
      </c>
      <c r="E46" t="s">
        <v>425</v>
      </c>
      <c r="F46">
        <v>2.21</v>
      </c>
      <c r="G46">
        <v>1.84</v>
      </c>
      <c r="H46" t="s">
        <v>2053</v>
      </c>
      <c r="I46">
        <v>4864702000</v>
      </c>
      <c r="J46">
        <v>55.55</v>
      </c>
      <c r="K46">
        <v>1.1499999999999999</v>
      </c>
      <c r="L46" t="s">
        <v>105</v>
      </c>
      <c r="M46" t="s">
        <v>2054</v>
      </c>
      <c r="N46" t="s">
        <v>2055</v>
      </c>
      <c r="O46" t="s">
        <v>2056</v>
      </c>
      <c r="P46">
        <v>-9.9600000000000009</v>
      </c>
      <c r="Q46" t="s">
        <v>2057</v>
      </c>
      <c r="R46">
        <v>28654578</v>
      </c>
      <c r="S46" s="5">
        <v>-0.61270000000000002</v>
      </c>
      <c r="T46" t="s">
        <v>2058</v>
      </c>
      <c r="U46">
        <v>2201222600</v>
      </c>
      <c r="V46">
        <v>2201222600</v>
      </c>
      <c r="W46">
        <v>1.34</v>
      </c>
      <c r="X46">
        <v>0.28000000000000003</v>
      </c>
      <c r="Y46">
        <v>1.82</v>
      </c>
      <c r="Z46" t="s">
        <v>2059</v>
      </c>
      <c r="AA46" t="s">
        <v>1132</v>
      </c>
      <c r="AB46" t="s">
        <v>2060</v>
      </c>
      <c r="AC46" t="s">
        <v>2061</v>
      </c>
      <c r="AD46" t="s">
        <v>5</v>
      </c>
      <c r="AE46">
        <v>2137070</v>
      </c>
      <c r="AF46" t="s">
        <v>2062</v>
      </c>
      <c r="AG46" t="s">
        <v>2063</v>
      </c>
      <c r="AH46" t="s">
        <v>2064</v>
      </c>
      <c r="AI46" t="s">
        <v>389</v>
      </c>
      <c r="AJ46" t="s">
        <v>2065</v>
      </c>
      <c r="AK46" t="s">
        <v>5</v>
      </c>
      <c r="AL46" t="s">
        <v>2066</v>
      </c>
      <c r="AM46" t="s">
        <v>5</v>
      </c>
      <c r="AN46" t="s">
        <v>2067</v>
      </c>
      <c r="AO46" t="s">
        <v>1337</v>
      </c>
      <c r="AP46" t="s">
        <v>2068</v>
      </c>
      <c r="AQ46" t="s">
        <v>753</v>
      </c>
      <c r="AR46" t="s">
        <v>5</v>
      </c>
      <c r="AS46" t="s">
        <v>2069</v>
      </c>
      <c r="AT46" t="s">
        <v>2070</v>
      </c>
      <c r="AU46" t="s">
        <v>2071</v>
      </c>
      <c r="AV46" t="s">
        <v>2072</v>
      </c>
      <c r="AW46" t="s">
        <v>2073</v>
      </c>
      <c r="AX46" t="s">
        <v>931</v>
      </c>
      <c r="AY46" t="s">
        <v>568</v>
      </c>
      <c r="AZ46" t="s">
        <v>426</v>
      </c>
      <c r="BA46" t="s">
        <v>428</v>
      </c>
      <c r="BB46" t="s">
        <v>55</v>
      </c>
      <c r="BC46" t="s">
        <v>932</v>
      </c>
      <c r="BD46" t="s">
        <v>110</v>
      </c>
      <c r="BE46" t="s">
        <v>101</v>
      </c>
      <c r="BF46" t="s">
        <v>429</v>
      </c>
      <c r="BG46" t="s">
        <v>430</v>
      </c>
      <c r="BH46" t="s">
        <v>2074</v>
      </c>
      <c r="BI46" t="s">
        <v>2075</v>
      </c>
      <c r="BJ46" t="s">
        <v>931</v>
      </c>
      <c r="BK46" t="s">
        <v>799</v>
      </c>
      <c r="BL46" t="s">
        <v>2076</v>
      </c>
      <c r="BM46" t="s">
        <v>932</v>
      </c>
      <c r="BN46">
        <v>2.94</v>
      </c>
      <c r="BO46">
        <v>7.87</v>
      </c>
      <c r="BP46">
        <v>17.899999999999999</v>
      </c>
      <c r="BQ46">
        <v>2.93</v>
      </c>
      <c r="BR46">
        <v>9.43</v>
      </c>
      <c r="BS46">
        <v>23.89</v>
      </c>
      <c r="BT46" t="s">
        <v>2077</v>
      </c>
      <c r="BU46" t="s">
        <v>627</v>
      </c>
      <c r="BV46">
        <v>7.98</v>
      </c>
      <c r="BW46">
        <v>10.9</v>
      </c>
      <c r="BX46">
        <v>18.36</v>
      </c>
      <c r="BY46">
        <v>1.96</v>
      </c>
      <c r="BZ46">
        <v>4.9800000000000004</v>
      </c>
      <c r="CA46">
        <v>10.28</v>
      </c>
      <c r="CB46">
        <v>0.91</v>
      </c>
      <c r="CC46">
        <v>-16.510000000000002</v>
      </c>
      <c r="CD46" t="s">
        <v>2078</v>
      </c>
      <c r="CE46" t="s">
        <v>2079</v>
      </c>
      <c r="CF46" s="7">
        <v>-0.99419797480641536</v>
      </c>
      <c r="CG46" s="8">
        <v>-0.99636317070694247</v>
      </c>
      <c r="CH46" s="7">
        <v>163.60064697265625</v>
      </c>
      <c r="CI46" s="7">
        <v>-7.5214304029941559E-2</v>
      </c>
      <c r="CJ46" s="7">
        <v>0.47200995683670044</v>
      </c>
      <c r="CK46" s="7">
        <v>3.2856058329343796E-2</v>
      </c>
      <c r="CL46" s="7">
        <v>-0.13482609391212463</v>
      </c>
      <c r="CM46" s="8">
        <v>86.881889343261719</v>
      </c>
      <c r="CN46" s="8">
        <v>-0.55281692743301392</v>
      </c>
      <c r="CO46" s="8">
        <v>0.84415584802627563</v>
      </c>
      <c r="CP46" s="8">
        <v>3.0173912048339844</v>
      </c>
      <c r="CQ46" s="8">
        <v>0.17920900881290436</v>
      </c>
      <c r="CR46">
        <v>0.82474655715034217</v>
      </c>
      <c r="CS46">
        <v>2.5160748619765911E-4</v>
      </c>
      <c r="CT46">
        <v>0.58823529411764708</v>
      </c>
      <c r="CU46" s="7">
        <v>32.779094517976048</v>
      </c>
      <c r="CV46" s="8">
        <v>18.073965695500373</v>
      </c>
      <c r="CW46">
        <v>0.06</v>
      </c>
      <c r="CX46">
        <v>1.8834980001709927E-3</v>
      </c>
      <c r="CY46">
        <v>1067005114854.1434</v>
      </c>
      <c r="CZ46">
        <v>32.779094517976048</v>
      </c>
      <c r="DA46">
        <v>2.0822477218834227E-6</v>
      </c>
      <c r="DB46">
        <v>965159898545690.62</v>
      </c>
      <c r="DC46">
        <v>31.140139792077246</v>
      </c>
      <c r="DD46">
        <v>1.1618640282087602E-10</v>
      </c>
      <c r="DE46">
        <v>1.7297221974402175E+19</v>
      </c>
      <c r="DF46">
        <v>28.845603175818923</v>
      </c>
      <c r="DG46">
        <v>4.6207650843756941E-16</v>
      </c>
      <c r="DH46">
        <v>4.3492840759108359E+24</v>
      </c>
      <c r="DI46">
        <v>26.223275614380839</v>
      </c>
      <c r="DJ46">
        <v>4.7899539759664942E-29</v>
      </c>
      <c r="DK46">
        <v>4.19566035515924E+37</v>
      </c>
      <c r="DL46">
        <v>22.945366162583234</v>
      </c>
      <c r="DM46">
        <v>33483000000</v>
      </c>
      <c r="DN46">
        <v>32.779094517976048</v>
      </c>
      <c r="DO46">
        <v>2009701999.9999995</v>
      </c>
      <c r="DP46">
        <v>2297983400</v>
      </c>
      <c r="DQ46">
        <v>3723</v>
      </c>
      <c r="DR46">
        <v>-33.773292492782467</v>
      </c>
      <c r="DS46">
        <v>-19.070328866207316</v>
      </c>
      <c r="DT46" s="9">
        <v>-6.6666666666666714E-3</v>
      </c>
      <c r="DU46">
        <v>0.53833333333333333</v>
      </c>
      <c r="DV46">
        <v>0.53166666666666662</v>
      </c>
      <c r="DW46">
        <v>-3.0057678571428572</v>
      </c>
      <c r="DX46">
        <v>0.34118211227402484</v>
      </c>
      <c r="DY46">
        <v>-3.0004682468261521</v>
      </c>
      <c r="DZ46">
        <v>2103</v>
      </c>
      <c r="EA46">
        <v>-3.0002755417233344</v>
      </c>
      <c r="EB46">
        <v>3</v>
      </c>
      <c r="EC46">
        <v>3.876136834139355E-2</v>
      </c>
      <c r="ED46">
        <v>0.47746193410879934</v>
      </c>
      <c r="EE46" s="10">
        <v>7.3200000000000001E-2</v>
      </c>
      <c r="EF46">
        <v>6.54E-2</v>
      </c>
      <c r="EG46">
        <v>26.081182112274025</v>
      </c>
      <c r="EH46" t="s">
        <v>494</v>
      </c>
      <c r="EI46">
        <v>0</v>
      </c>
      <c r="EJ46">
        <v>0</v>
      </c>
      <c r="EK46" s="12">
        <v>45470</v>
      </c>
      <c r="EL46" s="13">
        <v>0.77</v>
      </c>
      <c r="EM46" s="13">
        <v>-0.19</v>
      </c>
      <c r="EN46" s="13">
        <v>-1.91</v>
      </c>
      <c r="EO46" s="13">
        <v>0.39</v>
      </c>
      <c r="EP46" s="13">
        <v>-0.78</v>
      </c>
    </row>
    <row r="47" spans="1:146" ht="180" x14ac:dyDescent="0.25">
      <c r="A47" s="6"/>
      <c r="B47" s="6"/>
      <c r="C47" s="6" t="str">
        <f>"公司成立于2001年09月10日，是是集铝土矿、煤炭等资源开采，氧化铝、炭素、原铝和铝合金产品生产、销售、技术研发，国际贸易，物流产业，火力及新能源发电于一体的大型铝生产经营企业。公司产品主要有氧化铝、原铝、贸易、能源等。"&amp;CHAR(10)&amp;Basic_Fundamental_Information_Constructure(F47)&amp;CHAR(10)&amp;Basic_Fundamental_Information_Concatenate("贸易 2203.77亿 81.70%
原铝 725.87亿 26.91%
氧化铝 563.16亿 20.88%
能源 79.15亿 2.93% ")</f>
        <v xml:space="preserve">公司成立于2001年09月10日，是是集铝土矿、煤炭等资源开采，氧化铝、炭素、原铝和铝合金产品生产、销售、技术研发，国际贸易，物流产业，火力及新能源发电于一体的大型铝生产经营企业。公司产品主要有氧化铝、原铝、贸易、能源等。
市值1319.47952亿, 利润272.57亿; PE18.5; 平均PE19.96; 平均PEG1.37, PB2.17; ROIC7.1133%; ROE8.5367%; 股利率1.0403%; 毛利11.6%; 净利4.07%; 上一年度营收增11.33%, 利润增550.21%; 当季营收增-48.13%, 利润增-80.82%; 过往5年营收增14.54%, 利润增233.8%
Income profile:
贸易 2203.77亿 81.70%
原铝 725.87亿 26.91%
氧化铝 563.16亿 20.88%
能源 79.15亿 2.93% </v>
      </c>
      <c r="D47" t="s">
        <v>431</v>
      </c>
      <c r="E47" t="s">
        <v>432</v>
      </c>
      <c r="F47">
        <v>7.69</v>
      </c>
      <c r="G47">
        <v>1.32</v>
      </c>
      <c r="H47" t="s">
        <v>26</v>
      </c>
      <c r="I47">
        <v>131947952000</v>
      </c>
      <c r="J47">
        <v>18.5</v>
      </c>
      <c r="K47">
        <v>2.17</v>
      </c>
      <c r="L47" t="s">
        <v>105</v>
      </c>
      <c r="M47" t="s">
        <v>2080</v>
      </c>
      <c r="N47" t="s">
        <v>2081</v>
      </c>
      <c r="O47" t="s">
        <v>2082</v>
      </c>
      <c r="P47">
        <v>-26.14</v>
      </c>
      <c r="Q47" t="s">
        <v>2083</v>
      </c>
      <c r="R47">
        <v>2230265000</v>
      </c>
      <c r="S47" s="5">
        <v>0.2301</v>
      </c>
      <c r="T47" t="s">
        <v>2084</v>
      </c>
      <c r="U47">
        <v>13123099700</v>
      </c>
      <c r="V47">
        <v>17158381000</v>
      </c>
      <c r="W47">
        <v>2.0699999999999998</v>
      </c>
      <c r="X47">
        <v>0.23</v>
      </c>
      <c r="Y47">
        <v>8.27</v>
      </c>
      <c r="Z47" t="s">
        <v>2085</v>
      </c>
      <c r="AA47" t="s">
        <v>2086</v>
      </c>
      <c r="AB47" t="s">
        <v>2087</v>
      </c>
      <c r="AC47" t="s">
        <v>206</v>
      </c>
      <c r="AD47" t="s">
        <v>5</v>
      </c>
      <c r="AE47">
        <v>697457000</v>
      </c>
      <c r="AF47" t="s">
        <v>2088</v>
      </c>
      <c r="AG47" t="s">
        <v>2089</v>
      </c>
      <c r="AH47" t="s">
        <v>2090</v>
      </c>
      <c r="AI47" t="s">
        <v>2091</v>
      </c>
      <c r="AJ47" t="s">
        <v>2092</v>
      </c>
      <c r="AK47" t="s">
        <v>2093</v>
      </c>
      <c r="AL47" t="s">
        <v>2094</v>
      </c>
      <c r="AM47" t="s">
        <v>5</v>
      </c>
      <c r="AN47" t="s">
        <v>2095</v>
      </c>
      <c r="AO47" t="s">
        <v>2096</v>
      </c>
      <c r="AP47" t="s">
        <v>2097</v>
      </c>
      <c r="AQ47" t="s">
        <v>2098</v>
      </c>
      <c r="AR47" t="s">
        <v>2099</v>
      </c>
      <c r="AS47" t="s">
        <v>2100</v>
      </c>
      <c r="AT47" t="s">
        <v>2101</v>
      </c>
      <c r="AU47" t="s">
        <v>793</v>
      </c>
      <c r="AV47" t="s">
        <v>2102</v>
      </c>
      <c r="AW47" t="s">
        <v>2103</v>
      </c>
      <c r="AX47" t="s">
        <v>935</v>
      </c>
      <c r="AY47" t="s">
        <v>937</v>
      </c>
      <c r="AZ47" t="s">
        <v>569</v>
      </c>
      <c r="BA47" t="s">
        <v>434</v>
      </c>
      <c r="BB47" t="s">
        <v>435</v>
      </c>
      <c r="BC47" t="s">
        <v>936</v>
      </c>
      <c r="BD47" t="s">
        <v>938</v>
      </c>
      <c r="BE47" t="s">
        <v>570</v>
      </c>
      <c r="BF47" t="s">
        <v>436</v>
      </c>
      <c r="BG47" t="s">
        <v>148</v>
      </c>
      <c r="BH47" t="s">
        <v>2104</v>
      </c>
      <c r="BI47" t="s">
        <v>2105</v>
      </c>
      <c r="BJ47" t="s">
        <v>935</v>
      </c>
      <c r="BK47" t="s">
        <v>2106</v>
      </c>
      <c r="BL47" t="s">
        <v>2107</v>
      </c>
      <c r="BM47" t="s">
        <v>936</v>
      </c>
      <c r="BN47">
        <v>6.8</v>
      </c>
      <c r="BO47">
        <v>8.1</v>
      </c>
      <c r="BP47">
        <v>6.44</v>
      </c>
      <c r="BQ47">
        <v>9.43</v>
      </c>
      <c r="BR47">
        <v>6.9</v>
      </c>
      <c r="BS47">
        <v>9.2799999999999994</v>
      </c>
      <c r="BT47" t="s">
        <v>775</v>
      </c>
      <c r="BU47" t="s">
        <v>627</v>
      </c>
      <c r="BV47">
        <v>12.9</v>
      </c>
      <c r="BW47">
        <v>11.47</v>
      </c>
      <c r="BX47">
        <v>10.43</v>
      </c>
      <c r="BY47">
        <v>5.59</v>
      </c>
      <c r="BZ47">
        <v>3.73</v>
      </c>
      <c r="CA47">
        <v>2.89</v>
      </c>
      <c r="CB47">
        <v>0.79</v>
      </c>
      <c r="CC47">
        <v>0.26</v>
      </c>
      <c r="CD47" t="s">
        <v>802</v>
      </c>
      <c r="CE47" t="s">
        <v>2108</v>
      </c>
      <c r="CF47" s="7">
        <v>-0.48132138240840805</v>
      </c>
      <c r="CG47" s="8">
        <v>-0.80816574918286599</v>
      </c>
      <c r="CH47" s="7">
        <v>0.11325898766517639</v>
      </c>
      <c r="CI47" s="7">
        <v>-2.6421500369906425E-2</v>
      </c>
      <c r="CJ47" s="7">
        <v>0.60698628425598145</v>
      </c>
      <c r="CK47" s="7">
        <v>-2.2206408903002739E-2</v>
      </c>
      <c r="CL47" s="7">
        <v>5.5336959660053253E-2</v>
      </c>
      <c r="CM47" s="8">
        <v>5.5021467208862305</v>
      </c>
      <c r="CN47" s="8">
        <v>-0.27209585905075073</v>
      </c>
      <c r="CO47" s="8">
        <v>6.5379586219787598</v>
      </c>
      <c r="CP47" s="8">
        <v>-0.10433763265609741</v>
      </c>
      <c r="CQ47" s="8">
        <v>2.6474127545952797E-2</v>
      </c>
      <c r="CR47">
        <v>19.963882186806536</v>
      </c>
      <c r="CS47">
        <v>1.3731180608029894</v>
      </c>
      <c r="CT47">
        <v>1.0403120936280885</v>
      </c>
      <c r="CU47" s="7">
        <v>0.14539086446166039</v>
      </c>
      <c r="CV47" s="8">
        <v>2.3380291957408188</v>
      </c>
      <c r="CW47">
        <v>0.06</v>
      </c>
      <c r="CX47">
        <v>4.8026393058840489</v>
      </c>
      <c r="CY47">
        <v>29452753577.95422</v>
      </c>
      <c r="CZ47">
        <v>0.14539086446166039</v>
      </c>
      <c r="DA47">
        <v>1.4979918920975148</v>
      </c>
      <c r="DB47">
        <v>94427047800.597824</v>
      </c>
      <c r="DC47">
        <v>0.13812132123857737</v>
      </c>
      <c r="DD47">
        <v>0.69198879006202219</v>
      </c>
      <c r="DE47">
        <v>204412201514.59665</v>
      </c>
      <c r="DF47">
        <v>0.12794396072626113</v>
      </c>
      <c r="DG47">
        <v>0.38609903442232735</v>
      </c>
      <c r="DH47">
        <v>366359248247.37189</v>
      </c>
      <c r="DI47">
        <v>0.11631269156932832</v>
      </c>
      <c r="DJ47">
        <v>0.16869647750862501</v>
      </c>
      <c r="DK47">
        <v>838493809052.81787</v>
      </c>
      <c r="DL47">
        <v>0.10177360512316226</v>
      </c>
      <c r="DM47">
        <v>27257000000</v>
      </c>
      <c r="DN47">
        <v>0.14539086446166039</v>
      </c>
      <c r="DO47">
        <v>141450952000</v>
      </c>
      <c r="DP47">
        <v>6943147999.9999924</v>
      </c>
      <c r="DQ47">
        <v>3744</v>
      </c>
      <c r="DR47">
        <v>-0.62671224687006843</v>
      </c>
      <c r="DS47">
        <v>-3.1461949449236846</v>
      </c>
      <c r="DT47" s="9">
        <v>-0.17333333333333334</v>
      </c>
      <c r="DU47">
        <v>9.4999999999999973E-2</v>
      </c>
      <c r="DV47">
        <v>-7.8333333333333366E-2</v>
      </c>
      <c r="DW47">
        <v>2.5999999999999999E-3</v>
      </c>
      <c r="DX47">
        <v>0.35857480306575651</v>
      </c>
      <c r="DY47">
        <v>3.3429448797096491E-4</v>
      </c>
      <c r="DZ47">
        <v>3463</v>
      </c>
      <c r="EA47">
        <v>1.0774618819729533E-4</v>
      </c>
      <c r="EB47">
        <v>0</v>
      </c>
      <c r="EC47">
        <v>3.1704622947817743E-2</v>
      </c>
      <c r="ED47">
        <v>0.2465850361989281</v>
      </c>
      <c r="EE47" s="10">
        <v>1.261E-2</v>
      </c>
      <c r="EF47">
        <v>2.981E-2</v>
      </c>
      <c r="EG47">
        <v>23.128574803065757</v>
      </c>
      <c r="EH47">
        <v>-1</v>
      </c>
      <c r="EI47">
        <v>0</v>
      </c>
      <c r="EJ47">
        <v>0</v>
      </c>
      <c r="EK47" s="12">
        <v>45470</v>
      </c>
      <c r="EL47" s="13">
        <v>0</v>
      </c>
      <c r="EM47" s="13">
        <v>-3.47</v>
      </c>
      <c r="EN47" s="13">
        <v>0.36</v>
      </c>
      <c r="EO47" s="13">
        <v>4.3</v>
      </c>
      <c r="EP47" s="13">
        <v>-1.72</v>
      </c>
    </row>
    <row r="48" spans="1:146" ht="180" x14ac:dyDescent="0.25">
      <c r="A48" s="6"/>
      <c r="B48" s="6"/>
      <c r="C48" s="6" t="str">
        <f>"公司主营业务是有色金属加工。公司产业涵盖铜加工、高新材料、有色金属贸易等领域,主要产品有阴极铜、铜线、铜棒、铜管、铜带、漆包线、铜阀门、管接件、水表、烧结钕铁硼永磁材。"&amp;CHAR(10)&amp;Basic_Fundamental_Information_Constructure(F48)&amp;CHAR(10)&amp;Basic_Fundamental_Information_Concatenate("铜及铜合金产品（不含铜线排） 399.46亿 49.22% 68.08% 4.42%
铜线（排） 336.38亿 41.45% 12.83% 0.99%
其他业务 65.27亿 8.04% 9.55% 3.80%
稀土永磁产品 10.47亿 1.29% 9.54% 23.63%")</f>
        <v>公司主营业务是有色金属加工。公司产业涵盖铜加工、高新材料、有色金属贸易等领域,主要产品有阴极铜、铜线、铜棒、铜管、铜带、漆包线、铜阀门、管接件、水表、烧结钕铁硼永磁材。
市值84.888446亿, 利润20.63亿; PE15.4; 平均PE10.95; 平均PEG.45, PB1.07; ROIC5.4733%; ROE6.9767%; 股利率2.0906%; 毛利2.4767%; 净利.6067%; 上一年度营收增8.1%, 利润增391.19%; 当季营收增-14.17%, 利润增-78.57%; 过往5年营收增24.24%, 利润增82.66%
Income profile:
铜及铜合金产品（不含铜线排） 399.46亿 49.22% 68.08% 4.42%
铜线（排） 336.38亿 41.45% 12.83% 0.99%
其他业务 65.27亿 8.04% 9.55% 3.80%
稀土永磁产品 10.47亿 1.29% 9.54% 23.63%</v>
      </c>
      <c r="D48" t="s">
        <v>437</v>
      </c>
      <c r="E48" t="s">
        <v>655</v>
      </c>
      <c r="F48">
        <v>5.74</v>
      </c>
      <c r="G48">
        <v>1.77</v>
      </c>
      <c r="H48" t="s">
        <v>2109</v>
      </c>
      <c r="I48">
        <v>8488844600</v>
      </c>
      <c r="J48">
        <v>15.4</v>
      </c>
      <c r="K48">
        <v>1.07</v>
      </c>
      <c r="L48" t="s">
        <v>105</v>
      </c>
      <c r="M48" t="s">
        <v>2110</v>
      </c>
      <c r="N48" t="s">
        <v>2111</v>
      </c>
      <c r="O48" t="s">
        <v>2112</v>
      </c>
      <c r="P48">
        <v>3.4</v>
      </c>
      <c r="Q48" t="s">
        <v>2113</v>
      </c>
      <c r="R48">
        <v>108845675</v>
      </c>
      <c r="S48" s="5">
        <v>0.28910000000000002</v>
      </c>
      <c r="T48" t="s">
        <v>2114</v>
      </c>
      <c r="U48">
        <v>1478475300</v>
      </c>
      <c r="V48">
        <v>1478892800</v>
      </c>
      <c r="W48">
        <v>3.02</v>
      </c>
      <c r="X48">
        <v>1.04</v>
      </c>
      <c r="Y48">
        <v>0.44</v>
      </c>
      <c r="Z48" t="s">
        <v>2115</v>
      </c>
      <c r="AA48" t="s">
        <v>2116</v>
      </c>
      <c r="AB48" t="s">
        <v>2117</v>
      </c>
      <c r="AC48" t="s">
        <v>799</v>
      </c>
      <c r="AD48" t="s">
        <v>5</v>
      </c>
      <c r="AE48">
        <v>163212780</v>
      </c>
      <c r="AF48" t="s">
        <v>2118</v>
      </c>
      <c r="AG48" t="s">
        <v>2119</v>
      </c>
      <c r="AH48" t="s">
        <v>2120</v>
      </c>
      <c r="AI48" t="s">
        <v>2121</v>
      </c>
      <c r="AJ48" t="s">
        <v>2122</v>
      </c>
      <c r="AK48" t="s">
        <v>2123</v>
      </c>
      <c r="AL48" t="s">
        <v>2124</v>
      </c>
      <c r="AM48" t="s">
        <v>5</v>
      </c>
      <c r="AN48" t="s">
        <v>166</v>
      </c>
      <c r="AO48" t="s">
        <v>2125</v>
      </c>
      <c r="AP48" t="s">
        <v>892</v>
      </c>
      <c r="AQ48" t="s">
        <v>2126</v>
      </c>
      <c r="AR48" t="s">
        <v>5</v>
      </c>
      <c r="AS48" t="s">
        <v>2127</v>
      </c>
      <c r="AT48" t="s">
        <v>2128</v>
      </c>
      <c r="AU48" t="s">
        <v>2129</v>
      </c>
      <c r="AV48" t="s">
        <v>2130</v>
      </c>
      <c r="AW48" t="s">
        <v>890</v>
      </c>
      <c r="AX48" t="s">
        <v>940</v>
      </c>
      <c r="AY48" t="s">
        <v>571</v>
      </c>
      <c r="AZ48" t="s">
        <v>438</v>
      </c>
      <c r="BA48" t="s">
        <v>440</v>
      </c>
      <c r="BB48" t="s">
        <v>441</v>
      </c>
      <c r="BC48" t="s">
        <v>857</v>
      </c>
      <c r="BD48" t="s">
        <v>433</v>
      </c>
      <c r="BE48" t="s">
        <v>439</v>
      </c>
      <c r="BF48" t="s">
        <v>442</v>
      </c>
      <c r="BG48" t="s">
        <v>348</v>
      </c>
      <c r="BH48" t="s">
        <v>2131</v>
      </c>
      <c r="BI48" t="s">
        <v>2132</v>
      </c>
      <c r="BJ48" t="s">
        <v>940</v>
      </c>
      <c r="BK48" t="s">
        <v>1651</v>
      </c>
      <c r="BL48" t="s">
        <v>842</v>
      </c>
      <c r="BM48" t="s">
        <v>857</v>
      </c>
      <c r="BN48">
        <v>3.59</v>
      </c>
      <c r="BO48">
        <v>4.9000000000000004</v>
      </c>
      <c r="BP48">
        <v>7.93</v>
      </c>
      <c r="BQ48">
        <v>4.99</v>
      </c>
      <c r="BR48">
        <v>5.58</v>
      </c>
      <c r="BS48">
        <v>10.36</v>
      </c>
      <c r="BT48" t="s">
        <v>772</v>
      </c>
      <c r="BU48" t="s">
        <v>628</v>
      </c>
      <c r="BV48">
        <v>2.27</v>
      </c>
      <c r="BW48">
        <v>1.96</v>
      </c>
      <c r="BX48">
        <v>3.2</v>
      </c>
      <c r="BY48">
        <v>0.49</v>
      </c>
      <c r="BZ48">
        <v>0.42</v>
      </c>
      <c r="CA48">
        <v>0.91</v>
      </c>
      <c r="CB48">
        <v>1.41</v>
      </c>
      <c r="CC48">
        <v>-6.97</v>
      </c>
      <c r="CD48" t="s">
        <v>2133</v>
      </c>
      <c r="CE48" t="s">
        <v>2134</v>
      </c>
      <c r="CF48" s="7">
        <v>-0.14169172802378247</v>
      </c>
      <c r="CG48" s="8">
        <v>-0.78573686023622047</v>
      </c>
      <c r="CH48" s="7">
        <v>8.0986246466636658E-2</v>
      </c>
      <c r="CI48" s="7">
        <v>0.2468118816614151</v>
      </c>
      <c r="CJ48" s="7">
        <v>0.73309272527694702</v>
      </c>
      <c r="CK48" s="7">
        <v>0.1426166445016861</v>
      </c>
      <c r="CL48" s="7">
        <v>8.3156479522585869E-3</v>
      </c>
      <c r="CM48" s="8">
        <v>3.9119048118591309</v>
      </c>
      <c r="CN48" s="8">
        <v>-0.43319839239120483</v>
      </c>
      <c r="CO48" s="8">
        <v>0.447265625</v>
      </c>
      <c r="CP48" s="8">
        <v>3.6437246948480606E-2</v>
      </c>
      <c r="CQ48" s="8">
        <v>0.17061612010002136</v>
      </c>
      <c r="CR48">
        <v>10.948638779019776</v>
      </c>
      <c r="CS48">
        <v>0.45174243520738133</v>
      </c>
      <c r="CT48">
        <v>2.0905923344947732</v>
      </c>
      <c r="CU48" s="7">
        <v>0.24236462917178869</v>
      </c>
      <c r="CV48" s="8">
        <v>0.82660508230328555</v>
      </c>
      <c r="CW48">
        <v>0.06</v>
      </c>
      <c r="CX48">
        <v>5.4777779835227935</v>
      </c>
      <c r="CY48">
        <v>2417922858.4730186</v>
      </c>
      <c r="CZ48">
        <v>0.24236462917178869</v>
      </c>
      <c r="DA48">
        <v>1.577060133147538</v>
      </c>
      <c r="DB48">
        <v>8398439806.8357687</v>
      </c>
      <c r="DC48">
        <v>0.23024639771319924</v>
      </c>
      <c r="DD48">
        <v>0.64955155663736219</v>
      </c>
      <c r="DE48">
        <v>20390751842.035007</v>
      </c>
      <c r="DF48">
        <v>0.21328087367117404</v>
      </c>
      <c r="DG48">
        <v>0.31504358881524752</v>
      </c>
      <c r="DH48">
        <v>42041308156.146088</v>
      </c>
      <c r="DI48">
        <v>0.19389170333743097</v>
      </c>
      <c r="DJ48">
        <v>9.7676643687873002E-2</v>
      </c>
      <c r="DK48">
        <v>135598891402.57597</v>
      </c>
      <c r="DL48">
        <v>0.16965524042025207</v>
      </c>
      <c r="DM48">
        <v>2063000000</v>
      </c>
      <c r="DN48">
        <v>0.24236462917178869</v>
      </c>
      <c r="DO48">
        <v>13244844600</v>
      </c>
      <c r="DP48">
        <v>10365174000</v>
      </c>
      <c r="DQ48">
        <v>3749</v>
      </c>
      <c r="DR48">
        <v>-0.38405635719557119</v>
      </c>
      <c r="DS48">
        <v>-1.612341942539506</v>
      </c>
      <c r="DT48" s="9">
        <v>-2.3333333333333355E-2</v>
      </c>
      <c r="DU48">
        <v>-5.6666666666666719E-2</v>
      </c>
      <c r="DV48">
        <v>-8.0000000000000071E-2</v>
      </c>
      <c r="DW48">
        <v>-2.0697000000000001</v>
      </c>
      <c r="DX48">
        <v>0.35651946902654741</v>
      </c>
      <c r="DY48">
        <v>-2.0088184069911503</v>
      </c>
      <c r="DZ48">
        <v>702</v>
      </c>
      <c r="EA48">
        <v>-2.0076069546021507</v>
      </c>
      <c r="EB48">
        <v>2</v>
      </c>
      <c r="EC48">
        <v>1.9334329033179415E-2</v>
      </c>
      <c r="ED48">
        <v>0.15281702635917896</v>
      </c>
      <c r="EE48" s="10">
        <v>2.0581999999999998</v>
      </c>
      <c r="EF48">
        <v>2.0348000000000002</v>
      </c>
      <c r="EG48">
        <v>23.126519469026547</v>
      </c>
      <c r="EH48" t="s">
        <v>865</v>
      </c>
      <c r="EI48">
        <v>0</v>
      </c>
      <c r="EJ48">
        <v>1</v>
      </c>
      <c r="EK48" s="12">
        <v>45470</v>
      </c>
      <c r="EL48" s="13">
        <v>0.26</v>
      </c>
      <c r="EM48" s="13">
        <v>-2.56</v>
      </c>
      <c r="EN48" s="13">
        <v>-0.79</v>
      </c>
      <c r="EO48" s="13">
        <v>1.59</v>
      </c>
      <c r="EP48" s="13">
        <v>-2.34</v>
      </c>
    </row>
    <row r="49" spans="1:146" ht="144" x14ac:dyDescent="0.25">
      <c r="A49" s="6"/>
      <c r="B49" s="6"/>
      <c r="C49" s="6" t="str">
        <f>"公司主营业务为铝板带箔、铝型材、再生资源综合利用业务。公司主要产品包括铝板带、铝箔、铝合金轨道车体、电、汽等。"&amp;CHAR(10)&amp;Basic_Fundamental_Information_Constructure(F49)&amp;CHAR(10)&amp;Basic_Fundamental_Information_Concatenate("铝板带 120.25亿 77.69% 74.78% 11.56%
铝箔 24.66亿 15.93% 20.28% 15.29%
其他业务 5.94亿 3.84% 5.15% 16.12%")</f>
        <v>公司主营业务为铝板带箔、铝型材、再生资源综合利用业务。公司主要产品包括铝板带、铝箔、铝合金轨道车体、电、汽等。
市值142.77722亿, 利润3.83亿; PE10.53; 平均PE13.56; 平均PEG5.89, PB.877; ROIC12.1133%; ROE14.0167%; 股利率1.1324%; 毛利10.6633%; 净利6.23%; 上一年度营收增-73.7%, 利润增-76.05%; 当季营收增309.17%, 利润增404.64%; 过往5年营收增2.3%, 利润增16.99%
Income profile:
铝板带 120.25亿 77.69% 74.78% 11.56%
铝箔 24.66亿 15.93% 20.28% 15.29%
其他业务 5.94亿 3.84% 5.15% 16.12%</v>
      </c>
      <c r="D49" t="s">
        <v>443</v>
      </c>
      <c r="E49" t="s">
        <v>444</v>
      </c>
      <c r="F49">
        <v>11.48</v>
      </c>
      <c r="G49">
        <v>1.23</v>
      </c>
      <c r="H49" t="s">
        <v>2135</v>
      </c>
      <c r="I49">
        <v>14277722000</v>
      </c>
      <c r="J49">
        <v>10.53</v>
      </c>
      <c r="K49">
        <v>0.877</v>
      </c>
      <c r="L49" t="s">
        <v>105</v>
      </c>
      <c r="M49" t="s">
        <v>2136</v>
      </c>
      <c r="N49" t="s">
        <v>2137</v>
      </c>
      <c r="O49" t="s">
        <v>2138</v>
      </c>
      <c r="P49">
        <v>17.920000000000002</v>
      </c>
      <c r="Q49" t="s">
        <v>2139</v>
      </c>
      <c r="R49">
        <v>361982660</v>
      </c>
      <c r="S49" s="5">
        <v>2.35E-2</v>
      </c>
      <c r="T49" t="s">
        <v>125</v>
      </c>
      <c r="U49">
        <v>1192492030</v>
      </c>
      <c r="V49">
        <v>1243704030</v>
      </c>
      <c r="W49">
        <v>1.33</v>
      </c>
      <c r="X49">
        <v>0.33</v>
      </c>
      <c r="Y49">
        <v>5.05</v>
      </c>
      <c r="Z49" t="s">
        <v>2140</v>
      </c>
      <c r="AA49" t="s">
        <v>2141</v>
      </c>
      <c r="AB49" t="s">
        <v>2142</v>
      </c>
      <c r="AC49" t="s">
        <v>2143</v>
      </c>
      <c r="AD49" t="s">
        <v>5</v>
      </c>
      <c r="AE49">
        <v>-26442327</v>
      </c>
      <c r="AF49" t="s">
        <v>2144</v>
      </c>
      <c r="AG49" t="s">
        <v>2145</v>
      </c>
      <c r="AH49" t="s">
        <v>2146</v>
      </c>
      <c r="AI49" t="s">
        <v>805</v>
      </c>
      <c r="AJ49" t="s">
        <v>2147</v>
      </c>
      <c r="AK49" t="s">
        <v>2148</v>
      </c>
      <c r="AL49" t="s">
        <v>2149</v>
      </c>
      <c r="AM49" t="s">
        <v>5</v>
      </c>
      <c r="AN49" t="s">
        <v>2150</v>
      </c>
      <c r="AO49" t="s">
        <v>2151</v>
      </c>
      <c r="AP49" t="s">
        <v>2152</v>
      </c>
      <c r="AQ49" t="s">
        <v>2153</v>
      </c>
      <c r="AR49" t="s">
        <v>5</v>
      </c>
      <c r="AS49" t="s">
        <v>2154</v>
      </c>
      <c r="AT49" t="s">
        <v>5</v>
      </c>
      <c r="AU49" t="s">
        <v>2155</v>
      </c>
      <c r="AV49" t="s">
        <v>2156</v>
      </c>
      <c r="AW49" t="s">
        <v>747</v>
      </c>
      <c r="AX49" t="s">
        <v>941</v>
      </c>
      <c r="AY49" t="s">
        <v>572</v>
      </c>
      <c r="AZ49" t="s">
        <v>445</v>
      </c>
      <c r="BA49" t="s">
        <v>447</v>
      </c>
      <c r="BB49" t="s">
        <v>448</v>
      </c>
      <c r="BC49" t="s">
        <v>942</v>
      </c>
      <c r="BD49" t="s">
        <v>573</v>
      </c>
      <c r="BE49" t="s">
        <v>446</v>
      </c>
      <c r="BF49" t="s">
        <v>449</v>
      </c>
      <c r="BG49" t="s">
        <v>450</v>
      </c>
      <c r="BH49" t="s">
        <v>2157</v>
      </c>
      <c r="BI49" t="s">
        <v>2158</v>
      </c>
      <c r="BJ49" t="s">
        <v>941</v>
      </c>
      <c r="BK49" t="s">
        <v>2159</v>
      </c>
      <c r="BL49" t="s">
        <v>2160</v>
      </c>
      <c r="BM49" t="s">
        <v>942</v>
      </c>
      <c r="BN49">
        <v>7.46</v>
      </c>
      <c r="BO49">
        <v>12.35</v>
      </c>
      <c r="BP49">
        <v>16.53</v>
      </c>
      <c r="BQ49">
        <v>8.99</v>
      </c>
      <c r="BR49">
        <v>13.99</v>
      </c>
      <c r="BS49">
        <v>19.07</v>
      </c>
      <c r="BT49" t="s">
        <v>963</v>
      </c>
      <c r="BU49" t="s">
        <v>627</v>
      </c>
      <c r="BV49">
        <v>9.4600000000000009</v>
      </c>
      <c r="BW49">
        <v>9.76</v>
      </c>
      <c r="BX49">
        <v>12.77</v>
      </c>
      <c r="BY49">
        <v>5.0999999999999996</v>
      </c>
      <c r="BZ49">
        <v>5.91</v>
      </c>
      <c r="CA49">
        <v>7.68</v>
      </c>
      <c r="CB49">
        <v>-0.69</v>
      </c>
      <c r="CC49">
        <v>-8.23</v>
      </c>
      <c r="CD49" t="s">
        <v>2161</v>
      </c>
      <c r="CE49" t="s">
        <v>266</v>
      </c>
      <c r="CF49" s="7">
        <v>3.0916856492027334</v>
      </c>
      <c r="CG49" s="8">
        <v>4.0463978564328622</v>
      </c>
      <c r="CH49" s="7">
        <v>-0.73701447248458862</v>
      </c>
      <c r="CI49" s="7">
        <v>0.12871247529983521</v>
      </c>
      <c r="CJ49" s="7">
        <v>0.50694912672042847</v>
      </c>
      <c r="CK49" s="7">
        <v>0.15443879365921021</v>
      </c>
      <c r="CL49" s="7">
        <v>6.2002651393413544E-2</v>
      </c>
      <c r="CM49" s="8">
        <v>-0.7604752779006958</v>
      </c>
      <c r="CN49" s="8">
        <v>-0.1366090327501297</v>
      </c>
      <c r="CO49" s="8">
        <v>0.73084110021591187</v>
      </c>
      <c r="CP49" s="8">
        <v>0.16684842109680176</v>
      </c>
      <c r="CQ49" s="8">
        <v>0.84879034757614136</v>
      </c>
      <c r="CR49">
        <v>13.561236662972929</v>
      </c>
      <c r="CS49">
        <v>5.8916520217080341</v>
      </c>
      <c r="CT49">
        <v>1.132404181184669</v>
      </c>
      <c r="CU49" s="7">
        <v>2.3017714917659759E-2</v>
      </c>
      <c r="CV49" s="8">
        <v>0.16987911164760588</v>
      </c>
      <c r="CW49">
        <v>0.06</v>
      </c>
      <c r="CX49">
        <v>8.0882533140127393</v>
      </c>
      <c r="CY49">
        <v>369637532.84289026</v>
      </c>
      <c r="CZ49">
        <v>2.3017714917659759E-2</v>
      </c>
      <c r="DA49">
        <v>2.7985921146899488</v>
      </c>
      <c r="DB49">
        <v>1068295013.1627975</v>
      </c>
      <c r="DC49">
        <v>2.1866829171776771E-2</v>
      </c>
      <c r="DD49">
        <v>1.4840390297553789</v>
      </c>
      <c r="DE49">
        <v>2014584481.9814541</v>
      </c>
      <c r="DF49">
        <v>2.0255589127540587E-2</v>
      </c>
      <c r="DG49">
        <v>0.9664162711549803</v>
      </c>
      <c r="DH49">
        <v>3093617201.2366195</v>
      </c>
      <c r="DI49">
        <v>1.8414171934127806E-2</v>
      </c>
      <c r="DJ49">
        <v>0.59073373070909807</v>
      </c>
      <c r="DK49">
        <v>5061031467.4451256</v>
      </c>
      <c r="DL49">
        <v>1.611240044236183E-2</v>
      </c>
      <c r="DM49">
        <v>383000000</v>
      </c>
      <c r="DN49">
        <v>2.3017714917659759E-2</v>
      </c>
      <c r="DO49">
        <v>2989722000</v>
      </c>
      <c r="DP49">
        <v>8751772000</v>
      </c>
      <c r="DQ49">
        <v>3763</v>
      </c>
      <c r="DR49">
        <v>3.0686679342850738</v>
      </c>
      <c r="DS49">
        <v>3.8765187447852565</v>
      </c>
      <c r="DT49" s="9">
        <v>-0.52333333333333332</v>
      </c>
      <c r="DU49">
        <v>0.47</v>
      </c>
      <c r="DV49">
        <v>-5.3333333333333344E-2</v>
      </c>
      <c r="DW49">
        <v>-2.0823</v>
      </c>
      <c r="DX49">
        <v>0.35310644257703072</v>
      </c>
      <c r="DY49">
        <v>-2.0109546602240895</v>
      </c>
      <c r="DZ49">
        <v>1280</v>
      </c>
      <c r="EA49">
        <v>-2.0082106357452569</v>
      </c>
      <c r="EB49">
        <v>2</v>
      </c>
      <c r="EC49">
        <v>3.8207643340996494E-2</v>
      </c>
      <c r="ED49">
        <v>0.28704578532241309</v>
      </c>
      <c r="EE49" s="10">
        <v>1.1169100000000001</v>
      </c>
      <c r="EF49">
        <v>1.1059099999999999</v>
      </c>
      <c r="EG49">
        <v>22.133106442577031</v>
      </c>
      <c r="EH49" t="s">
        <v>907</v>
      </c>
      <c r="EI49">
        <v>0</v>
      </c>
      <c r="EJ49">
        <v>1</v>
      </c>
      <c r="EK49" s="12">
        <v>45470</v>
      </c>
      <c r="EL49" s="13">
        <v>1.28</v>
      </c>
      <c r="EM49" s="13">
        <v>-0.72</v>
      </c>
      <c r="EN49" s="13">
        <v>0</v>
      </c>
      <c r="EO49" s="13">
        <v>-0.73</v>
      </c>
      <c r="EP49" s="13">
        <v>1.1000000000000001</v>
      </c>
    </row>
    <row r="50" spans="1:146" ht="156" x14ac:dyDescent="0.25">
      <c r="A50" s="6" t="s">
        <v>607</v>
      </c>
      <c r="B50" s="6" t="s">
        <v>608</v>
      </c>
      <c r="C50" s="6" t="str">
        <f>"公司的的主营业务是铝板带箔的研发、生产和销售；公司的主要产品为铝板带箔，属于铝合金材料。按产品的用途，公司产品主要分为铝热传输材料和新能源汽车用电池料"&amp;CHAR(10)&amp;Basic_Fundamental_Information_Constructure(F50)&amp;CHAR(10)&amp;Basic_Fundamental_Information_Concatenate("铝热传输材料 57.20亿 88.69% 92.56% 17.77%
电池料 3.89亿 6.03% 5.02% 14.20%
其他业务 3.14亿 4.87% 1.75% 6.11%
冲压件 2655.39万 0.41% 0.67% 27.62%")</f>
        <v>公司的的主营业务是铝板带箔的研发、生产和销售；公司的主要产品为铝板带箔，属于铝合金材料。按产品的用途，公司产品主要分为铝热传输材料和新能源汽车用电池料
市值186.72522亿, 利润32.74亿; PE18.99; 平均PE22.22; 平均PEG.26, PB3.91; ROIC12.31%; ROE17.7233%; 股利率1.0695%; 毛利15.6133%; 净利8.41%; 上一年度营收增325.93%, 利润增391.59%; 当季营收增-74.36%, 利润增-29.12%; 过往5年营收增87.08%, 利润增114.09%
Income profile:
铝热传输材料 57.20亿 88.69% 92.56% 17.77%
电池料 3.89亿 6.03% 5.02% 14.20%
其他业务 3.14亿 4.87% 1.75% 6.11%
冲压件 2655.39万 0.41% 0.67% 27.62%</v>
      </c>
      <c r="D50" t="s">
        <v>451</v>
      </c>
      <c r="E50" t="s">
        <v>452</v>
      </c>
      <c r="F50">
        <v>18.7</v>
      </c>
      <c r="G50">
        <v>6.43</v>
      </c>
      <c r="H50" t="s">
        <v>2162</v>
      </c>
      <c r="I50">
        <v>18672522000</v>
      </c>
      <c r="J50">
        <v>18.989999999999998</v>
      </c>
      <c r="K50">
        <v>3.91</v>
      </c>
      <c r="L50" t="s">
        <v>105</v>
      </c>
      <c r="M50" t="s">
        <v>2163</v>
      </c>
      <c r="N50" t="s">
        <v>2164</v>
      </c>
      <c r="O50" t="s">
        <v>2165</v>
      </c>
      <c r="P50">
        <v>18.28</v>
      </c>
      <c r="Q50" t="s">
        <v>2166</v>
      </c>
      <c r="R50">
        <v>555000000</v>
      </c>
      <c r="S50" s="5">
        <v>0.49540000000000001</v>
      </c>
      <c r="T50" t="s">
        <v>2167</v>
      </c>
      <c r="U50">
        <v>998530600</v>
      </c>
      <c r="V50">
        <v>998530600</v>
      </c>
      <c r="W50">
        <v>1.55</v>
      </c>
      <c r="X50">
        <v>0.32</v>
      </c>
      <c r="Y50">
        <v>10.74</v>
      </c>
      <c r="Z50" t="s">
        <v>2168</v>
      </c>
      <c r="AA50" t="s">
        <v>759</v>
      </c>
      <c r="AB50" t="s">
        <v>2169</v>
      </c>
      <c r="AC50" t="s">
        <v>2170</v>
      </c>
      <c r="AD50" t="s">
        <v>5</v>
      </c>
      <c r="AE50">
        <v>5167856</v>
      </c>
      <c r="AF50" t="s">
        <v>24</v>
      </c>
      <c r="AG50" t="s">
        <v>2171</v>
      </c>
      <c r="AH50" t="s">
        <v>2172</v>
      </c>
      <c r="AI50" t="s">
        <v>2173</v>
      </c>
      <c r="AJ50" t="s">
        <v>2174</v>
      </c>
      <c r="AK50" t="s">
        <v>5</v>
      </c>
      <c r="AL50" t="s">
        <v>2175</v>
      </c>
      <c r="AM50" t="s">
        <v>5</v>
      </c>
      <c r="AN50" t="s">
        <v>2176</v>
      </c>
      <c r="AO50" t="s">
        <v>2177</v>
      </c>
      <c r="AP50" t="s">
        <v>284</v>
      </c>
      <c r="AQ50" t="s">
        <v>229</v>
      </c>
      <c r="AR50" t="s">
        <v>5</v>
      </c>
      <c r="AS50" t="s">
        <v>1779</v>
      </c>
      <c r="AT50" t="s">
        <v>2178</v>
      </c>
      <c r="AU50" t="s">
        <v>1148</v>
      </c>
      <c r="AV50" t="s">
        <v>2179</v>
      </c>
      <c r="AW50" t="s">
        <v>2180</v>
      </c>
      <c r="AX50" t="s">
        <v>943</v>
      </c>
      <c r="AY50" t="s">
        <v>574</v>
      </c>
      <c r="AZ50" t="s">
        <v>453</v>
      </c>
      <c r="BA50" t="s">
        <v>269</v>
      </c>
      <c r="BB50" t="s">
        <v>454</v>
      </c>
      <c r="BC50" t="s">
        <v>944</v>
      </c>
      <c r="BD50" t="s">
        <v>550</v>
      </c>
      <c r="BE50" t="s">
        <v>284</v>
      </c>
      <c r="BF50" t="s">
        <v>161</v>
      </c>
      <c r="BG50" t="s">
        <v>304</v>
      </c>
      <c r="BH50" t="s">
        <v>2181</v>
      </c>
      <c r="BI50" t="s">
        <v>2182</v>
      </c>
      <c r="BJ50" t="s">
        <v>943</v>
      </c>
      <c r="BK50" t="s">
        <v>2183</v>
      </c>
      <c r="BL50" t="s">
        <v>2184</v>
      </c>
      <c r="BM50" t="s">
        <v>944</v>
      </c>
      <c r="BN50">
        <v>11.37</v>
      </c>
      <c r="BO50">
        <v>13.58</v>
      </c>
      <c r="BP50">
        <v>11.98</v>
      </c>
      <c r="BQ50">
        <v>16.5</v>
      </c>
      <c r="BR50">
        <v>19.38</v>
      </c>
      <c r="BS50">
        <v>17.29</v>
      </c>
      <c r="BT50" t="s">
        <v>737</v>
      </c>
      <c r="BU50" t="s">
        <v>627</v>
      </c>
      <c r="BV50">
        <v>15.91</v>
      </c>
      <c r="BW50">
        <v>13.9</v>
      </c>
      <c r="BX50">
        <v>17.03</v>
      </c>
      <c r="BY50">
        <v>9.68</v>
      </c>
      <c r="BZ50">
        <v>7.79</v>
      </c>
      <c r="CA50">
        <v>7.76</v>
      </c>
      <c r="CB50">
        <v>2.41</v>
      </c>
      <c r="CC50">
        <v>-0.69</v>
      </c>
      <c r="CD50" t="s">
        <v>2185</v>
      </c>
      <c r="CE50" t="s">
        <v>66</v>
      </c>
      <c r="CF50" s="7">
        <v>-0.74356747367278253</v>
      </c>
      <c r="CG50" s="8">
        <v>-0.29118773946360155</v>
      </c>
      <c r="CH50" s="7">
        <v>3.2593328952789307</v>
      </c>
      <c r="CI50" s="7">
        <v>0.32501164078712463</v>
      </c>
      <c r="CJ50" s="7">
        <v>0.58568966388702393</v>
      </c>
      <c r="CK50" s="7">
        <v>0.13286906480789185</v>
      </c>
      <c r="CL50" s="7">
        <v>5.0936806946992874E-2</v>
      </c>
      <c r="CM50" s="8">
        <v>3.9159159660339355</v>
      </c>
      <c r="CN50" s="8">
        <v>0.33199998736381531</v>
      </c>
      <c r="CO50" s="8">
        <v>1.0080320835113525</v>
      </c>
      <c r="CP50" s="8">
        <v>0.35326087474822998</v>
      </c>
      <c r="CQ50" s="8">
        <v>9.5238097012042999E-2</v>
      </c>
      <c r="CR50">
        <v>22.224783177940886</v>
      </c>
      <c r="CS50">
        <v>0.25523196548216742</v>
      </c>
      <c r="CT50">
        <v>1.0695187165775402</v>
      </c>
      <c r="CU50" s="7">
        <v>0.87076801434159279</v>
      </c>
      <c r="CV50" s="8">
        <v>1.1408894017338753</v>
      </c>
      <c r="CW50">
        <v>0.06</v>
      </c>
      <c r="CX50">
        <v>2.8648221418821134</v>
      </c>
      <c r="CY50">
        <v>5778202338.6362019</v>
      </c>
      <c r="CZ50">
        <v>0.87076801434159279</v>
      </c>
      <c r="DA50">
        <v>0.51500137387195166</v>
      </c>
      <c r="DB50">
        <v>32142675417.630665</v>
      </c>
      <c r="DC50">
        <v>0.82722961362451308</v>
      </c>
      <c r="DD50">
        <v>9.9080949407119312E-2</v>
      </c>
      <c r="DE50">
        <v>167070684112.86914</v>
      </c>
      <c r="DF50">
        <v>0.76627585262060161</v>
      </c>
      <c r="DG50">
        <v>1.7349450751523301E-2</v>
      </c>
      <c r="DH50">
        <v>954123691699.38025</v>
      </c>
      <c r="DI50">
        <v>0.6966144114732743</v>
      </c>
      <c r="DJ50">
        <v>4.0672892505469959E-4</v>
      </c>
      <c r="DK50">
        <v>40699151155216.641</v>
      </c>
      <c r="DL50">
        <v>0.60953761003911489</v>
      </c>
      <c r="DM50">
        <v>3274000000</v>
      </c>
      <c r="DN50">
        <v>0.87076801434159279</v>
      </c>
      <c r="DO50">
        <v>16553522000</v>
      </c>
      <c r="DP50">
        <v>3147002600</v>
      </c>
      <c r="DQ50">
        <v>3772</v>
      </c>
      <c r="DR50">
        <v>-1.6143354880143752</v>
      </c>
      <c r="DS50">
        <v>-1.4320771411974769</v>
      </c>
      <c r="DT50" s="9">
        <v>0.14333333333333331</v>
      </c>
      <c r="DU50">
        <v>0.6133333333333334</v>
      </c>
      <c r="DV50">
        <v>0.75666666666666671</v>
      </c>
      <c r="DW50">
        <v>-6.8999999999999999E-3</v>
      </c>
      <c r="DX50">
        <v>0.8076237410071937</v>
      </c>
      <c r="DY50">
        <v>-1.2946038129496404E-3</v>
      </c>
      <c r="DZ50">
        <v>1538</v>
      </c>
      <c r="EA50">
        <v>-9.0495593343563904E-4</v>
      </c>
      <c r="EB50">
        <v>0</v>
      </c>
      <c r="EC50">
        <v>2.6118077903671651E-2</v>
      </c>
      <c r="ED50">
        <v>0.13920454716159925</v>
      </c>
      <c r="EE50" s="10">
        <v>-1.0362100000000001</v>
      </c>
      <c r="EF50">
        <v>-1.06351</v>
      </c>
      <c r="EG50">
        <v>62.187623741007194</v>
      </c>
      <c r="EH50" t="s">
        <v>598</v>
      </c>
      <c r="EI50">
        <v>0</v>
      </c>
      <c r="EJ50">
        <v>0</v>
      </c>
      <c r="EK50" s="12">
        <v>45470</v>
      </c>
      <c r="EL50" s="13">
        <v>-0.22</v>
      </c>
      <c r="EM50" s="13">
        <v>-3.37</v>
      </c>
      <c r="EN50" s="13">
        <v>-0.47</v>
      </c>
      <c r="EO50" s="13">
        <v>2.57</v>
      </c>
      <c r="EP50" s="13">
        <v>-2.73</v>
      </c>
    </row>
    <row r="51" spans="1:146" ht="204" x14ac:dyDescent="0.25">
      <c r="A51" s="6"/>
      <c r="B51" s="6"/>
      <c r="C51" s="6" t="str">
        <f>"公司主要从事金、铜、锌等矿产资源勘查与开发，适度延伸冶炼加工及贸易金融业务等。公司的主要产品是矿山产金、冶炼加工及贸易金、矿山产银、矿山产铜、矿山产锌、冶炼产锌、铁精矿等。"&amp;CHAR(10)&amp;Basic_Fundamental_Information_Constructure(F51)&amp;CHAR(10)&amp;Basic_Fundamental_Information_Concatenate("矿山产铜精矿 198.32亿 8.81% 38.28% 67.08%
矿山产金 159.22亿 7.07% 22.66% 49.46%
其它 1267.84亿 56.32% 12.01% 3.29%
矿山产电积铜 49.16亿 2.18% 9.80% 69.31%
矿山产锌 56.44亿 2.51% 7.77% 47.87%
矿山产电解铜 35.80亿 1.59% 5.75% 55.84%
铁精矿 27.39亿 1.22% 5.88% 74.55%")</f>
        <v>公司主要从事金、铜、锌等矿产资源勘查与开发，适度延伸冶炼加工及贸易金融业务等。公司的主要产品是矿山产金、冶炼加工及贸易金、矿山产银、矿山产铜、矿山产锌、冶炼产锌、铁精矿等。
市值4954.1185亿, 利润12.84亿; PE22.58; 平均PE57.29; 平均PEG31.05, PB4.11; ROIC11.11%; ROE22.0067%; 股利率1.073%; 毛利15.6633%; 净利8.9733%; 上一年度营收增-96.54%, 利润增-93.59%; 当季营收增3306.7%, 利润增2610.32%; 过往5年营收增1.84%, 利润增26.33%
Income profile:
矿山产铜精矿 198.32亿 8.81% 38.28% 67.08%
矿山产金 159.22亿 7.07% 22.66% 49.46%
其它 1267.84亿 56.32% 12.01% 3.29%
矿山产电积铜 49.16亿 2.18% 9.80% 69.31%
矿山产锌 56.44亿 2.51% 7.77% 47.87%
矿山产电解铜 35.80亿 1.59% 5.75% 55.84%
铁精矿 27.39亿 1.22% 5.88% 74.55%</v>
      </c>
      <c r="D51" t="s">
        <v>455</v>
      </c>
      <c r="E51" t="s">
        <v>456</v>
      </c>
      <c r="F51">
        <v>18.64</v>
      </c>
      <c r="G51">
        <v>2.59</v>
      </c>
      <c r="H51" t="s">
        <v>741</v>
      </c>
      <c r="I51">
        <v>495411850000</v>
      </c>
      <c r="J51">
        <v>22.58</v>
      </c>
      <c r="K51">
        <v>4.1100000000000003</v>
      </c>
      <c r="L51" t="s">
        <v>105</v>
      </c>
      <c r="M51" t="s">
        <v>2186</v>
      </c>
      <c r="N51" t="s">
        <v>2187</v>
      </c>
      <c r="O51" t="s">
        <v>2188</v>
      </c>
      <c r="P51">
        <v>-0.22</v>
      </c>
      <c r="Q51" t="s">
        <v>2189</v>
      </c>
      <c r="R51">
        <v>6260843300</v>
      </c>
      <c r="S51" s="5">
        <v>0.15049999999999999</v>
      </c>
      <c r="T51" t="s">
        <v>949</v>
      </c>
      <c r="U51">
        <v>20556293000</v>
      </c>
      <c r="V51">
        <v>26577889000</v>
      </c>
      <c r="W51">
        <v>2.4</v>
      </c>
      <c r="X51">
        <v>0.21</v>
      </c>
      <c r="Y51">
        <v>10.23</v>
      </c>
      <c r="Z51" t="s">
        <v>2190</v>
      </c>
      <c r="AA51" t="s">
        <v>2191</v>
      </c>
      <c r="AB51" t="s">
        <v>2192</v>
      </c>
      <c r="AC51" t="s">
        <v>1866</v>
      </c>
      <c r="AD51" t="s">
        <v>5</v>
      </c>
      <c r="AE51">
        <v>803077830</v>
      </c>
      <c r="AF51" t="s">
        <v>2193</v>
      </c>
      <c r="AG51" t="s">
        <v>2194</v>
      </c>
      <c r="AH51" t="s">
        <v>2195</v>
      </c>
      <c r="AI51" t="s">
        <v>2196</v>
      </c>
      <c r="AJ51" t="s">
        <v>2197</v>
      </c>
      <c r="AK51" t="s">
        <v>807</v>
      </c>
      <c r="AL51" t="s">
        <v>2198</v>
      </c>
      <c r="AM51" t="s">
        <v>5</v>
      </c>
      <c r="AN51" t="s">
        <v>2199</v>
      </c>
      <c r="AO51" t="s">
        <v>2200</v>
      </c>
      <c r="AP51" t="s">
        <v>962</v>
      </c>
      <c r="AQ51" t="s">
        <v>2201</v>
      </c>
      <c r="AR51" t="s">
        <v>2202</v>
      </c>
      <c r="AS51" t="s">
        <v>2203</v>
      </c>
      <c r="AT51" t="s">
        <v>2204</v>
      </c>
      <c r="AU51" t="s">
        <v>2205</v>
      </c>
      <c r="AV51" t="s">
        <v>2206</v>
      </c>
      <c r="AW51" t="s">
        <v>2207</v>
      </c>
      <c r="AX51" t="s">
        <v>947</v>
      </c>
      <c r="AY51" t="s">
        <v>575</v>
      </c>
      <c r="AZ51" t="s">
        <v>457</v>
      </c>
      <c r="BA51" t="s">
        <v>459</v>
      </c>
      <c r="BB51" t="s">
        <v>460</v>
      </c>
      <c r="BC51" t="s">
        <v>948</v>
      </c>
      <c r="BD51" t="s">
        <v>576</v>
      </c>
      <c r="BE51" t="s">
        <v>458</v>
      </c>
      <c r="BF51" t="s">
        <v>461</v>
      </c>
      <c r="BG51" t="s">
        <v>462</v>
      </c>
      <c r="BH51" t="s">
        <v>2208</v>
      </c>
      <c r="BI51" t="s">
        <v>2209</v>
      </c>
      <c r="BJ51" t="s">
        <v>947</v>
      </c>
      <c r="BK51" t="s">
        <v>2210</v>
      </c>
      <c r="BL51" t="s">
        <v>191</v>
      </c>
      <c r="BM51" t="s">
        <v>948</v>
      </c>
      <c r="BN51">
        <v>8.33</v>
      </c>
      <c r="BO51">
        <v>12.35</v>
      </c>
      <c r="BP51">
        <v>12.65</v>
      </c>
      <c r="BQ51">
        <v>16.760000000000002</v>
      </c>
      <c r="BR51">
        <v>25.29</v>
      </c>
      <c r="BS51">
        <v>23.97</v>
      </c>
      <c r="BT51" t="s">
        <v>737</v>
      </c>
      <c r="BU51" t="s">
        <v>628</v>
      </c>
      <c r="BV51">
        <v>15.81</v>
      </c>
      <c r="BW51">
        <v>15.74</v>
      </c>
      <c r="BX51">
        <v>15.44</v>
      </c>
      <c r="BY51">
        <v>9.0500000000000007</v>
      </c>
      <c r="BZ51">
        <v>9.16</v>
      </c>
      <c r="CA51">
        <v>8.7100000000000009</v>
      </c>
      <c r="CB51">
        <v>6.09</v>
      </c>
      <c r="CC51">
        <v>5.67</v>
      </c>
      <c r="CD51" t="s">
        <v>2211</v>
      </c>
      <c r="CE51" t="s">
        <v>902</v>
      </c>
      <c r="CF51" s="7">
        <v>33.066970387243735</v>
      </c>
      <c r="CG51" s="8">
        <v>26.10321774891775</v>
      </c>
      <c r="CH51" s="7">
        <v>-0.96535706520080566</v>
      </c>
      <c r="CI51" s="7">
        <v>0.2009177953004837</v>
      </c>
      <c r="CJ51" s="7">
        <v>0.31254053115844727</v>
      </c>
      <c r="CK51" s="7">
        <v>0.26012870669364929</v>
      </c>
      <c r="CL51" s="7">
        <v>0.28401601314544678</v>
      </c>
      <c r="CM51" s="8">
        <v>-0.93593454360961914</v>
      </c>
      <c r="CN51" s="8">
        <v>0.27875968813896179</v>
      </c>
      <c r="CO51" s="8">
        <v>1.4078966379165649</v>
      </c>
      <c r="CP51" s="8">
        <v>0.51937448978424072</v>
      </c>
      <c r="CQ51" s="8">
        <v>4.6409346163272858E-2</v>
      </c>
      <c r="CR51">
        <v>57.28849978799677</v>
      </c>
      <c r="CS51">
        <v>31.052030184175905</v>
      </c>
      <c r="CT51">
        <v>1.0729613733905579</v>
      </c>
      <c r="CU51" s="7">
        <v>1.8449196219444276E-2</v>
      </c>
      <c r="CV51" s="8">
        <v>0.26330112367868425</v>
      </c>
      <c r="CW51">
        <v>0.06</v>
      </c>
      <c r="CX51">
        <v>447.14101346800754</v>
      </c>
      <c r="CY51">
        <v>1233668649.0054398</v>
      </c>
      <c r="CZ51">
        <v>1.8449196219444276E-2</v>
      </c>
      <c r="DA51">
        <v>155.32264190177938</v>
      </c>
      <c r="DB51">
        <v>3551470946.1922989</v>
      </c>
      <c r="DC51">
        <v>1.7526736408472063E-2</v>
      </c>
      <c r="DD51">
        <v>82.773626803311686</v>
      </c>
      <c r="DE51">
        <v>6664246467.1842813</v>
      </c>
      <c r="DF51">
        <v>1.6235292673110965E-2</v>
      </c>
      <c r="DG51">
        <v>54.182698775514552</v>
      </c>
      <c r="DH51">
        <v>10180811632.97982</v>
      </c>
      <c r="DI51">
        <v>1.4759356975555422E-2</v>
      </c>
      <c r="DJ51">
        <v>33.453447216051188</v>
      </c>
      <c r="DK51">
        <v>16489297692.92437</v>
      </c>
      <c r="DL51">
        <v>1.2914437353610992E-2</v>
      </c>
      <c r="DM51">
        <v>1284000000</v>
      </c>
      <c r="DN51">
        <v>1.8449196219444276E-2</v>
      </c>
      <c r="DO51">
        <v>551623850000</v>
      </c>
      <c r="DP51">
        <v>-4805342000</v>
      </c>
      <c r="DQ51">
        <v>3811</v>
      </c>
      <c r="DR51">
        <v>33.048521191024292</v>
      </c>
      <c r="DS51">
        <v>25.839916625239066</v>
      </c>
      <c r="DT51" s="9">
        <v>-0.27333333333333343</v>
      </c>
      <c r="DU51">
        <v>0.41999999999999993</v>
      </c>
      <c r="DV51">
        <v>0.1466666666666665</v>
      </c>
      <c r="DW51">
        <v>5.931034482758621</v>
      </c>
      <c r="DX51">
        <v>0.50806950844601884</v>
      </c>
      <c r="DY51">
        <v>5.1471681630359463</v>
      </c>
      <c r="DZ51">
        <v>1004</v>
      </c>
      <c r="EA51">
        <v>5.1182529310030516</v>
      </c>
      <c r="EB51">
        <v>5</v>
      </c>
      <c r="EC51">
        <v>2.6864436073158405E-2</v>
      </c>
      <c r="ED51">
        <v>0.16995330216030324</v>
      </c>
      <c r="EE51" s="10">
        <v>2.0089100000000002</v>
      </c>
      <c r="EF51">
        <v>2.0243099999999998</v>
      </c>
      <c r="EG51">
        <v>35.158069508446019</v>
      </c>
      <c r="EH51" t="s">
        <v>808</v>
      </c>
      <c r="EI51">
        <v>1</v>
      </c>
      <c r="EJ51">
        <v>1</v>
      </c>
      <c r="EK51" s="12">
        <v>45470</v>
      </c>
      <c r="EL51" s="13">
        <v>-1.31</v>
      </c>
      <c r="EM51" s="13">
        <v>-2.65</v>
      </c>
      <c r="EN51" s="13">
        <v>0.24</v>
      </c>
      <c r="EO51" s="13">
        <v>-1.36</v>
      </c>
      <c r="EP51" s="13">
        <v>-1.54</v>
      </c>
    </row>
    <row r="52" spans="1:146" ht="96" x14ac:dyDescent="0.25">
      <c r="A52" s="6"/>
      <c r="B52" s="6"/>
      <c r="C52" s="6" t="str">
        <f>""&amp;CHAR(10)&amp;Basic_Fundamental_Information_Constructure(F52)&amp;CHAR(10)&amp;Basic_Fundamental_Information_Concatenate("")</f>
        <v xml:space="preserve">
市值144.3528亿, 利润1.82亿; PE37.73; 平均PE51.94; 平均PEG3.75, PB4.42; ROIC10.4533%; ROE15.2867%; 股利率1.626%; 毛利64.3367%; 净利33.8667%; 上一年度营收增-9.85%, 利润增-61.28%; 当季营收增-1.64%, 利润增63.27%; 过往5年营收增13.83%, 利润增107.17%
Income profile:
</v>
      </c>
      <c r="D52" t="s">
        <v>577</v>
      </c>
      <c r="E52" t="s">
        <v>578</v>
      </c>
      <c r="F52">
        <v>14.76</v>
      </c>
      <c r="G52">
        <v>4.53</v>
      </c>
      <c r="H52" t="s">
        <v>2356</v>
      </c>
      <c r="I52">
        <v>14435280000</v>
      </c>
      <c r="J52">
        <v>37.729999999999997</v>
      </c>
      <c r="K52">
        <v>4.42</v>
      </c>
      <c r="L52" t="s">
        <v>105</v>
      </c>
      <c r="M52" t="s">
        <v>1827</v>
      </c>
      <c r="N52" t="s">
        <v>2357</v>
      </c>
      <c r="O52" t="s">
        <v>840</v>
      </c>
      <c r="P52">
        <v>45.73</v>
      </c>
      <c r="Q52" t="s">
        <v>2358</v>
      </c>
      <c r="R52">
        <v>80820065</v>
      </c>
      <c r="S52" s="5">
        <v>0.96060000000000001</v>
      </c>
      <c r="T52" t="s">
        <v>95</v>
      </c>
      <c r="U52">
        <v>159600000</v>
      </c>
      <c r="V52">
        <v>978000000</v>
      </c>
      <c r="W52">
        <v>1.96</v>
      </c>
      <c r="X52">
        <v>0.05</v>
      </c>
      <c r="Y52">
        <v>27.03</v>
      </c>
      <c r="Z52" t="s">
        <v>821</v>
      </c>
      <c r="AA52" t="s">
        <v>489</v>
      </c>
      <c r="AB52" t="s">
        <v>2359</v>
      </c>
      <c r="AC52" t="s">
        <v>2360</v>
      </c>
      <c r="AD52" t="s">
        <v>5</v>
      </c>
      <c r="AE52">
        <v>21258165</v>
      </c>
      <c r="AF52" t="s">
        <v>24</v>
      </c>
      <c r="AG52" t="s">
        <v>2361</v>
      </c>
      <c r="AH52" t="s">
        <v>2362</v>
      </c>
      <c r="AI52" t="s">
        <v>2363</v>
      </c>
      <c r="AJ52" t="s">
        <v>2364</v>
      </c>
      <c r="AK52" t="s">
        <v>5</v>
      </c>
      <c r="AL52" t="s">
        <v>2365</v>
      </c>
      <c r="AM52" t="s">
        <v>5</v>
      </c>
      <c r="AN52" t="s">
        <v>589</v>
      </c>
      <c r="AO52" t="s">
        <v>463</v>
      </c>
      <c r="AP52" t="s">
        <v>5</v>
      </c>
      <c r="AQ52" t="s">
        <v>2366</v>
      </c>
      <c r="AR52" t="s">
        <v>5</v>
      </c>
      <c r="AS52" t="s">
        <v>2367</v>
      </c>
      <c r="AT52" t="s">
        <v>2368</v>
      </c>
      <c r="AU52" t="s">
        <v>2369</v>
      </c>
      <c r="AV52" t="s">
        <v>2370</v>
      </c>
      <c r="AW52" t="s">
        <v>118</v>
      </c>
      <c r="AX52" t="s">
        <v>953</v>
      </c>
      <c r="AY52" t="s">
        <v>236</v>
      </c>
      <c r="AZ52" t="s">
        <v>579</v>
      </c>
      <c r="BA52" t="s">
        <v>264</v>
      </c>
      <c r="BB52" t="s">
        <v>558</v>
      </c>
      <c r="BC52" t="s">
        <v>864</v>
      </c>
      <c r="BD52" t="s">
        <v>312</v>
      </c>
      <c r="BE52" t="s">
        <v>270</v>
      </c>
      <c r="BF52" t="s">
        <v>63</v>
      </c>
      <c r="BG52" t="s">
        <v>580</v>
      </c>
      <c r="BH52" t="s">
        <v>2371</v>
      </c>
      <c r="BI52" t="s">
        <v>272</v>
      </c>
      <c r="BJ52" t="s">
        <v>953</v>
      </c>
      <c r="BK52" t="s">
        <v>629</v>
      </c>
      <c r="BL52" t="s">
        <v>2372</v>
      </c>
      <c r="BM52" t="s">
        <v>864</v>
      </c>
      <c r="BN52">
        <v>5.83</v>
      </c>
      <c r="BO52">
        <v>12.11</v>
      </c>
      <c r="BP52">
        <v>13.42</v>
      </c>
      <c r="BQ52">
        <v>7.5</v>
      </c>
      <c r="BR52">
        <v>15.31</v>
      </c>
      <c r="BS52">
        <v>23.05</v>
      </c>
      <c r="BT52" t="s">
        <v>784</v>
      </c>
      <c r="BU52" t="s">
        <v>624</v>
      </c>
      <c r="BV52">
        <v>54.71</v>
      </c>
      <c r="BW52">
        <v>67.760000000000005</v>
      </c>
      <c r="BX52">
        <v>70.540000000000006</v>
      </c>
      <c r="BY52">
        <v>26.73</v>
      </c>
      <c r="BZ52">
        <v>37.909999999999997</v>
      </c>
      <c r="CA52">
        <v>36.96</v>
      </c>
      <c r="CB52">
        <v>7.27</v>
      </c>
      <c r="CC52">
        <v>8.77</v>
      </c>
      <c r="CD52" t="s">
        <v>2373</v>
      </c>
      <c r="CE52" t="s">
        <v>30</v>
      </c>
      <c r="CF52" s="7">
        <v>-1.6447368421052631E-2</v>
      </c>
      <c r="CG52" s="8">
        <v>0.63265602336865834</v>
      </c>
      <c r="CH52" s="7">
        <v>-9.8466604948043823E-2</v>
      </c>
      <c r="CI52" s="7">
        <v>-1.0383335873484612E-2</v>
      </c>
      <c r="CJ52" s="7">
        <v>0.11586453020572662</v>
      </c>
      <c r="CK52" s="7">
        <v>0.40425533056259155</v>
      </c>
      <c r="CL52" s="7">
        <v>0.28044870495796204</v>
      </c>
      <c r="CM52" s="8">
        <v>-0.61276596784591675</v>
      </c>
      <c r="CN52" s="8">
        <v>1.5118790790438652E-2</v>
      </c>
      <c r="CO52" s="8">
        <v>0.27900552749633789</v>
      </c>
      <c r="CP52" s="8">
        <v>1.2484471797943115</v>
      </c>
      <c r="CQ52" s="8">
        <v>4.4289002418518066</v>
      </c>
      <c r="CR52">
        <v>51.936175570011109</v>
      </c>
      <c r="CS52">
        <v>3.7541403180493087</v>
      </c>
      <c r="CT52">
        <v>1.6260162601626016</v>
      </c>
      <c r="CU52" s="7">
        <v>0.13834372498095035</v>
      </c>
      <c r="CV52" s="8">
        <v>1.0717411544173956</v>
      </c>
      <c r="CW52">
        <v>0.06</v>
      </c>
      <c r="CX52">
        <v>69.706715516993853</v>
      </c>
      <c r="CY52">
        <v>195451469.76088014</v>
      </c>
      <c r="CZ52">
        <v>0.13834372498095035</v>
      </c>
      <c r="DA52">
        <v>21.87079385555878</v>
      </c>
      <c r="DB52">
        <v>622944008.79907668</v>
      </c>
      <c r="DC52">
        <v>0.13142653873190283</v>
      </c>
      <c r="DD52">
        <v>10.186086987951025</v>
      </c>
      <c r="DE52">
        <v>1337538155.3403151</v>
      </c>
      <c r="DF52">
        <v>0.12174247798323631</v>
      </c>
      <c r="DG52">
        <v>5.7384726701054607</v>
      </c>
      <c r="DH52">
        <v>2374199683.9987764</v>
      </c>
      <c r="DI52">
        <v>0.11067497998476028</v>
      </c>
      <c r="DJ52">
        <v>2.5646124670509685</v>
      </c>
      <c r="DK52">
        <v>5312412762.1770754</v>
      </c>
      <c r="DL52">
        <v>9.6840607486665245E-2</v>
      </c>
      <c r="DM52">
        <v>182000000</v>
      </c>
      <c r="DN52">
        <v>0.13834372498095035</v>
      </c>
      <c r="DO52">
        <v>13624280000</v>
      </c>
      <c r="DP52">
        <v>-739730400</v>
      </c>
      <c r="DQ52">
        <v>3957</v>
      </c>
      <c r="DR52">
        <v>-0.15479109340200298</v>
      </c>
      <c r="DS52">
        <v>-0.43908513104873725</v>
      </c>
      <c r="DT52" s="9">
        <v>-0.22333333333333338</v>
      </c>
      <c r="DU52">
        <v>0.97666666666666657</v>
      </c>
      <c r="DV52">
        <v>0.75333333333333319</v>
      </c>
      <c r="DW52">
        <v>9.8289623717217793</v>
      </c>
      <c r="DX52">
        <v>0.45606666666666612</v>
      </c>
      <c r="DY52">
        <v>9.1210837704294949</v>
      </c>
      <c r="DZ52">
        <v>2590</v>
      </c>
      <c r="EA52">
        <v>9.0597125443213944</v>
      </c>
      <c r="EB52">
        <v>9</v>
      </c>
      <c r="EC52">
        <v>3.0019836400817995E-2</v>
      </c>
      <c r="ED52">
        <v>0.20552147239263802</v>
      </c>
      <c r="EE52" s="10">
        <v>3.0032000000000001</v>
      </c>
      <c r="EF52">
        <v>3.0274100000000002</v>
      </c>
      <c r="EG52">
        <v>31.146066666666666</v>
      </c>
      <c r="EH52" t="s">
        <v>815</v>
      </c>
      <c r="EI52">
        <v>1</v>
      </c>
      <c r="EJ52">
        <v>0</v>
      </c>
      <c r="EK52" s="12">
        <v>45470</v>
      </c>
      <c r="EL52" s="13">
        <v>-2.3199999999999998</v>
      </c>
      <c r="EM52" s="13">
        <v>-4.8899999999999997</v>
      </c>
      <c r="EN52" s="13">
        <v>2.11</v>
      </c>
      <c r="EO52" s="13">
        <v>3.99</v>
      </c>
      <c r="EP52" s="13">
        <v>-3.06</v>
      </c>
    </row>
    <row r="53" spans="1:146" ht="132" x14ac:dyDescent="0.25">
      <c r="A53" s="6"/>
      <c r="B53" s="6"/>
      <c r="C53" s="6" t="str">
        <f>"公司主要从事紫铜带箔材的研发、生产和销售业务。公司的主要产品为铜板带。公司紫铜带箔材产品在下游客户中树立了良好口碑"&amp;CHAR(10)&amp;Basic_Fundamental_Information_Constructure(F53)&amp;CHAR(10)&amp;Basic_Fundamental_Information_Concatenate("铜板带 35.80亿 97.35% 94.99% 3.91%
铜箔 8306.66万 2.26% 2.35% 4.18%")</f>
        <v>公司主要从事紫铜带箔材的研发、生产和销售业务。公司的主要产品为铜板带。公司紫铜带箔材产品在下游客户中树立了良好口碑
市值22.441561亿, 利润-2.32亿; PE20.98; 平均PE45.64; 平均PEG25.95, PB1.15; ROIC7.8667%; ROE11.1667%; 股利率2.1186%; 毛利4.0567%; 净利1.8%; 上一年度营收增-92.55%, 利润增-265.71%; 当季营收增1027.27%, 利润增513.96%; 过往5年营收增1.76%, 利润增-35.48%
Income profile:
铜板带 35.80亿 97.35% 94.99% 3.91%
铜箔 8306.66万 2.26% 2.35% 4.18%</v>
      </c>
      <c r="D53" t="s">
        <v>464</v>
      </c>
      <c r="E53" t="s">
        <v>465</v>
      </c>
      <c r="F53">
        <v>7.08</v>
      </c>
      <c r="G53">
        <v>2.02</v>
      </c>
      <c r="H53" t="s">
        <v>2212</v>
      </c>
      <c r="I53">
        <v>2244156100</v>
      </c>
      <c r="J53">
        <v>20.98</v>
      </c>
      <c r="K53">
        <v>1.1499999999999999</v>
      </c>
      <c r="L53" t="s">
        <v>105</v>
      </c>
      <c r="M53" t="s">
        <v>2213</v>
      </c>
      <c r="N53" t="s">
        <v>2214</v>
      </c>
      <c r="O53" t="s">
        <v>491</v>
      </c>
      <c r="P53">
        <v>10.84</v>
      </c>
      <c r="Q53" t="s">
        <v>1550</v>
      </c>
      <c r="R53">
        <v>18728110</v>
      </c>
      <c r="S53" s="5">
        <v>-0.29749999999999999</v>
      </c>
      <c r="T53" t="s">
        <v>2215</v>
      </c>
      <c r="U53">
        <v>316971200</v>
      </c>
      <c r="V53">
        <v>316971200</v>
      </c>
      <c r="W53">
        <v>1.58</v>
      </c>
      <c r="X53">
        <v>0.56000000000000005</v>
      </c>
      <c r="Y53">
        <v>1.04</v>
      </c>
      <c r="Z53" t="s">
        <v>2216</v>
      </c>
      <c r="AA53" t="s">
        <v>1852</v>
      </c>
      <c r="AB53" t="s">
        <v>2217</v>
      </c>
      <c r="AC53" t="s">
        <v>2218</v>
      </c>
      <c r="AD53" t="s">
        <v>5</v>
      </c>
      <c r="AE53">
        <v>3970952</v>
      </c>
      <c r="AF53" t="s">
        <v>2219</v>
      </c>
      <c r="AG53" t="s">
        <v>2220</v>
      </c>
      <c r="AH53" t="s">
        <v>2221</v>
      </c>
      <c r="AI53" t="s">
        <v>72</v>
      </c>
      <c r="AJ53" t="s">
        <v>2222</v>
      </c>
      <c r="AK53" t="s">
        <v>5</v>
      </c>
      <c r="AL53" t="s">
        <v>2223</v>
      </c>
      <c r="AM53" t="s">
        <v>5</v>
      </c>
      <c r="AN53" t="s">
        <v>2224</v>
      </c>
      <c r="AO53" t="s">
        <v>528</v>
      </c>
      <c r="AP53" t="s">
        <v>2225</v>
      </c>
      <c r="AQ53" t="s">
        <v>161</v>
      </c>
      <c r="AR53" t="s">
        <v>5</v>
      </c>
      <c r="AS53" t="s">
        <v>1423</v>
      </c>
      <c r="AT53" t="s">
        <v>128</v>
      </c>
      <c r="AU53" t="s">
        <v>2226</v>
      </c>
      <c r="AV53" t="s">
        <v>2227</v>
      </c>
      <c r="AW53" t="s">
        <v>2228</v>
      </c>
      <c r="AX53" t="s">
        <v>955</v>
      </c>
      <c r="AY53" t="s">
        <v>581</v>
      </c>
      <c r="AZ53" t="s">
        <v>466</v>
      </c>
      <c r="BA53" t="s">
        <v>468</v>
      </c>
      <c r="BB53" t="s">
        <v>469</v>
      </c>
      <c r="BC53" t="s">
        <v>748</v>
      </c>
      <c r="BD53" t="s">
        <v>128</v>
      </c>
      <c r="BE53" t="s">
        <v>467</v>
      </c>
      <c r="BF53" t="s">
        <v>470</v>
      </c>
      <c r="BG53" t="s">
        <v>471</v>
      </c>
      <c r="BH53" t="s">
        <v>2229</v>
      </c>
      <c r="BI53" t="s">
        <v>2230</v>
      </c>
      <c r="BJ53" t="s">
        <v>955</v>
      </c>
      <c r="BK53" t="s">
        <v>429</v>
      </c>
      <c r="BL53" t="s">
        <v>2231</v>
      </c>
      <c r="BM53" t="s">
        <v>748</v>
      </c>
      <c r="BN53">
        <v>4.5199999999999996</v>
      </c>
      <c r="BO53">
        <v>8.57</v>
      </c>
      <c r="BP53">
        <v>10.51</v>
      </c>
      <c r="BQ53">
        <v>6.97</v>
      </c>
      <c r="BR53">
        <v>12.77</v>
      </c>
      <c r="BS53">
        <v>13.76</v>
      </c>
      <c r="BT53" t="s">
        <v>761</v>
      </c>
      <c r="BU53" t="s">
        <v>628</v>
      </c>
      <c r="BV53">
        <v>3.68</v>
      </c>
      <c r="BW53">
        <v>3.98</v>
      </c>
      <c r="BX53">
        <v>4.51</v>
      </c>
      <c r="BY53">
        <v>1.46</v>
      </c>
      <c r="BZ53">
        <v>1.92</v>
      </c>
      <c r="CA53">
        <v>2.02</v>
      </c>
      <c r="CB53">
        <v>-0.28000000000000003</v>
      </c>
      <c r="CC53">
        <v>-12.05</v>
      </c>
      <c r="CD53" t="s">
        <v>2232</v>
      </c>
      <c r="CE53" t="s">
        <v>801</v>
      </c>
      <c r="CF53" s="7">
        <v>10.272727272727273</v>
      </c>
      <c r="CG53" s="8">
        <v>5.1395587463939156</v>
      </c>
      <c r="CH53" s="7">
        <v>-0.92551553249359131</v>
      </c>
      <c r="CI53" s="7">
        <v>5.1474876701831818E-2</v>
      </c>
      <c r="CJ53" s="7">
        <v>0.76746618747711182</v>
      </c>
      <c r="CK53" s="7">
        <v>0.18982630968093872</v>
      </c>
      <c r="CL53" s="7">
        <v>4.6743731945753098E-3</v>
      </c>
      <c r="CM53" s="8">
        <v>-2.6571428775787354</v>
      </c>
      <c r="CN53" s="8">
        <v>1.4492753893136978E-2</v>
      </c>
      <c r="CO53" s="8">
        <v>1.2012765407562256</v>
      </c>
      <c r="CP53" s="8">
        <v>-0.32426869869232178</v>
      </c>
      <c r="CQ53" s="8">
        <v>-8.4328250959515572E-3</v>
      </c>
      <c r="CR53">
        <v>45.639258013684724</v>
      </c>
      <c r="CS53">
        <v>25.953157566047178</v>
      </c>
      <c r="CT53">
        <v>2.1186440677966103</v>
      </c>
      <c r="CU53" s="7">
        <v>1.7585242912173272E-2</v>
      </c>
      <c r="CV53" s="8">
        <v>-0.35481502134352921</v>
      </c>
      <c r="CW53">
        <v>0.06</v>
      </c>
      <c r="CX53" t="e">
        <v>#VALUE!</v>
      </c>
      <c r="CY53" t="s">
        <v>600</v>
      </c>
      <c r="CZ53">
        <v>1.7585242912173272E-2</v>
      </c>
      <c r="DA53" t="e">
        <v>#VALUE!</v>
      </c>
      <c r="DB53" t="s">
        <v>600</v>
      </c>
      <c r="DC53">
        <v>1.6705980766564609E-2</v>
      </c>
      <c r="DD53" t="e">
        <v>#VALUE!</v>
      </c>
      <c r="DE53" t="s">
        <v>600</v>
      </c>
      <c r="DF53">
        <v>1.5475013762712479E-2</v>
      </c>
      <c r="DG53" t="e">
        <v>#VALUE!</v>
      </c>
      <c r="DH53" t="s">
        <v>600</v>
      </c>
      <c r="DI53">
        <v>1.4068194329738617E-2</v>
      </c>
      <c r="DJ53" t="e">
        <v>#VALUE!</v>
      </c>
      <c r="DK53" t="s">
        <v>600</v>
      </c>
      <c r="DL53">
        <v>1.230967003852129E-2</v>
      </c>
      <c r="DM53">
        <v>-231999999.99999997</v>
      </c>
      <c r="DN53">
        <v>1.7585242912173272E-2</v>
      </c>
      <c r="DO53">
        <v>1371156099.9999998</v>
      </c>
      <c r="DP53">
        <v>1027548500</v>
      </c>
      <c r="DQ53">
        <v>4171</v>
      </c>
      <c r="DR53">
        <v>10.255142029815101</v>
      </c>
      <c r="DS53">
        <v>5.4943737677374447</v>
      </c>
      <c r="DT53" s="9">
        <v>-0.39000000000000007</v>
      </c>
      <c r="DU53">
        <v>-0.82</v>
      </c>
      <c r="DV53">
        <v>-1.21</v>
      </c>
      <c r="DW53">
        <v>-2.1204999999999998</v>
      </c>
      <c r="DX53">
        <v>0.3095745562130186</v>
      </c>
      <c r="DY53">
        <v>-2.0156137340236686</v>
      </c>
      <c r="DZ53">
        <v>4529</v>
      </c>
      <c r="EA53">
        <v>-2.0017752601698144</v>
      </c>
      <c r="EB53">
        <v>2</v>
      </c>
      <c r="EC53">
        <v>6.9085456344298787E-2</v>
      </c>
      <c r="ED53">
        <v>0.53317146794409087</v>
      </c>
      <c r="EE53" s="10">
        <v>1.00471</v>
      </c>
      <c r="EF53">
        <v>1.01291</v>
      </c>
      <c r="EG53">
        <v>18.129574556213019</v>
      </c>
      <c r="EH53" t="s">
        <v>907</v>
      </c>
      <c r="EI53">
        <v>0</v>
      </c>
      <c r="EJ53">
        <v>0</v>
      </c>
      <c r="EK53" s="12">
        <v>45470</v>
      </c>
      <c r="EL53" s="13">
        <v>1.93</v>
      </c>
      <c r="EM53" s="13">
        <v>5.69</v>
      </c>
      <c r="EN53" s="13">
        <v>3.59</v>
      </c>
      <c r="EO53" s="13">
        <v>-2.5299999999999998</v>
      </c>
      <c r="EP53" s="13">
        <v>-0.82</v>
      </c>
    </row>
    <row r="54" spans="1:146" ht="204" x14ac:dyDescent="0.25">
      <c r="A54" s="6" t="s">
        <v>971</v>
      </c>
      <c r="B54" s="6" t="s">
        <v>972</v>
      </c>
      <c r="C54" s="6" t="str">
        <f>"公司一直从事铝板带箔的研发、生产与销售业务，主要产品为空调箔、单零箔、双零箔、铝板带、新能源电池箔等，产品广泛应用于建筑、家用、包装、家电、电子、交通运输、机械制造、五金制品、锂电池等多个领域。"&amp;CHAR(10)&amp;Basic_Fundamental_Information_Constructure(F54)&amp;CHAR(10)&amp;Basic_Fundamental_Information_Concatenate("（境外50%）
空调箔 58.17亿 32.02% 24.76% 8.37%
单零箔 34.06亿 18.75% 14.96% 8.63%
双零箔 32.40亿 17.83% 21.67% 13.15%
普板带 17.53亿 9.65% 6.32% 7.09%
电池箔 17.53亿 9.65% 26.44% 29.64%
其他 16.46亿 9.06% 3.75% 4.48%")</f>
        <v>公司一直从事铝板带箔的研发、生产与销售业务，主要产品为空调箔、单零箔、双零箔、铝板带、新能源电池箔等，产品广泛应用于建筑、家用、包装、家电、电子、交通运输、机械制造、五金制品、锂电池等多个领域。
市值78.514477亿, 利润4.22亿; PE19.12; 平均PE16.8; 平均PEG4.01, PB1.2; ROIC7.0033%; ROE13.9167%; 股利率2.1542%; 毛利12.6933%; 净利3.8467%; 上一年度营收增-63.93%, 利润增-69.46%; 当季营收增146.91%, 利润增-85.96%; 过往5年营收增4.19%, 利润增605.36%
Income profile:
（境外50%）
空调箔 58.17亿 32.02% 24.76% 8.37%
单零箔 34.06亿 18.75% 14.96% 8.63%
双零箔 32.40亿 17.83% 21.67% 13.15%
普板带 17.53亿 9.65% 6.32% 7.09%
电池箔 17.53亿 9.65% 26.44% 29.64%
其他 16.46亿 9.06% 3.75% 4.48%</v>
      </c>
      <c r="D54" t="s">
        <v>472</v>
      </c>
      <c r="E54" t="s">
        <v>2233</v>
      </c>
      <c r="F54">
        <v>8.82</v>
      </c>
      <c r="G54">
        <v>0.11</v>
      </c>
      <c r="H54" t="s">
        <v>2234</v>
      </c>
      <c r="I54">
        <v>7851447700</v>
      </c>
      <c r="J54">
        <v>19.12</v>
      </c>
      <c r="K54">
        <v>1.2</v>
      </c>
      <c r="L54" t="s">
        <v>105</v>
      </c>
      <c r="M54" t="s">
        <v>2235</v>
      </c>
      <c r="N54" t="s">
        <v>2236</v>
      </c>
      <c r="O54" t="s">
        <v>2237</v>
      </c>
      <c r="P54">
        <v>13.58</v>
      </c>
      <c r="Q54" t="s">
        <v>2238</v>
      </c>
      <c r="R54">
        <v>30463258</v>
      </c>
      <c r="S54" s="5">
        <v>-0.80310000000000004</v>
      </c>
      <c r="T54" t="s">
        <v>348</v>
      </c>
      <c r="U54">
        <v>886488350</v>
      </c>
      <c r="V54">
        <v>890186810</v>
      </c>
      <c r="W54">
        <v>3.58</v>
      </c>
      <c r="X54">
        <v>0.23</v>
      </c>
      <c r="Y54">
        <v>0.6</v>
      </c>
      <c r="Z54" t="s">
        <v>2239</v>
      </c>
      <c r="AA54" t="s">
        <v>2240</v>
      </c>
      <c r="AB54" t="s">
        <v>2241</v>
      </c>
      <c r="AC54" t="s">
        <v>2242</v>
      </c>
      <c r="AD54" t="s">
        <v>5</v>
      </c>
      <c r="AE54">
        <v>34129518</v>
      </c>
      <c r="AF54" t="s">
        <v>2243</v>
      </c>
      <c r="AG54" t="s">
        <v>2244</v>
      </c>
      <c r="AH54" t="s">
        <v>2245</v>
      </c>
      <c r="AI54" t="s">
        <v>2246</v>
      </c>
      <c r="AJ54" t="s">
        <v>2247</v>
      </c>
      <c r="AK54" t="s">
        <v>5</v>
      </c>
      <c r="AL54" t="s">
        <v>2248</v>
      </c>
      <c r="AM54" t="s">
        <v>5</v>
      </c>
      <c r="AN54" t="s">
        <v>630</v>
      </c>
      <c r="AO54" t="s">
        <v>2249</v>
      </c>
      <c r="AP54" t="s">
        <v>2250</v>
      </c>
      <c r="AQ54" t="s">
        <v>2251</v>
      </c>
      <c r="AR54" t="s">
        <v>5</v>
      </c>
      <c r="AS54" t="s">
        <v>2252</v>
      </c>
      <c r="AT54" t="s">
        <v>2253</v>
      </c>
      <c r="AU54" t="s">
        <v>2254</v>
      </c>
      <c r="AV54" t="s">
        <v>2255</v>
      </c>
      <c r="AW54" t="s">
        <v>1653</v>
      </c>
      <c r="AX54" t="s">
        <v>956</v>
      </c>
      <c r="AY54" t="s">
        <v>582</v>
      </c>
      <c r="AZ54" t="s">
        <v>473</v>
      </c>
      <c r="BA54" t="s">
        <v>475</v>
      </c>
      <c r="BB54" t="s">
        <v>476</v>
      </c>
      <c r="BC54" t="s">
        <v>957</v>
      </c>
      <c r="BD54" t="s">
        <v>98</v>
      </c>
      <c r="BE54" t="s">
        <v>474</v>
      </c>
      <c r="BF54" t="s">
        <v>25</v>
      </c>
      <c r="BG54" t="s">
        <v>281</v>
      </c>
      <c r="BH54" t="s">
        <v>2256</v>
      </c>
      <c r="BI54" t="s">
        <v>2257</v>
      </c>
      <c r="BJ54" t="s">
        <v>956</v>
      </c>
      <c r="BK54" t="s">
        <v>2258</v>
      </c>
      <c r="BL54" t="s">
        <v>400</v>
      </c>
      <c r="BM54" t="s">
        <v>957</v>
      </c>
      <c r="BN54">
        <v>3.54</v>
      </c>
      <c r="BO54">
        <v>12.13</v>
      </c>
      <c r="BP54">
        <v>5.34</v>
      </c>
      <c r="BQ54">
        <v>7.36</v>
      </c>
      <c r="BR54">
        <v>24.39</v>
      </c>
      <c r="BS54">
        <v>10</v>
      </c>
      <c r="BT54" t="s">
        <v>2259</v>
      </c>
      <c r="BU54" t="s">
        <v>627</v>
      </c>
      <c r="BV54">
        <v>11.08</v>
      </c>
      <c r="BW54">
        <v>16.18</v>
      </c>
      <c r="BX54">
        <v>10.82</v>
      </c>
      <c r="BY54">
        <v>2.79</v>
      </c>
      <c r="BZ54">
        <v>6.4</v>
      </c>
      <c r="CA54">
        <v>2.35</v>
      </c>
      <c r="CB54">
        <v>-2.86</v>
      </c>
      <c r="CC54">
        <v>-15.68</v>
      </c>
      <c r="CD54" t="s">
        <v>2260</v>
      </c>
      <c r="CE54" t="s">
        <v>409</v>
      </c>
      <c r="CF54" s="7">
        <v>1.4691417550626811</v>
      </c>
      <c r="CG54" s="8">
        <v>-0.85961632258064513</v>
      </c>
      <c r="CH54" s="7">
        <v>-0.63934272527694702</v>
      </c>
      <c r="CI54" s="7">
        <v>0.18917869031429291</v>
      </c>
      <c r="CJ54" s="7">
        <v>0.46197801828384399</v>
      </c>
      <c r="CK54" s="7">
        <v>0.10599858313798904</v>
      </c>
      <c r="CL54" s="7">
        <v>9.1827750205993652E-2</v>
      </c>
      <c r="CM54" s="8">
        <v>-0.6946454644203186</v>
      </c>
      <c r="CN54" s="8">
        <v>2.2139534950256348</v>
      </c>
      <c r="CO54" s="8">
        <v>29.67756462097168</v>
      </c>
      <c r="CP54" s="8">
        <v>-1.0485252141952515</v>
      </c>
      <c r="CQ54" s="8">
        <v>0.1195652186870575</v>
      </c>
      <c r="CR54">
        <v>16.800495876310094</v>
      </c>
      <c r="CS54">
        <v>4.0069811340590169</v>
      </c>
      <c r="CT54">
        <v>2.1541950113378685</v>
      </c>
      <c r="CU54" s="7">
        <v>4.1928063333034518E-2</v>
      </c>
      <c r="CV54" s="8">
        <v>6.0535825312137606</v>
      </c>
      <c r="CW54">
        <v>0.06</v>
      </c>
      <c r="CX54">
        <v>36.032439458883438</v>
      </c>
      <c r="CY54">
        <v>414805323.3269251</v>
      </c>
      <c r="CZ54">
        <v>4.1928063333034518E-2</v>
      </c>
      <c r="DA54">
        <v>12.266947830941648</v>
      </c>
      <c r="DB54">
        <v>1218432482.6343267</v>
      </c>
      <c r="DC54">
        <v>3.9831660166382787E-2</v>
      </c>
      <c r="DD54">
        <v>6.3718138963443867</v>
      </c>
      <c r="DE54">
        <v>2345713158.4736052</v>
      </c>
      <c r="DF54">
        <v>3.6896695733070375E-2</v>
      </c>
      <c r="DG54">
        <v>4.0593646365524103</v>
      </c>
      <c r="DH54">
        <v>3681967262.9098706</v>
      </c>
      <c r="DI54">
        <v>3.3542450666427616E-2</v>
      </c>
      <c r="DJ54">
        <v>2.3757359948724281</v>
      </c>
      <c r="DK54">
        <v>6291291512.2972622</v>
      </c>
      <c r="DL54">
        <v>2.9349644333124161E-2</v>
      </c>
      <c r="DM54">
        <v>422000000</v>
      </c>
      <c r="DN54">
        <v>4.1928063333034518E-2</v>
      </c>
      <c r="DO54">
        <v>14946447700</v>
      </c>
      <c r="DP54">
        <v>1666931000</v>
      </c>
      <c r="DQ54">
        <v>4349</v>
      </c>
      <c r="DR54">
        <v>1.4272136917296465</v>
      </c>
      <c r="DS54">
        <v>-6.9131988537944054</v>
      </c>
      <c r="DT54" s="9">
        <v>-0.49</v>
      </c>
      <c r="DU54">
        <v>-0.74333333333333329</v>
      </c>
      <c r="DV54">
        <v>-1.2333333333333334</v>
      </c>
      <c r="DW54">
        <v>-8.1823979591836729</v>
      </c>
      <c r="DX54">
        <v>0.27654266666666738</v>
      </c>
      <c r="DY54">
        <v>-8.0230811241496607</v>
      </c>
      <c r="DZ54">
        <v>2701</v>
      </c>
      <c r="EA54">
        <v>-8.0108811013848396</v>
      </c>
      <c r="EB54">
        <v>8</v>
      </c>
      <c r="EC54">
        <v>3.1984410103762378E-2</v>
      </c>
      <c r="ED54">
        <v>0.25275593557716275</v>
      </c>
      <c r="EE54" s="10">
        <v>5.0491099999999998</v>
      </c>
      <c r="EF54">
        <v>5.0702100000000003</v>
      </c>
      <c r="EG54">
        <v>15.126542666666667</v>
      </c>
      <c r="EH54" t="s">
        <v>1150</v>
      </c>
      <c r="EI54">
        <v>0</v>
      </c>
      <c r="EJ54">
        <v>0</v>
      </c>
      <c r="EK54" s="12">
        <v>45470</v>
      </c>
      <c r="EL54" s="13">
        <v>0.85</v>
      </c>
      <c r="EM54" s="13">
        <v>-2.17</v>
      </c>
      <c r="EN54" s="13">
        <v>0.71</v>
      </c>
      <c r="EO54" s="13">
        <v>0.92</v>
      </c>
      <c r="EP54" s="13">
        <v>-2.11</v>
      </c>
    </row>
    <row r="55" spans="1:146" ht="96" x14ac:dyDescent="0.25">
      <c r="A55" s="6"/>
      <c r="B55" s="6"/>
      <c r="C55" s="6" t="str">
        <f>""&amp;CHAR(10)&amp;Basic_Fundamental_Information_Constructure(F55)&amp;CHAR(10)&amp;Basic_Fundamental_Information_Concatenate("")</f>
        <v xml:space="preserve">
市值16.313534亿, 利润1.95亿; PE30.25; 平均PE12.86; 平均PEG1.12, PB1.01; ROIC5.74%; ROE6.0033%; 股利率1.242%; 毛利12.44%; 净利5.9467%; 上一年度营收增32.81%, 利润增121.93%; 当季营收增-46.17%, 利润增-98.85%; 过往5年营收增11.44%, 利润增20.66%
Income profile:
</v>
      </c>
      <c r="D55" t="s">
        <v>477</v>
      </c>
      <c r="E55" t="s">
        <v>478</v>
      </c>
      <c r="F55">
        <v>7.81</v>
      </c>
      <c r="G55">
        <v>1.03</v>
      </c>
      <c r="H55" t="s">
        <v>2261</v>
      </c>
      <c r="I55">
        <v>1631353400</v>
      </c>
      <c r="J55">
        <v>30.25</v>
      </c>
      <c r="K55">
        <v>1.01</v>
      </c>
      <c r="L55" t="s">
        <v>105</v>
      </c>
      <c r="M55" t="s">
        <v>2262</v>
      </c>
      <c r="N55" t="s">
        <v>2263</v>
      </c>
      <c r="O55" t="s">
        <v>25</v>
      </c>
      <c r="P55">
        <v>-16.59</v>
      </c>
      <c r="Q55" t="s">
        <v>2264</v>
      </c>
      <c r="R55">
        <v>1157750</v>
      </c>
      <c r="S55" s="5">
        <v>-0.92100000000000004</v>
      </c>
      <c r="T55" t="s">
        <v>656</v>
      </c>
      <c r="U55">
        <v>208880080</v>
      </c>
      <c r="V55">
        <v>208880080</v>
      </c>
      <c r="W55">
        <v>1.61</v>
      </c>
      <c r="X55">
        <v>0.12</v>
      </c>
      <c r="Y55">
        <v>0.37</v>
      </c>
      <c r="Z55" t="s">
        <v>267</v>
      </c>
      <c r="AA55" t="s">
        <v>934</v>
      </c>
      <c r="AB55" t="s">
        <v>2265</v>
      </c>
      <c r="AC55" t="s">
        <v>2266</v>
      </c>
      <c r="AD55" t="s">
        <v>5</v>
      </c>
      <c r="AE55">
        <v>1077280</v>
      </c>
      <c r="AF55" t="s">
        <v>2267</v>
      </c>
      <c r="AG55">
        <v>248.86</v>
      </c>
      <c r="AH55" t="s">
        <v>2268</v>
      </c>
      <c r="AI55" t="s">
        <v>635</v>
      </c>
      <c r="AJ55" t="s">
        <v>2269</v>
      </c>
      <c r="AK55" t="s">
        <v>2270</v>
      </c>
      <c r="AL55" t="s">
        <v>2271</v>
      </c>
      <c r="AM55" t="s">
        <v>5</v>
      </c>
      <c r="AN55" t="s">
        <v>914</v>
      </c>
      <c r="AO55" t="s">
        <v>5</v>
      </c>
      <c r="AP55" t="s">
        <v>69</v>
      </c>
      <c r="AQ55" t="s">
        <v>35</v>
      </c>
      <c r="AR55" t="s">
        <v>5</v>
      </c>
      <c r="AS55" t="s">
        <v>2272</v>
      </c>
      <c r="AT55" t="s">
        <v>5</v>
      </c>
      <c r="AU55" t="s">
        <v>2273</v>
      </c>
      <c r="AV55" t="s">
        <v>806</v>
      </c>
      <c r="AW55" t="s">
        <v>5</v>
      </c>
      <c r="AX55" t="s">
        <v>739</v>
      </c>
      <c r="AY55" t="s">
        <v>427</v>
      </c>
      <c r="AZ55" t="s">
        <v>62</v>
      </c>
      <c r="BA55" t="s">
        <v>479</v>
      </c>
      <c r="BB55" t="s">
        <v>480</v>
      </c>
      <c r="BC55" t="s">
        <v>961</v>
      </c>
      <c r="BD55" t="s">
        <v>38</v>
      </c>
      <c r="BE55" t="s">
        <v>429</v>
      </c>
      <c r="BF55" t="s">
        <v>61</v>
      </c>
      <c r="BG55" t="s">
        <v>429</v>
      </c>
      <c r="BH55" t="s">
        <v>2274</v>
      </c>
      <c r="BI55" t="s">
        <v>2275</v>
      </c>
      <c r="BJ55" t="s">
        <v>739</v>
      </c>
      <c r="BK55" t="s">
        <v>2276</v>
      </c>
      <c r="BL55" t="s">
        <v>37</v>
      </c>
      <c r="BM55" t="s">
        <v>961</v>
      </c>
      <c r="BN55">
        <v>3.18</v>
      </c>
      <c r="BO55">
        <v>5.5</v>
      </c>
      <c r="BP55">
        <v>8.5399999999999991</v>
      </c>
      <c r="BQ55">
        <v>3.53</v>
      </c>
      <c r="BR55">
        <v>5.69</v>
      </c>
      <c r="BS55">
        <v>8.7899999999999991</v>
      </c>
      <c r="BT55" t="s">
        <v>2277</v>
      </c>
      <c r="BU55" t="s">
        <v>627</v>
      </c>
      <c r="BV55">
        <v>11.24</v>
      </c>
      <c r="BW55">
        <v>12.07</v>
      </c>
      <c r="BX55">
        <v>14.01</v>
      </c>
      <c r="BY55">
        <v>4.79</v>
      </c>
      <c r="BZ55">
        <v>5.48</v>
      </c>
      <c r="CA55">
        <v>7.57</v>
      </c>
      <c r="CB55">
        <v>0.64</v>
      </c>
      <c r="CC55">
        <v>-13.25</v>
      </c>
      <c r="CD55" t="s">
        <v>2278</v>
      </c>
      <c r="CE55" t="s">
        <v>2279</v>
      </c>
      <c r="CF55" s="7">
        <v>-0.4616724738675958</v>
      </c>
      <c r="CG55" s="8">
        <v>-0.98853712871287125</v>
      </c>
      <c r="CH55" s="7">
        <v>0.32813465595245361</v>
      </c>
      <c r="CI55" s="7">
        <v>-8.1375285983085632E-2</v>
      </c>
      <c r="CJ55" s="7">
        <v>0.27745237946510315</v>
      </c>
      <c r="CK55" s="7">
        <v>2.0926756784319878E-2</v>
      </c>
      <c r="CL55" s="7">
        <v>2.686103992164135E-2</v>
      </c>
      <c r="CM55" s="8">
        <v>1.2192733287811279</v>
      </c>
      <c r="CN55" s="8">
        <v>-0.33434394001960754</v>
      </c>
      <c r="CO55" s="8">
        <v>0.14782609045505524</v>
      </c>
      <c r="CP55" s="8">
        <v>-8.6206896230578423E-3</v>
      </c>
      <c r="CQ55" s="8">
        <v>8.6956517770886421E-3</v>
      </c>
      <c r="CR55">
        <v>12.864436945977127</v>
      </c>
      <c r="CS55">
        <v>1.1245146113121882</v>
      </c>
      <c r="CT55">
        <v>1.2419974391805377</v>
      </c>
      <c r="CU55" s="7">
        <v>0.11439990922808647</v>
      </c>
      <c r="CV55" s="8">
        <v>0.20656608827412129</v>
      </c>
      <c r="CW55">
        <v>0.06</v>
      </c>
      <c r="CX55">
        <v>4.6942343912345814</v>
      </c>
      <c r="CY55">
        <v>205007530.47120461</v>
      </c>
      <c r="CZ55">
        <v>0.11439990922808647</v>
      </c>
      <c r="DA55">
        <v>1.5027484118572978</v>
      </c>
      <c r="DB55">
        <v>640395552.84613132</v>
      </c>
      <c r="DC55">
        <v>0.10867991376668215</v>
      </c>
      <c r="DD55">
        <v>0.71948072738892865</v>
      </c>
      <c r="DE55">
        <v>1337566613.4831462</v>
      </c>
      <c r="DF55">
        <v>0.1006719201207161</v>
      </c>
      <c r="DG55">
        <v>0.41857277158959461</v>
      </c>
      <c r="DH55">
        <v>2299130438.7653184</v>
      </c>
      <c r="DI55">
        <v>9.1519927382469182E-2</v>
      </c>
      <c r="DJ55">
        <v>0.201444264461728</v>
      </c>
      <c r="DK55">
        <v>4777268802.2241287</v>
      </c>
      <c r="DL55">
        <v>8.0079936459660522E-2</v>
      </c>
      <c r="DM55">
        <v>195000000</v>
      </c>
      <c r="DN55">
        <v>0.11439990922808647</v>
      </c>
      <c r="DO55">
        <v>962353400</v>
      </c>
      <c r="DP55">
        <v>779268100</v>
      </c>
      <c r="DQ55">
        <v>4390</v>
      </c>
      <c r="DR55">
        <v>-0.57607238309568232</v>
      </c>
      <c r="DS55">
        <v>-1.1951032169869926</v>
      </c>
      <c r="DT55" s="9">
        <v>-0.14000000000000001</v>
      </c>
      <c r="DU55">
        <v>-0.25666666666666665</v>
      </c>
      <c r="DV55">
        <v>-0.39666666666666667</v>
      </c>
      <c r="DW55">
        <v>-2.1324999999999998</v>
      </c>
      <c r="DX55">
        <v>0.39511831423637389</v>
      </c>
      <c r="DY55">
        <v>-2.0192281766363194</v>
      </c>
      <c r="DZ55">
        <v>2325</v>
      </c>
      <c r="EA55">
        <v>-2.0104795444094226</v>
      </c>
      <c r="EB55">
        <v>2</v>
      </c>
      <c r="EC55">
        <v>5.4738584933517846E-2</v>
      </c>
      <c r="ED55">
        <v>0.37719968318663993</v>
      </c>
      <c r="EE55" s="10">
        <v>-1.03701</v>
      </c>
      <c r="EF55">
        <v>-1.0664100000000001</v>
      </c>
      <c r="EG55">
        <v>25.145118314236374</v>
      </c>
      <c r="EH55" t="s">
        <v>598</v>
      </c>
      <c r="EI55">
        <v>0</v>
      </c>
      <c r="EJ55">
        <v>0</v>
      </c>
      <c r="EK55" s="12">
        <v>45470</v>
      </c>
      <c r="EL55" s="13">
        <v>-1.69</v>
      </c>
      <c r="EM55" s="13">
        <v>-3.69</v>
      </c>
      <c r="EN55" s="13">
        <v>0.85</v>
      </c>
      <c r="EO55" s="13">
        <v>3.38</v>
      </c>
      <c r="EP55" s="13">
        <v>-2.94</v>
      </c>
    </row>
    <row r="56" spans="1:146" ht="180" x14ac:dyDescent="0.25">
      <c r="A56" s="6"/>
      <c r="B56" s="6"/>
      <c r="C56" s="6" t="str">
        <f>"公司主营业务为包括以矿山工程建设、采矿运营管理、矿山设计与技术研发在内的矿山开发服务业务，公司已实现集矿山工程建设、采矿运营管理、矿山设计与技术研发、矿山设备制造等业务于一体的综合服务能力，是能够为矿山提供综合服务的高端开发服务商之一。"&amp;CHAR(10)&amp;Basic_Fundamental_Information_Constructure(F56)&amp;CHAR(10)&amp;Basic_Fundamental_Information_Concatenate("采矿运营管理 28.61亿 63.53% 62.80% 26.47%
矿山工程建设 14.28亿 31.70% 35.17% 29.72%
其他业务 2.04亿 4.53% 1.96% 11.55%
矿山工程设计 1068.97万 0.24% 0.07% 8.04%")</f>
        <v>公司主营业务为包括以矿山工程建设、采矿运营管理、矿山设计与技术研发在内的矿山开发服务业务，公司已实现集矿山工程建设、采矿运营管理、矿山设计与技术研发、矿山设备制造等业务于一体的综合服务能力，是能够为矿山提供综合服务的高端开发服务商之一。
市值324.36868亿, 利润-2.41亿; PE28.96; 平均PE107.7; 平均PEG54.7, PB4.32; ROIC7.97%; ROE10.3233%; 股利率.3809%; 毛利27.99%; 净利11.7967%; 上一年度营收增-68.42%, 利润增-139.44%; 当季营收增380.05%, 利润增1685.54%; 过往5年营收增-1.97%, 利润增-11.28%
Income profile:
采矿运营管理 28.61亿 63.53% 62.80% 26.47%
矿山工程建设 14.28亿 31.70% 35.17% 29.72%
其他业务 2.04亿 4.53% 1.96% 11.55%
矿山工程设计 1068.97万 0.24% 0.07% 8.04%</v>
      </c>
      <c r="D56" t="s">
        <v>583</v>
      </c>
      <c r="E56" t="s">
        <v>584</v>
      </c>
      <c r="F56">
        <v>52.51</v>
      </c>
      <c r="G56">
        <v>4.2699999999999996</v>
      </c>
      <c r="H56" t="s">
        <v>2280</v>
      </c>
      <c r="I56">
        <v>32436868000</v>
      </c>
      <c r="J56">
        <v>28.96</v>
      </c>
      <c r="K56">
        <v>4.32</v>
      </c>
      <c r="L56" t="s">
        <v>105</v>
      </c>
      <c r="M56" t="s">
        <v>2281</v>
      </c>
      <c r="N56" t="s">
        <v>2282</v>
      </c>
      <c r="O56" t="s">
        <v>895</v>
      </c>
      <c r="P56">
        <v>33.67</v>
      </c>
      <c r="Q56" t="s">
        <v>2283</v>
      </c>
      <c r="R56">
        <v>273789840</v>
      </c>
      <c r="S56" s="5">
        <v>0.48070000000000002</v>
      </c>
      <c r="T56" t="s">
        <v>2284</v>
      </c>
      <c r="U56">
        <v>617727440</v>
      </c>
      <c r="V56">
        <v>617727440</v>
      </c>
      <c r="W56">
        <v>1.79</v>
      </c>
      <c r="X56">
        <v>0.14000000000000001</v>
      </c>
      <c r="Y56">
        <v>13.77</v>
      </c>
      <c r="Z56" t="s">
        <v>2285</v>
      </c>
      <c r="AA56" t="s">
        <v>2286</v>
      </c>
      <c r="AB56" t="s">
        <v>2287</v>
      </c>
      <c r="AC56" t="s">
        <v>2288</v>
      </c>
      <c r="AD56" t="s">
        <v>5</v>
      </c>
      <c r="AE56">
        <v>66475332</v>
      </c>
      <c r="AF56" t="s">
        <v>2289</v>
      </c>
      <c r="AG56" t="s">
        <v>2290</v>
      </c>
      <c r="AH56" t="s">
        <v>2291</v>
      </c>
      <c r="AI56" t="s">
        <v>492</v>
      </c>
      <c r="AJ56" t="s">
        <v>2292</v>
      </c>
      <c r="AK56" t="s">
        <v>2293</v>
      </c>
      <c r="AL56" t="s">
        <v>2294</v>
      </c>
      <c r="AM56" t="s">
        <v>5</v>
      </c>
      <c r="AN56" t="s">
        <v>226</v>
      </c>
      <c r="AO56" t="s">
        <v>2295</v>
      </c>
      <c r="AP56" t="s">
        <v>66</v>
      </c>
      <c r="AQ56" t="s">
        <v>2296</v>
      </c>
      <c r="AR56" t="s">
        <v>5</v>
      </c>
      <c r="AS56" t="s">
        <v>2297</v>
      </c>
      <c r="AT56" t="s">
        <v>2298</v>
      </c>
      <c r="AU56" t="s">
        <v>2299</v>
      </c>
      <c r="AV56" t="s">
        <v>2300</v>
      </c>
      <c r="AW56" t="s">
        <v>2301</v>
      </c>
      <c r="AX56" t="s">
        <v>964</v>
      </c>
      <c r="AY56" t="s">
        <v>510</v>
      </c>
      <c r="AZ56" t="s">
        <v>585</v>
      </c>
      <c r="BA56" t="s">
        <v>586</v>
      </c>
      <c r="BB56" t="s">
        <v>587</v>
      </c>
      <c r="BC56" t="s">
        <v>1971</v>
      </c>
      <c r="BD56" t="s">
        <v>352</v>
      </c>
      <c r="BE56" t="s">
        <v>588</v>
      </c>
      <c r="BF56" t="s">
        <v>267</v>
      </c>
      <c r="BG56" t="s">
        <v>124</v>
      </c>
      <c r="BH56" t="s">
        <v>2302</v>
      </c>
      <c r="BI56" t="s">
        <v>933</v>
      </c>
      <c r="BJ56" t="s">
        <v>964</v>
      </c>
      <c r="BK56" t="s">
        <v>2303</v>
      </c>
      <c r="BL56" t="s">
        <v>2304</v>
      </c>
      <c r="BM56" t="s">
        <v>1971</v>
      </c>
      <c r="BN56">
        <v>7.73</v>
      </c>
      <c r="BO56">
        <v>8.59</v>
      </c>
      <c r="BP56">
        <v>7.59</v>
      </c>
      <c r="BQ56">
        <v>10.83</v>
      </c>
      <c r="BR56">
        <v>10.69</v>
      </c>
      <c r="BS56">
        <v>9.4499999999999993</v>
      </c>
      <c r="BT56" t="s">
        <v>737</v>
      </c>
      <c r="BU56" t="s">
        <v>628</v>
      </c>
      <c r="BV56">
        <v>30.35</v>
      </c>
      <c r="BW56">
        <v>26.84</v>
      </c>
      <c r="BX56">
        <v>26.78</v>
      </c>
      <c r="BY56">
        <v>13.94</v>
      </c>
      <c r="BZ56">
        <v>11.3</v>
      </c>
      <c r="CA56">
        <v>10.15</v>
      </c>
      <c r="CB56">
        <v>3.92</v>
      </c>
      <c r="CC56">
        <v>-5.9</v>
      </c>
      <c r="CD56" t="s">
        <v>2305</v>
      </c>
      <c r="CE56" t="s">
        <v>161</v>
      </c>
      <c r="CF56" s="7">
        <v>3.8004866180048658</v>
      </c>
      <c r="CG56" s="8">
        <v>16.855421910018009</v>
      </c>
      <c r="CH56" s="7">
        <v>-0.68422031402587891</v>
      </c>
      <c r="CI56" s="7">
        <v>0.18894311785697937</v>
      </c>
      <c r="CJ56" s="7">
        <v>0.16593319177627563</v>
      </c>
      <c r="CK56" s="7">
        <v>0.12492717802524567</v>
      </c>
      <c r="CL56" s="7">
        <v>0.10595819354057312</v>
      </c>
      <c r="CM56" s="8">
        <v>-1.3944354057312012</v>
      </c>
      <c r="CN56" s="8">
        <v>0.29723992943763733</v>
      </c>
      <c r="CO56" s="8">
        <v>0.29041096568107605</v>
      </c>
      <c r="CP56" s="8">
        <v>0.17741934955120087</v>
      </c>
      <c r="CQ56" s="8">
        <v>6.5292097628116608E-2</v>
      </c>
      <c r="CR56">
        <v>107.70404427227449</v>
      </c>
      <c r="CS56">
        <v>54.695074052943959</v>
      </c>
      <c r="CT56">
        <v>0.38087983241287376</v>
      </c>
      <c r="CU56" s="7">
        <v>-1.9691726565361022E-2</v>
      </c>
      <c r="CV56" s="8">
        <v>-0.11281461268663406</v>
      </c>
      <c r="CW56">
        <v>0.06</v>
      </c>
      <c r="CX56" t="e">
        <v>#VALUE!</v>
      </c>
      <c r="CY56" t="s">
        <v>600</v>
      </c>
      <c r="CZ56">
        <v>-1.9691726565361022E-2</v>
      </c>
      <c r="DA56" t="e">
        <v>#VALUE!</v>
      </c>
      <c r="DB56" t="s">
        <v>600</v>
      </c>
      <c r="DC56">
        <v>-1.8707140237092971E-2</v>
      </c>
      <c r="DD56" t="e">
        <v>#VALUE!</v>
      </c>
      <c r="DE56" t="s">
        <v>600</v>
      </c>
      <c r="DF56">
        <v>-1.7328719377517701E-2</v>
      </c>
      <c r="DG56" t="e">
        <v>#VALUE!</v>
      </c>
      <c r="DH56" t="s">
        <v>600</v>
      </c>
      <c r="DI56">
        <v>-1.5753381252288819E-2</v>
      </c>
      <c r="DJ56" t="e">
        <v>#VALUE!</v>
      </c>
      <c r="DK56" t="s">
        <v>600</v>
      </c>
      <c r="DL56">
        <v>-1.3784208595752714E-2</v>
      </c>
      <c r="DM56">
        <v>-241000000</v>
      </c>
      <c r="DN56">
        <v>-1.9691726565361022E-2</v>
      </c>
      <c r="DO56">
        <v>31081868000</v>
      </c>
      <c r="DP56">
        <v>3682467800</v>
      </c>
      <c r="DQ56">
        <v>4410</v>
      </c>
      <c r="DR56">
        <v>3.8201783445702269</v>
      </c>
      <c r="DS56">
        <v>16.968236522704643</v>
      </c>
      <c r="DT56" s="9">
        <v>-0.49</v>
      </c>
      <c r="DU56">
        <v>-0.35000000000000003</v>
      </c>
      <c r="DV56">
        <v>-0.84000000000000008</v>
      </c>
      <c r="DW56">
        <v>6.3991853360488795</v>
      </c>
      <c r="DX56">
        <v>0.49231250000000271</v>
      </c>
      <c r="DY56">
        <v>6.0568090631364564</v>
      </c>
      <c r="DZ56">
        <v>3857</v>
      </c>
      <c r="EA56">
        <v>6.0139298935635965</v>
      </c>
      <c r="EB56">
        <v>6</v>
      </c>
      <c r="EC56">
        <v>4.2390054746475239E-2</v>
      </c>
      <c r="ED56">
        <v>0.29786599734018615</v>
      </c>
      <c r="EE56" s="10">
        <v>-1.0541</v>
      </c>
      <c r="EF56">
        <v>-1.0435000000000001</v>
      </c>
      <c r="EG56">
        <v>35.142312500000003</v>
      </c>
      <c r="EH56" t="s">
        <v>853</v>
      </c>
      <c r="EI56">
        <v>0</v>
      </c>
      <c r="EJ56">
        <v>0</v>
      </c>
      <c r="EK56" s="12">
        <v>45470</v>
      </c>
      <c r="EL56" s="13">
        <v>-0.26</v>
      </c>
      <c r="EM56" s="13">
        <v>-4.24</v>
      </c>
      <c r="EN56" s="13">
        <v>1.98</v>
      </c>
      <c r="EO56" s="13">
        <v>4.16</v>
      </c>
      <c r="EP56" s="13">
        <v>-1.06</v>
      </c>
    </row>
    <row r="57" spans="1:146" ht="180" x14ac:dyDescent="0.25">
      <c r="A57" s="6"/>
      <c r="B57" s="6"/>
      <c r="C57" s="6" t="s">
        <v>613</v>
      </c>
      <c r="D57" t="s">
        <v>482</v>
      </c>
      <c r="E57" t="s">
        <v>483</v>
      </c>
      <c r="F57">
        <v>6.09</v>
      </c>
      <c r="G57">
        <v>2.1800000000000002</v>
      </c>
      <c r="H57" t="s">
        <v>2306</v>
      </c>
      <c r="I57">
        <v>2009334600</v>
      </c>
      <c r="J57">
        <v>35.74</v>
      </c>
      <c r="K57">
        <v>0.96099999999999997</v>
      </c>
      <c r="L57" t="s">
        <v>105</v>
      </c>
      <c r="M57" t="s">
        <v>1087</v>
      </c>
      <c r="N57" t="s">
        <v>2307</v>
      </c>
      <c r="O57" t="s">
        <v>2121</v>
      </c>
      <c r="P57">
        <v>21.35</v>
      </c>
      <c r="Q57" t="s">
        <v>2308</v>
      </c>
      <c r="R57">
        <v>10217565</v>
      </c>
      <c r="S57" s="5">
        <v>1.677</v>
      </c>
      <c r="T57" t="s">
        <v>2309</v>
      </c>
      <c r="U57">
        <v>329940000</v>
      </c>
      <c r="V57">
        <v>329940000</v>
      </c>
      <c r="W57">
        <v>1.69</v>
      </c>
      <c r="X57">
        <v>0.24</v>
      </c>
      <c r="Y57">
        <v>1.24</v>
      </c>
      <c r="Z57" t="s">
        <v>922</v>
      </c>
      <c r="AA57" t="s">
        <v>2150</v>
      </c>
      <c r="AB57" t="s">
        <v>2310</v>
      </c>
      <c r="AC57" t="s">
        <v>2311</v>
      </c>
      <c r="AD57" t="s">
        <v>5</v>
      </c>
      <c r="AE57">
        <v>7134448</v>
      </c>
      <c r="AF57" t="s">
        <v>2312</v>
      </c>
      <c r="AG57">
        <v>2933.5</v>
      </c>
      <c r="AH57" t="s">
        <v>2313</v>
      </c>
      <c r="AI57" t="s">
        <v>51</v>
      </c>
      <c r="AJ57" t="s">
        <v>2314</v>
      </c>
      <c r="AK57" t="s">
        <v>2315</v>
      </c>
      <c r="AL57" t="s">
        <v>2316</v>
      </c>
      <c r="AM57" t="s">
        <v>5</v>
      </c>
      <c r="AN57" t="s">
        <v>1264</v>
      </c>
      <c r="AO57" t="s">
        <v>184</v>
      </c>
      <c r="AP57" t="s">
        <v>2317</v>
      </c>
      <c r="AQ57" t="s">
        <v>1594</v>
      </c>
      <c r="AR57" t="s">
        <v>5</v>
      </c>
      <c r="AS57" t="s">
        <v>2318</v>
      </c>
      <c r="AT57" t="s">
        <v>2319</v>
      </c>
      <c r="AU57" t="s">
        <v>2320</v>
      </c>
      <c r="AV57" t="s">
        <v>2321</v>
      </c>
      <c r="AW57" t="s">
        <v>809</v>
      </c>
      <c r="AX57" t="s">
        <v>968</v>
      </c>
      <c r="AY57" t="s">
        <v>590</v>
      </c>
      <c r="AZ57" t="s">
        <v>484</v>
      </c>
      <c r="BA57" t="s">
        <v>487</v>
      </c>
      <c r="BB57" t="s">
        <v>488</v>
      </c>
      <c r="BC57" t="s">
        <v>969</v>
      </c>
      <c r="BD57" t="s">
        <v>127</v>
      </c>
      <c r="BE57" t="s">
        <v>57</v>
      </c>
      <c r="BF57" t="s">
        <v>489</v>
      </c>
      <c r="BG57" t="s">
        <v>21</v>
      </c>
      <c r="BH57" t="s">
        <v>2322</v>
      </c>
      <c r="BI57" t="s">
        <v>2323</v>
      </c>
      <c r="BJ57" t="s">
        <v>968</v>
      </c>
      <c r="BK57" t="s">
        <v>2324</v>
      </c>
      <c r="BL57" t="s">
        <v>2325</v>
      </c>
      <c r="BM57" t="s">
        <v>969</v>
      </c>
      <c r="BN57">
        <v>1.3</v>
      </c>
      <c r="BO57">
        <v>4.3</v>
      </c>
      <c r="BP57">
        <v>10.99</v>
      </c>
      <c r="BQ57">
        <v>1.35</v>
      </c>
      <c r="BR57">
        <v>4.62</v>
      </c>
      <c r="BS57">
        <v>12.87</v>
      </c>
      <c r="BT57" t="s">
        <v>2326</v>
      </c>
      <c r="BU57" t="s">
        <v>627</v>
      </c>
      <c r="BV57">
        <v>7.03</v>
      </c>
      <c r="BW57">
        <v>9.57</v>
      </c>
      <c r="BX57">
        <v>13.07</v>
      </c>
      <c r="BY57">
        <v>0.87</v>
      </c>
      <c r="BZ57">
        <v>2.67</v>
      </c>
      <c r="CA57">
        <v>6.91</v>
      </c>
      <c r="CB57">
        <v>-1.93</v>
      </c>
      <c r="CC57">
        <v>-14.59</v>
      </c>
      <c r="CD57" t="s">
        <v>2327</v>
      </c>
      <c r="CE57" t="s">
        <v>783</v>
      </c>
      <c r="CF57" s="7">
        <v>1.8576388888888888</v>
      </c>
      <c r="CG57" s="8">
        <v>-6.8411911122457356E-2</v>
      </c>
      <c r="CH57" s="7">
        <v>-0.55631011724472046</v>
      </c>
      <c r="CI57" s="7">
        <v>7.4164211750030518E-2</v>
      </c>
      <c r="CJ57" s="7">
        <v>0.22032636404037476</v>
      </c>
      <c r="CK57" s="7">
        <v>2.0052945241332054E-2</v>
      </c>
      <c r="CL57" s="7">
        <v>5.9743355959653854E-2</v>
      </c>
      <c r="CM57" s="8">
        <v>0.25273105502128601</v>
      </c>
      <c r="CN57" s="8">
        <v>-0.58504760265350342</v>
      </c>
      <c r="CO57" s="8">
        <v>0.31213873624801636</v>
      </c>
      <c r="CP57" s="8">
        <v>0.39516130089759827</v>
      </c>
      <c r="CQ57" s="8">
        <v>0.1071428582072258</v>
      </c>
      <c r="CR57">
        <v>14.213735014929364</v>
      </c>
      <c r="CS57">
        <v>3.9043736929272108</v>
      </c>
      <c r="CT57">
        <v>0.32840722495894914</v>
      </c>
      <c r="CU57" s="7">
        <v>-3.6404648050665858E-2</v>
      </c>
      <c r="CV57" s="8">
        <v>9.64252695441246E-2</v>
      </c>
      <c r="CW57">
        <v>0.06</v>
      </c>
      <c r="CX57">
        <v>10.121479661016949</v>
      </c>
      <c r="CY57" t="s">
        <v>2328</v>
      </c>
      <c r="CZ57">
        <v>-3.6404648050665858E-2</v>
      </c>
      <c r="DA57">
        <v>3.3738265536723162</v>
      </c>
      <c r="DB57" t="s">
        <v>2329</v>
      </c>
      <c r="DC57">
        <v>-3.4584415648132562E-2</v>
      </c>
      <c r="DD57">
        <v>1.6869132768361581</v>
      </c>
      <c r="DE57" t="s">
        <v>2330</v>
      </c>
      <c r="DF57">
        <v>-3.2036090284585955E-2</v>
      </c>
      <c r="DG57">
        <v>1.012147966101695</v>
      </c>
      <c r="DH57" t="s">
        <v>2331</v>
      </c>
      <c r="DI57">
        <v>-2.9123718440532687E-2</v>
      </c>
      <c r="DJ57">
        <v>0.5060739830508475</v>
      </c>
      <c r="DK57" t="s">
        <v>2332</v>
      </c>
      <c r="DL57">
        <v>-2.5483253635466101E-2</v>
      </c>
      <c r="DM57">
        <v>118000000</v>
      </c>
      <c r="DN57">
        <v>-3.6404648050665858E-2</v>
      </c>
      <c r="DO57">
        <v>1194334600</v>
      </c>
      <c r="DP57">
        <v>1037148000</v>
      </c>
      <c r="DQ57">
        <v>4488</v>
      </c>
      <c r="DR57">
        <v>1.8940435369395547</v>
      </c>
      <c r="DS57">
        <v>-0.16483718066658196</v>
      </c>
      <c r="DT57" s="9">
        <v>-0.47333333333333333</v>
      </c>
      <c r="DU57">
        <v>0.26666666666666666</v>
      </c>
      <c r="DV57">
        <v>-0.20666666666666667</v>
      </c>
      <c r="DW57">
        <v>-2.1459000000000001</v>
      </c>
      <c r="DX57">
        <v>0.34888699186991873</v>
      </c>
      <c r="DY57">
        <v>-2.021722612113821</v>
      </c>
      <c r="DZ57">
        <v>2332</v>
      </c>
      <c r="EA57">
        <v>-2.0118092791491575</v>
      </c>
      <c r="EB57">
        <v>2</v>
      </c>
      <c r="EC57">
        <v>5.55043341213554E-2</v>
      </c>
      <c r="ED57">
        <v>0.37279505364611748</v>
      </c>
      <c r="EE57" s="10">
        <v>3.0039099999999999</v>
      </c>
      <c r="EF57">
        <v>3.0348099999999998</v>
      </c>
      <c r="EG57">
        <v>20.148886991869919</v>
      </c>
      <c r="EH57" t="s">
        <v>815</v>
      </c>
      <c r="EI57">
        <v>0</v>
      </c>
      <c r="EJ57">
        <v>0</v>
      </c>
      <c r="EK57" s="12">
        <v>45470</v>
      </c>
      <c r="EL57" s="13">
        <v>-0.48</v>
      </c>
      <c r="EM57" s="13">
        <v>-5.34</v>
      </c>
      <c r="EN57" s="13">
        <v>0.56999999999999995</v>
      </c>
      <c r="EO57" s="13">
        <v>4.09</v>
      </c>
      <c r="EP57" s="13">
        <v>-3.09</v>
      </c>
    </row>
  </sheetData>
  <autoFilter ref="BU1:BU57"/>
  <phoneticPr fontId="1"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asic_Fundamental_Tabel_Update_Buttom &quot;工业金属&quot;,&quot;&quot;'" altText="更新基本面按钮_x000a_">
                <anchor moveWithCells="1" sizeWithCells="1">
                  <from>
                    <xdr:col>147</xdr:col>
                    <xdr:colOff>222250</xdr:colOff>
                    <xdr:row>0</xdr:row>
                    <xdr:rowOff>139700</xdr:rowOff>
                  </from>
                  <to>
                    <xdr:col>147</xdr:col>
                    <xdr:colOff>1663700</xdr:colOff>
                    <xdr:row>0</xdr:row>
                    <xdr:rowOff>450850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
  <sheetViews>
    <sheetView workbookViewId="0"/>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工业金属</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2024-07-10T15:37:37Z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