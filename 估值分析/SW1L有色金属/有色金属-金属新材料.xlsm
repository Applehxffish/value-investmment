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有色金属\"/>
    </mc:Choice>
  </mc:AlternateContent>
  <bookViews>
    <workbookView xWindow="-100" yWindow="-100" windowWidth="20720" windowHeight="13280"/>
  </bookViews>
  <sheets>
    <sheet name="金属新材料" sheetId="15" r:id="rId1"/>
    <sheet name="利基分析" sheetId="16" r:id="rId2"/>
    <sheet name="估值-增速与年化收益" sheetId="14" r:id="rId3"/>
  </sheets>
  <functionGroups builtInGroupCount="18"/>
  <definedNames>
    <definedName name="_xlnm._FilterDatabase" localSheetId="0" hidden="1">金属新材料!$BU$1:$BU$50</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2" i="16" l="1"/>
  <c r="AD2" i="16" s="1"/>
  <c r="C25" i="15"/>
  <c r="C24" i="15"/>
  <c r="C23" i="15"/>
  <c r="C22" i="15"/>
  <c r="C21" i="15"/>
  <c r="C20" i="15"/>
  <c r="C19" i="15"/>
  <c r="C18" i="15"/>
  <c r="C17" i="15"/>
  <c r="C16" i="15"/>
  <c r="C15" i="15"/>
  <c r="C14" i="15"/>
  <c r="C13" i="15"/>
  <c r="C12" i="15"/>
  <c r="C11" i="15"/>
  <c r="C10" i="15"/>
  <c r="C9" i="15"/>
  <c r="C8" i="15"/>
  <c r="C7" i="15"/>
  <c r="C6" i="15"/>
  <c r="C5" i="15"/>
  <c r="C4" i="15"/>
  <c r="C3" i="15"/>
  <c r="C2" i="15"/>
  <c r="S2" i="16" l="1"/>
  <c r="C2" i="16"/>
  <c r="T2" i="16"/>
  <c r="AA2" i="16"/>
  <c r="F2" i="16"/>
  <c r="W2" i="16"/>
  <c r="G2" i="16"/>
  <c r="D2" i="16"/>
  <c r="AB2" i="16"/>
  <c r="J2" i="16"/>
  <c r="Z2" i="16"/>
  <c r="K2" i="16"/>
  <c r="X2" i="16"/>
  <c r="B2" i="16"/>
  <c r="L2" i="16"/>
  <c r="U2" i="16"/>
  <c r="I2" i="16"/>
  <c r="E2" i="16"/>
  <c r="H2" i="16"/>
  <c r="N2" i="16" s="1"/>
  <c r="M2" i="16"/>
  <c r="V2" i="16"/>
  <c r="Y2" i="16"/>
  <c r="AE2" i="16" s="1"/>
  <c r="AC2" i="16"/>
  <c r="AF2" i="16" l="1"/>
  <c r="O2" i="16"/>
  <c r="AG2" i="16"/>
  <c r="P2" i="16"/>
  <c r="B5" i="14" l="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 i="14" l="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7" i="14"/>
  <c r="C7" i="14"/>
  <c r="D7" i="14"/>
  <c r="G7" i="14" l="1"/>
  <c r="W7" i="14"/>
  <c r="V7" i="14"/>
  <c r="F7" i="14"/>
  <c r="L7" i="14"/>
  <c r="K7" i="14"/>
  <c r="Q7" i="14"/>
  <c r="X7" i="14"/>
  <c r="O7" i="14"/>
  <c r="R7" i="14"/>
  <c r="H7" i="14"/>
  <c r="AC7" i="14"/>
  <c r="M7" i="14"/>
  <c r="P7" i="14"/>
  <c r="AD7" i="14"/>
  <c r="N7" i="14"/>
  <c r="AB7" i="14"/>
  <c r="AA7" i="14"/>
  <c r="Y7" i="14"/>
  <c r="I7" i="14"/>
  <c r="Z7" i="14"/>
  <c r="J7" i="14"/>
  <c r="T7" i="14"/>
  <c r="S7" i="14"/>
  <c r="U7" i="14"/>
  <c r="E7" i="14"/>
</calcChain>
</file>

<file path=xl/sharedStrings.xml><?xml version="1.0" encoding="utf-8"?>
<sst xmlns="http://schemas.openxmlformats.org/spreadsheetml/2006/main" count="1494" uniqueCount="1146">
  <si>
    <t>&lt;-增速</t>
    <phoneticPr fontId="1" type="noConversion"/>
  </si>
  <si>
    <t>&lt;-估值</t>
    <phoneticPr fontId="1" type="noConversion"/>
  </si>
  <si>
    <t>&lt;-折合年化收益</t>
    <phoneticPr fontId="1" type="noConversion"/>
  </si>
  <si>
    <t>现价</t>
  </si>
  <si>
    <t>市净率</t>
  </si>
  <si>
    <t>--</t>
  </si>
  <si>
    <t>金力永磁</t>
  </si>
  <si>
    <t>福达合金</t>
  </si>
  <si>
    <t>英洛华</t>
  </si>
  <si>
    <t>中科三环</t>
  </si>
  <si>
    <t>深圳新星</t>
  </si>
  <si>
    <t>银河磁体</t>
  </si>
  <si>
    <t>正海磁材</t>
  </si>
  <si>
    <t>安泰科技</t>
  </si>
  <si>
    <t>合金投资</t>
  </si>
  <si>
    <t>代码</t>
  </si>
  <si>
    <t>总市值</t>
  </si>
  <si>
    <t>TTM市盈率</t>
  </si>
  <si>
    <t>所属行业</t>
  </si>
  <si>
    <t>SZ000633</t>
  </si>
  <si>
    <t>SZ300748</t>
  </si>
  <si>
    <t>SH600366</t>
  </si>
  <si>
    <t>SZ000970</t>
  </si>
  <si>
    <t>SZ000795</t>
  </si>
  <si>
    <t>SZ300127</t>
  </si>
  <si>
    <t>SH603978</t>
  </si>
  <si>
    <t>SZ300811</t>
  </si>
  <si>
    <t>铂科新材</t>
  </si>
  <si>
    <t>SH603045</t>
  </si>
  <si>
    <t>SZ300224</t>
  </si>
  <si>
    <t>SZ000969</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</si>
  <si>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</si>
  <si>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</si>
  <si>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</si>
  <si>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</si>
  <si>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</si>
  <si>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</si>
  <si>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</si>
  <si>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</si>
  <si>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</si>
  <si>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</si>
  <si>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</si>
  <si>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9966.51万</t>
  </si>
  <si>
    <t>-635.93万</t>
  </si>
  <si>
    <t>47.80亿</t>
  </si>
  <si>
    <t>1.65亿</t>
  </si>
  <si>
    <t>1.12亿</t>
  </si>
  <si>
    <t>1.29亿</t>
  </si>
  <si>
    <t>1.07亿</t>
  </si>
  <si>
    <t>0亿</t>
  </si>
  <si>
    <t>3.09亿</t>
  </si>
  <si>
    <t>SZ300855</t>
  </si>
  <si>
    <t>图南股份</t>
  </si>
  <si>
    <t>4.84亿</t>
  </si>
  <si>
    <t>1.02亿</t>
  </si>
  <si>
    <t>1.03亿</t>
  </si>
  <si>
    <t>1.35亿</t>
  </si>
  <si>
    <t>6.31亿</t>
  </si>
  <si>
    <t>15.64亿</t>
  </si>
  <si>
    <t>7317.88万</t>
  </si>
  <si>
    <t>6.04亿</t>
  </si>
  <si>
    <t>10.34亿</t>
  </si>
  <si>
    <t>9426.89万</t>
  </si>
  <si>
    <t>3.24亿</t>
  </si>
  <si>
    <t>1.43亿</t>
  </si>
  <si>
    <t>40.35亿</t>
  </si>
  <si>
    <t>2.01亿</t>
  </si>
  <si>
    <t>6.03亿</t>
  </si>
  <si>
    <t>1.47亿</t>
  </si>
  <si>
    <t>1.81亿</t>
  </si>
  <si>
    <t>17.99亿</t>
  </si>
  <si>
    <t>9312.37万</t>
  </si>
  <si>
    <t>16.97亿</t>
  </si>
  <si>
    <t>1.57亿</t>
  </si>
  <si>
    <t>4.03亿</t>
  </si>
  <si>
    <t>8459.50万</t>
  </si>
  <si>
    <t>1.18亿</t>
  </si>
  <si>
    <t>SZ300835</t>
  </si>
  <si>
    <t>龙磁科技</t>
  </si>
  <si>
    <t>5.51亿</t>
  </si>
  <si>
    <t>8462.69万</t>
  </si>
  <si>
    <t>1.48亿</t>
  </si>
  <si>
    <t>SH688077</t>
  </si>
  <si>
    <t>大地熊</t>
  </si>
  <si>
    <t>5799.51万</t>
  </si>
  <si>
    <t>1.05亿</t>
  </si>
  <si>
    <t>2.56亿</t>
  </si>
  <si>
    <t>2.13亿</t>
  </si>
  <si>
    <t>1.93亿</t>
  </si>
  <si>
    <t>9.36亿</t>
  </si>
  <si>
    <t>1.36亿</t>
  </si>
  <si>
    <t>流动资产</t>
  </si>
  <si>
    <t>营业收入[20191231]</t>
  </si>
  <si>
    <t>营业收入[20181231]</t>
  </si>
  <si>
    <t>营业收入[20171231]</t>
  </si>
  <si>
    <t>净利润[20191231]</t>
  </si>
  <si>
    <t>净利润[20181231]</t>
  </si>
  <si>
    <t>净利润[20171231]</t>
  </si>
  <si>
    <t>1.31亿</t>
  </si>
  <si>
    <t>905.97万</t>
  </si>
  <si>
    <t>1.11亿</t>
  </si>
  <si>
    <t>489.29万</t>
  </si>
  <si>
    <t>26.01亿</t>
  </si>
  <si>
    <t>25.03亿</t>
  </si>
  <si>
    <t>22.53亿</t>
  </si>
  <si>
    <t>1.33亿</t>
  </si>
  <si>
    <t>49.79亿</t>
  </si>
  <si>
    <t>50.54亿</t>
  </si>
  <si>
    <t>-2.18亿</t>
  </si>
  <si>
    <t>46.52亿</t>
  </si>
  <si>
    <t>11.00亿</t>
  </si>
  <si>
    <t>41.65亿</t>
  </si>
  <si>
    <t>2.48亿</t>
  </si>
  <si>
    <t>1.73亿</t>
  </si>
  <si>
    <t>6.32亿</t>
  </si>
  <si>
    <t>6.00亿</t>
  </si>
  <si>
    <t>2.44亿</t>
  </si>
  <si>
    <t>1.56亿</t>
  </si>
  <si>
    <t>1.09亿</t>
  </si>
  <si>
    <t>16.80亿</t>
  </si>
  <si>
    <t>1.16亿</t>
  </si>
  <si>
    <t>5.99亿</t>
  </si>
  <si>
    <t>19.54亿</t>
  </si>
  <si>
    <t>11.92亿</t>
  </si>
  <si>
    <t>-8156.07万</t>
  </si>
  <si>
    <t>2.08亿</t>
  </si>
  <si>
    <t>12.89亿</t>
  </si>
  <si>
    <t>4.97亿</t>
  </si>
  <si>
    <t>3.39亿</t>
  </si>
  <si>
    <t>2.29亿</t>
  </si>
  <si>
    <t>6898.63万</t>
  </si>
  <si>
    <t>5.59亿</t>
  </si>
  <si>
    <t>6821.59万</t>
  </si>
  <si>
    <t>5.31亿</t>
  </si>
  <si>
    <t>4.29亿</t>
  </si>
  <si>
    <t>8084.65万</t>
  </si>
  <si>
    <t>5.46亿</t>
  </si>
  <si>
    <t>4.34亿</t>
  </si>
  <si>
    <t>7421.21万</t>
  </si>
  <si>
    <t>SZ300930</t>
  </si>
  <si>
    <t>屹通新材</t>
  </si>
  <si>
    <t>6369.14万</t>
  </si>
  <si>
    <t>3.06亿</t>
  </si>
  <si>
    <t>5910.05万</t>
  </si>
  <si>
    <t>4330.35万</t>
  </si>
  <si>
    <t>SZ300963</t>
  </si>
  <si>
    <t>中洲特材</t>
  </si>
  <si>
    <t>6108.57万</t>
  </si>
  <si>
    <t>5.94亿</t>
  </si>
  <si>
    <t>6397.43万</t>
  </si>
  <si>
    <t>6100.75万</t>
  </si>
  <si>
    <t>23.99亿</t>
  </si>
  <si>
    <t>1.78亿</t>
  </si>
  <si>
    <t>19.48亿</t>
  </si>
  <si>
    <t>20.26亿</t>
  </si>
  <si>
    <t>2630.22万</t>
  </si>
  <si>
    <t>8932.87万</t>
  </si>
  <si>
    <t>23.05亿</t>
  </si>
  <si>
    <t>4420.38万</t>
  </si>
  <si>
    <t>13.25亿</t>
  </si>
  <si>
    <t>5783.08万</t>
  </si>
  <si>
    <t>9.86亿</t>
  </si>
  <si>
    <t>2812.74万</t>
  </si>
  <si>
    <t>1.25亿</t>
  </si>
  <si>
    <t>7.82亿</t>
  </si>
  <si>
    <t>5220.15万</t>
  </si>
  <si>
    <t>5.86亿</t>
  </si>
  <si>
    <t>4.80亿</t>
  </si>
  <si>
    <t>4147.72万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</si>
  <si>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</si>
  <si>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</si>
  <si>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</si>
  <si>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</si>
  <si>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</si>
  <si>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</si>
  <si>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</si>
  <si>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</si>
  <si>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</si>
  <si>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</si>
  <si>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</si>
  <si>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</si>
  <si>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</si>
  <si>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</si>
  <si>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</si>
  <si>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金属新材料</t>
  </si>
  <si>
    <t>5.22亿</t>
  </si>
  <si>
    <t>1.94亿</t>
  </si>
  <si>
    <t>1.20亿</t>
  </si>
  <si>
    <t>SH600255</t>
  </si>
  <si>
    <t>鑫科材料</t>
  </si>
  <si>
    <t>22.38亿</t>
  </si>
  <si>
    <t>35.45亿</t>
  </si>
  <si>
    <t>50.19亿</t>
  </si>
  <si>
    <t>1.50亿</t>
  </si>
  <si>
    <t>宁波韵升</t>
  </si>
  <si>
    <t>SH601137</t>
  </si>
  <si>
    <t>博威合金</t>
  </si>
  <si>
    <t>75.89亿</t>
  </si>
  <si>
    <t>75.92亿</t>
  </si>
  <si>
    <t>72.97亿</t>
  </si>
  <si>
    <t>4.40亿</t>
  </si>
  <si>
    <t>3.97亿</t>
  </si>
  <si>
    <t>7.26亿</t>
  </si>
  <si>
    <t>SH688786</t>
  </si>
  <si>
    <t>悦安新材</t>
  </si>
  <si>
    <t>5182.76万</t>
  </si>
  <si>
    <t>5296.45万</t>
  </si>
  <si>
    <t>4336.42万</t>
  </si>
  <si>
    <t>1.年产3,300件复杂薄壁高温合金结构件建设项目”预计2022年底建成达产；2.年产1,000吨超纯净高性能高温合金材料建设项目”预计2022年7月份建成达产;3.受益于下游军用航空发动机高景气需求，公司业务发展前景较好，尤其是军品占比较高的铸造高温合金业务和特种不锈钢业务，将迎来较高增速</t>
    <phoneticPr fontId="1" type="noConversion"/>
  </si>
  <si>
    <t>流通股本</t>
  </si>
  <si>
    <t>净利润[20201231]</t>
  </si>
  <si>
    <t>投入资本回报率roic%[20201231]</t>
  </si>
  <si>
    <t>净资产收益率%[20201231]</t>
  </si>
  <si>
    <t>334.44万</t>
  </si>
  <si>
    <t>37.60亿</t>
  </si>
  <si>
    <t>1.72亿</t>
  </si>
  <si>
    <t>71.46亿</t>
  </si>
  <si>
    <t>3.99亿</t>
  </si>
  <si>
    <t>1.54亿</t>
  </si>
  <si>
    <t>8.61亿</t>
  </si>
  <si>
    <t>33.70亿</t>
  </si>
  <si>
    <t>2.65亿</t>
  </si>
  <si>
    <t>4.53亿</t>
  </si>
  <si>
    <t>40.80亿</t>
  </si>
  <si>
    <t>24.17亿</t>
  </si>
  <si>
    <t>8.05亿</t>
  </si>
  <si>
    <t>6.98亿</t>
  </si>
  <si>
    <t>1.64亿</t>
  </si>
  <si>
    <t>9619.82万</t>
  </si>
  <si>
    <t>6.85亿</t>
  </si>
  <si>
    <t>4610.88万</t>
  </si>
  <si>
    <t>37.54亿</t>
  </si>
  <si>
    <t>5.18亿</t>
  </si>
  <si>
    <t>7.00亿</t>
  </si>
  <si>
    <t>3.10亿</t>
  </si>
  <si>
    <t>29.31亿</t>
  </si>
  <si>
    <t>5709.25万</t>
  </si>
  <si>
    <t>13.76亿</t>
  </si>
  <si>
    <t>2878.22万</t>
  </si>
  <si>
    <t>16.55亿</t>
  </si>
  <si>
    <t>1.52亿</t>
  </si>
  <si>
    <t>SH688190</t>
  </si>
  <si>
    <t>云路股份</t>
  </si>
  <si>
    <t>7.15亿</t>
  </si>
  <si>
    <t>7.35亿</t>
  </si>
  <si>
    <t>9584.76万</t>
  </si>
  <si>
    <t>8244.69万</t>
  </si>
  <si>
    <t>6486.75万</t>
  </si>
  <si>
    <t xml:space="preserve">    名称</t>
  </si>
  <si>
    <t>净利润?</t>
  </si>
  <si>
    <t>投入资本回报率roic%[20211231]</t>
  </si>
  <si>
    <t>净资产收益率%[20211231]</t>
  </si>
  <si>
    <t>单季营收增速</t>
  </si>
  <si>
    <t>单季利润增速</t>
  </si>
  <si>
    <t>1.71亿</t>
  </si>
  <si>
    <t/>
  </si>
  <si>
    <t>未来</t>
    <phoneticPr fontId="1" type="noConversion"/>
  </si>
  <si>
    <t>公司累计回报</t>
    <phoneticPr fontId="1" type="noConversion"/>
  </si>
  <si>
    <r>
      <t>1.2021年公司</t>
    </r>
    <r>
      <rPr>
        <sz val="9"/>
        <color rgb="FFFF0000"/>
        <rFont val="宋体"/>
        <family val="3"/>
        <charset val="134"/>
        <scheme val="minor"/>
      </rPr>
      <t>新能源汽车及汽车零部件领域</t>
    </r>
    <r>
      <rPr>
        <sz val="9"/>
        <color theme="1"/>
        <rFont val="宋体"/>
        <family val="2"/>
        <charset val="134"/>
        <scheme val="minor"/>
      </rPr>
      <t>收入达到10.51亿元，较上年</t>
    </r>
    <r>
      <rPr>
        <sz val="9"/>
        <color rgb="FFFF0000"/>
        <rFont val="宋体"/>
        <family val="3"/>
        <charset val="134"/>
        <scheme val="minor"/>
      </rPr>
      <t>同期增长222.73%</t>
    </r>
    <r>
      <rPr>
        <sz val="9"/>
        <color theme="1"/>
        <rFont val="宋体"/>
        <family val="2"/>
        <charset val="134"/>
        <scheme val="minor"/>
      </rPr>
      <t>，2021年公司节能</t>
    </r>
    <r>
      <rPr>
        <sz val="9"/>
        <color rgb="FFFF0000"/>
        <rFont val="宋体"/>
        <family val="3"/>
        <charset val="134"/>
        <scheme val="minor"/>
      </rPr>
      <t>变频空调领域</t>
    </r>
    <r>
      <rPr>
        <sz val="9"/>
        <color theme="1"/>
        <rFont val="宋体"/>
        <family val="2"/>
        <charset val="134"/>
        <scheme val="minor"/>
      </rPr>
      <t>收入达到14.00亿元，较上年同期</t>
    </r>
    <r>
      <rPr>
        <sz val="9"/>
        <color rgb="FFFF0000"/>
        <rFont val="宋体"/>
        <family val="3"/>
        <charset val="134"/>
        <scheme val="minor"/>
      </rPr>
      <t>增长59.41%</t>
    </r>
    <r>
      <rPr>
        <sz val="9"/>
        <color theme="1"/>
        <rFont val="宋体"/>
        <family val="2"/>
        <charset val="134"/>
        <scheme val="minor"/>
      </rPr>
      <t>，2021年公司风力发电领域收入达8.87亿元，与去年基本持平；2.2020年，按使用高性能钕铁硼永磁材料的</t>
    </r>
    <r>
      <rPr>
        <sz val="9"/>
        <color rgb="FFFF0000"/>
        <rFont val="宋体"/>
        <family val="3"/>
        <charset val="134"/>
        <scheme val="minor"/>
      </rPr>
      <t>乘用新能源汽车数量计，金力永磁在全球排名第一；</t>
    </r>
    <r>
      <rPr>
        <sz val="9"/>
        <rFont val="宋体"/>
        <family val="3"/>
        <charset val="134"/>
        <scheme val="minor"/>
      </rPr>
      <t>2020年，在全球所有稀土永磁生产商中，以装备节能变频空
调压缩机的数量计算，</t>
    </r>
    <r>
      <rPr>
        <sz val="9"/>
        <color rgb="FFFF0000"/>
        <rFont val="宋体"/>
        <family val="3"/>
        <charset val="134"/>
        <scheme val="minor"/>
      </rPr>
      <t>金力永磁排名第一，市场份额约为31.5%；</t>
    </r>
    <r>
      <rPr>
        <sz val="9"/>
        <rFont val="宋体"/>
        <family val="3"/>
        <charset val="134"/>
        <scheme val="minor"/>
      </rPr>
      <t>2020年，按永磁风力发电机新装机容量计算，在全球所有稀土永磁
生产商中，</t>
    </r>
    <r>
      <rPr>
        <sz val="9"/>
        <color rgb="FFFF0000"/>
        <rFont val="宋体"/>
        <family val="3"/>
        <charset val="134"/>
        <scheme val="minor"/>
      </rPr>
      <t>金力永磁排名第一，市场份额约为40.3%；</t>
    </r>
    <r>
      <rPr>
        <sz val="9"/>
        <color theme="1"/>
        <rFont val="宋体"/>
        <family val="2"/>
        <charset val="134"/>
        <scheme val="minor"/>
      </rPr>
      <t>3.公司的高性能钕铁硼永磁材料毛坯总年产能将达23,000吨，且生产基地由单一工厂向多地工厂的集团化迈进。公司规划在未来数年间持续大幅增加产能，力争到2025年高性能钕铁硼永磁材料毛坯的年产能达到40,000吨;</t>
    </r>
    <phoneticPr fontId="1" type="noConversion"/>
  </si>
  <si>
    <t>1.稀土原材料价格波动的风险，下游新产业的政策支持减弱风险</t>
    <phoneticPr fontId="1" type="noConversion"/>
  </si>
  <si>
    <t>1.钕铁硼磁体理论磁能积为64MGOe，目前日立NEOMAX已研制出了磁能积高达59.6MGOe（Br=15.55KGs，HcJ=8.2kOe）的磁体。</t>
    <phoneticPr fontId="1" type="noConversion"/>
  </si>
  <si>
    <t>1.以混合动力汽车电机为例，由于工作环境温度较高，只有具备高矫顽力和突出的高温性能的磁体才能满足该领域的需求。2.继续围绕新能源汽车、高端电子消费市场、先进轨道交通装备、节能家电、高档数控机床和机器人等关键应用领域，不断研究具有核心自主知识产权的稀土永磁新材料；</t>
    <phoneticPr fontId="1" type="noConversion"/>
  </si>
  <si>
    <t>1.高毅调研；50亿市值，上市次新（2021年7月份上市）</t>
    <phoneticPr fontId="1" type="noConversion"/>
  </si>
  <si>
    <t>1.排名不高；2.2021年下半年炒过两次随后回落到目前相对低点</t>
    <phoneticPr fontId="1" type="noConversion"/>
  </si>
  <si>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</si>
  <si>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</si>
  <si>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</si>
  <si>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</si>
  <si>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</si>
  <si>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</si>
  <si>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</si>
  <si>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</si>
  <si>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</si>
  <si>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</si>
  <si>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</si>
  <si>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</si>
  <si>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</si>
  <si>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</si>
  <si>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</si>
  <si>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</si>
  <si>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</si>
  <si>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</si>
  <si>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</si>
  <si>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1.a.5 万吨特殊合金带材项目：汽车电子材料将可实现批量供货，其他行业所用的材料已经开始逐步出货；b.6700 吨铝焊丝项目：该项目主要应用行业为高铁行业;c.贝肯霍夫（越南）31,800 吨棒、线项目;d.氧化铝弥散铜项目产品已经获取标杆客户认可，且实现小批量供货；e.智能终端镜头专用材料项目完成标杆客户的测试工作，目前生产设备正在进行调试，取得国际专利后开始规模化量产。</t>
    <phoneticPr fontId="1" type="noConversion"/>
  </si>
  <si>
    <t>1.原材料价格持续上涨的风险：公司生产经营所需的原材料主要是铜、锌、镍、锡等有
色金属，占产品生产成本的比重较大;</t>
    <phoneticPr fontId="1" type="noConversion"/>
  </si>
  <si>
    <t>1.公司高温耐蚀合金产品产业链完整，综合优势明显，为客户打造“一站式”定制化服务；2.产品应用领域涵盖石油化工、化学工业、核电、汽车零部件、新能源、航天、军工、船舶、环保、医用新材料、海水淡化、3D打印合金粉末、玻璃模具、页岩气等众多领域。</t>
    <phoneticPr fontId="1" type="noConversion"/>
  </si>
  <si>
    <r>
      <t>1.问：应流股份的毛利率达到了30%多，高于中洲特材的毛利率，主要原因是什么？答：应流股份主营泵及阀门零部件，其产品中也有较高比例的航空航天及核电类客户，且应流股份主要提供零部件成品，带有下游的加工附加值，而公司产品中还有部分比例的毛坯及粗加工产品，故其毛利率较公司高。</t>
    </r>
    <r>
      <rPr>
        <sz val="9"/>
        <color rgb="FFFF0000"/>
        <rFont val="宋体"/>
        <family val="3"/>
        <charset val="134"/>
        <scheme val="minor"/>
      </rPr>
      <t>上海地区制造业用工成本高</t>
    </r>
    <r>
      <rPr>
        <sz val="9"/>
        <color theme="1"/>
        <rFont val="宋体"/>
        <family val="2"/>
        <charset val="134"/>
        <scheme val="minor"/>
      </rPr>
      <t>也是因素之一；</t>
    </r>
    <phoneticPr fontId="1" type="noConversion"/>
  </si>
  <si>
    <r>
      <t>1.双轮：焦永磁及电机部件（</t>
    </r>
    <r>
      <rPr>
        <sz val="9"/>
        <color rgb="FFFF0000"/>
        <rFont val="宋体"/>
        <family val="3"/>
        <charset val="134"/>
        <scheme val="minor"/>
      </rPr>
      <t>目前主要应收来源</t>
    </r>
    <r>
      <rPr>
        <sz val="9"/>
        <color theme="1"/>
        <rFont val="宋体"/>
        <family val="2"/>
        <charset val="134"/>
        <scheme val="minor"/>
      </rPr>
      <t>）、软磁及新能源器件，均与新能源大赛道有相关性；
2.目前永磁铁氧体湿压磁瓦规模位居</t>
    </r>
    <r>
      <rPr>
        <sz val="9"/>
        <color rgb="FFFF0000"/>
        <rFont val="宋体"/>
        <family val="3"/>
        <charset val="134"/>
        <scheme val="minor"/>
      </rPr>
      <t xml:space="preserve">全国第二，全球前五；
</t>
    </r>
    <r>
      <rPr>
        <sz val="9"/>
        <rFont val="宋体"/>
        <family val="3"/>
        <charset val="134"/>
        <scheme val="minor"/>
      </rPr>
      <t xml:space="preserve">3.客户认证周期最长可达3-5年，因而客户是行业竞争关键壁垒；
</t>
    </r>
    <r>
      <rPr>
        <sz val="9"/>
        <color rgb="FFFF0000"/>
        <rFont val="宋体"/>
        <family val="3"/>
        <charset val="134"/>
        <scheme val="minor"/>
      </rPr>
      <t>4.新能源赛道的高速成长，软磁及新能源业务板块有望带来巨大成长空间？</t>
    </r>
    <r>
      <rPr>
        <sz val="9"/>
        <color theme="1"/>
        <rFont val="宋体"/>
        <family val="2"/>
        <charset val="134"/>
        <scheme val="minor"/>
      </rPr>
      <t xml:space="preserve">
</t>
    </r>
    <phoneticPr fontId="1" type="noConversion"/>
  </si>
  <si>
    <t>1.软磁及新能源业务暂未表现到营收上？成长空间完全是预测，没有历史数据参考
2.</t>
    <phoneticPr fontId="1" type="noConversion"/>
  </si>
  <si>
    <t>细分行业</t>
  </si>
  <si>
    <t>1.75亿</t>
  </si>
  <si>
    <t>其他金属新材料</t>
  </si>
  <si>
    <t>磁性材料</t>
  </si>
  <si>
    <t>9.68亿</t>
  </si>
  <si>
    <t>4.48亿</t>
  </si>
  <si>
    <t>2.11亿</t>
  </si>
  <si>
    <t>SH688102</t>
  </si>
  <si>
    <t>斯瑞新材</t>
  </si>
  <si>
    <t>6336.22万</t>
  </si>
  <si>
    <t>6.81亿</t>
  </si>
  <si>
    <t>5.66亿</t>
  </si>
  <si>
    <t>4.92亿</t>
  </si>
  <si>
    <t>3.93亿</t>
  </si>
  <si>
    <t>5210.53万</t>
  </si>
  <si>
    <t>3049.96万</t>
  </si>
  <si>
    <t>1722.80万</t>
  </si>
  <si>
    <t>涨幅</t>
  </si>
  <si>
    <t>折现率</t>
    <phoneticPr fontId="1" type="noConversion"/>
  </si>
  <si>
    <t>1年自由现金流折现</t>
    <phoneticPr fontId="1" type="noConversion"/>
  </si>
  <si>
    <t>1增速</t>
    <phoneticPr fontId="1" type="noConversion"/>
  </si>
  <si>
    <t>3增速</t>
    <phoneticPr fontId="1" type="noConversion"/>
  </si>
  <si>
    <t>清算价格</t>
    <phoneticPr fontId="1" type="noConversion"/>
  </si>
  <si>
    <t>策略1营收单季最佳增速</t>
    <phoneticPr fontId="1" type="noConversion"/>
  </si>
  <si>
    <t>价格变动策略</t>
    <phoneticPr fontId="1" type="noConversion"/>
  </si>
  <si>
    <t>机会区域号</t>
    <phoneticPr fontId="1" type="noConversion"/>
  </si>
  <si>
    <t>30日成交换手率</t>
    <phoneticPr fontId="1" type="noConversion"/>
  </si>
  <si>
    <t>成交量异动策略</t>
    <phoneticPr fontId="1" type="noConversion"/>
  </si>
  <si>
    <t>价格箱体形态过滤</t>
    <phoneticPr fontId="1" type="noConversion"/>
  </si>
  <si>
    <t>N日期</t>
    <phoneticPr fontId="1" type="noConversion"/>
  </si>
  <si>
    <t>N-4</t>
    <phoneticPr fontId="1" type="noConversion"/>
  </si>
  <si>
    <t>N-1</t>
    <phoneticPr fontId="1" type="noConversion"/>
  </si>
  <si>
    <t>不分配不转增</t>
  </si>
  <si>
    <t>1.51亿</t>
  </si>
  <si>
    <t>1.24亿</t>
  </si>
  <si>
    <t>10派2元(含税)</t>
  </si>
  <si>
    <t>10派1元(含税)</t>
  </si>
  <si>
    <t>1.45亿</t>
  </si>
  <si>
    <t>1.23亿</t>
  </si>
  <si>
    <t>8.72亿</t>
  </si>
  <si>
    <t>1.79亿</t>
  </si>
  <si>
    <t>成交量[20230509]</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</si>
  <si>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</si>
  <si>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</si>
  <si>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</si>
  <si>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</si>
  <si>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</si>
  <si>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</si>
  <si>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</si>
  <si>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</si>
  <si>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</si>
  <si>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</si>
  <si>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</si>
  <si>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</si>
  <si>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</si>
  <si>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</si>
  <si>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</si>
  <si>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</si>
  <si>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</si>
  <si>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</si>
  <si>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</si>
  <si>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</si>
  <si>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</si>
  <si>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</si>
  <si>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</si>
  <si>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</si>
  <si>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</si>
  <si>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</si>
  <si>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</si>
  <si>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</si>
  <si>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</si>
  <si>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</si>
  <si>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</si>
  <si>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</si>
  <si>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</si>
  <si>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</si>
  <si>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</si>
  <si>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</si>
  <si>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</si>
  <si>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</si>
  <si>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</si>
  <si>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</si>
  <si>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</si>
  <si>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</si>
  <si>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区间涨跌幅:前复权%[20230428-20230509]</t>
  </si>
  <si>
    <t>指数@区间涨跌幅:不复权%[20230323-20230509]</t>
  </si>
  <si>
    <t>区间成交量[20230428-20230509]</t>
  </si>
  <si>
    <t>区间成交量[20230323-20230509]</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</si>
  <si>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</si>
  <si>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</si>
  <si>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</si>
  <si>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</si>
  <si>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</si>
  <si>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</si>
  <si>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</si>
  <si>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</si>
  <si>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</si>
  <si>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</si>
  <si>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</si>
  <si>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</si>
  <si>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原始顺序</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</si>
  <si>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</si>
  <si>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</si>
  <si>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</si>
  <si>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</si>
  <si>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</si>
  <si>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</si>
  <si>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</si>
  <si>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</si>
  <si>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5日成交换手率</t>
    <phoneticPr fontId="1" type="noConversion"/>
  </si>
  <si>
    <t>昨日价格累计指数</t>
    <phoneticPr fontId="1" type="noConversion"/>
  </si>
  <si>
    <t>今日价格累积指数</t>
    <phoneticPr fontId="1" type="noConversion"/>
  </si>
  <si>
    <t>价格右侧初期策略</t>
    <phoneticPr fontId="1" type="noConversion"/>
  </si>
  <si>
    <t>N-3</t>
    <phoneticPr fontId="1" type="noConversion"/>
  </si>
  <si>
    <t>N-2</t>
    <phoneticPr fontId="1" type="noConversion"/>
  </si>
  <si>
    <t>N</t>
    <phoneticPr fontId="1" type="noConversion"/>
  </si>
  <si>
    <t>589.28万</t>
  </si>
  <si>
    <t>47.32亿</t>
  </si>
  <si>
    <t>2.59亿</t>
  </si>
  <si>
    <t>10.32亿</t>
  </si>
  <si>
    <t>74.06亿</t>
  </si>
  <si>
    <t>63.27亿</t>
  </si>
  <si>
    <t>-1-0</t>
  </si>
  <si>
    <t>97.16亿</t>
  </si>
  <si>
    <t>8.48亿</t>
  </si>
  <si>
    <t>9.92亿</t>
  </si>
  <si>
    <t>1.28亿</t>
  </si>
  <si>
    <t>10派4元(含税)</t>
  </si>
  <si>
    <t>63.19亿</t>
  </si>
  <si>
    <t>4.04亿</t>
  </si>
  <si>
    <t>71.65亿</t>
  </si>
  <si>
    <t>7.03亿</t>
  </si>
  <si>
    <t>10.66亿</t>
  </si>
  <si>
    <t>10.40亿</t>
  </si>
  <si>
    <t>9.28亿</t>
  </si>
  <si>
    <t>1-0</t>
  </si>
  <si>
    <t>2.55亿</t>
  </si>
  <si>
    <t>1.32亿</t>
  </si>
  <si>
    <t>3.87亿</t>
  </si>
  <si>
    <t>9156.09万</t>
  </si>
  <si>
    <t>8000.60万</t>
  </si>
  <si>
    <t>1.34亿</t>
  </si>
  <si>
    <t>SZ301141</t>
  </si>
  <si>
    <t>中科磁业</t>
  </si>
  <si>
    <t>6.19亿</t>
  </si>
  <si>
    <t>8938.22万</t>
  </si>
  <si>
    <t>1.01亿</t>
  </si>
  <si>
    <t>5.45亿</t>
  </si>
  <si>
    <t>3.78亿</t>
  </si>
  <si>
    <t>2.60亿</t>
  </si>
  <si>
    <t>2.35亿</t>
  </si>
  <si>
    <t>8514.62万</t>
  </si>
  <si>
    <t>5643.70万</t>
  </si>
  <si>
    <t>2811.26万</t>
  </si>
  <si>
    <t>1357.89万</t>
  </si>
  <si>
    <t>30.93亿</t>
  </si>
  <si>
    <t>64.09亿</t>
  </si>
  <si>
    <t>3.56亿</t>
  </si>
  <si>
    <t>26.81亿</t>
  </si>
  <si>
    <t>134.48亿</t>
  </si>
  <si>
    <t>5.37亿</t>
  </si>
  <si>
    <t>21.93亿</t>
  </si>
  <si>
    <t>2976.99万</t>
  </si>
  <si>
    <t>15.24亿</t>
  </si>
  <si>
    <t>扭亏</t>
  </si>
  <si>
    <t>21.19亿</t>
  </si>
  <si>
    <t>10转4股派6元(含税)</t>
  </si>
  <si>
    <t>9.94亿</t>
  </si>
  <si>
    <t>14.47亿</t>
  </si>
  <si>
    <t>2.27亿</t>
  </si>
  <si>
    <t>4.28亿</t>
  </si>
  <si>
    <t>9879.53万</t>
  </si>
  <si>
    <t>8868.31万</t>
  </si>
  <si>
    <t>2-0</t>
  </si>
  <si>
    <t>1.17亿</t>
  </si>
  <si>
    <t>1-1</t>
  </si>
  <si>
    <t>1.15万</t>
  </si>
  <si>
    <t>-3-1</t>
  </si>
  <si>
    <t>2.41亿</t>
  </si>
  <si>
    <t>6.50亿</t>
  </si>
  <si>
    <t>2.74亿</t>
  </si>
  <si>
    <t>11.80亿</t>
  </si>
  <si>
    <t>-3-0</t>
  </si>
  <si>
    <t>1.70亿</t>
  </si>
  <si>
    <t>8000.00万</t>
  </si>
  <si>
    <t>2.21亿</t>
  </si>
  <si>
    <t>2.75亿</t>
  </si>
  <si>
    <t>4.72亿</t>
  </si>
  <si>
    <t>7.27亿</t>
  </si>
  <si>
    <t>1.49亿</t>
  </si>
  <si>
    <t>1.85亿</t>
  </si>
  <si>
    <t>-5-1</t>
  </si>
  <si>
    <t>2.05亿</t>
  </si>
  <si>
    <t>1.44亿</t>
  </si>
  <si>
    <t>1.61亿</t>
  </si>
  <si>
    <t>3.35亿</t>
  </si>
  <si>
    <t>1.46亿</t>
  </si>
  <si>
    <t>1.27亿</t>
  </si>
  <si>
    <t>1.80亿</t>
  </si>
  <si>
    <t>2.58亿</t>
  </si>
  <si>
    <t>9.04亿</t>
  </si>
  <si>
    <t>3.32亿</t>
  </si>
  <si>
    <t>1.86亿</t>
  </si>
  <si>
    <t>9.93亿</t>
  </si>
  <si>
    <t>100.44亿</t>
  </si>
  <si>
    <t>2.77亿</t>
  </si>
  <si>
    <t>16.51亿</t>
  </si>
  <si>
    <t>11.73亿</t>
  </si>
  <si>
    <t>10.31亿</t>
  </si>
  <si>
    <t>SH605158</t>
  </si>
  <si>
    <t>华达新材</t>
  </si>
  <si>
    <t>81.12亿</t>
  </si>
  <si>
    <t>2.02亿</t>
  </si>
  <si>
    <t>85.06亿</t>
  </si>
  <si>
    <t>61.01亿</t>
  </si>
  <si>
    <t>54.84亿</t>
  </si>
  <si>
    <t>52.51亿</t>
  </si>
  <si>
    <t>1.91亿</t>
  </si>
  <si>
    <t>10.70亿</t>
  </si>
  <si>
    <t>1.13亿</t>
  </si>
  <si>
    <t>81.21万</t>
  </si>
  <si>
    <t>1.87亿</t>
  </si>
  <si>
    <t>5.60亿</t>
  </si>
  <si>
    <t>4.85亿</t>
  </si>
  <si>
    <t>SH688456</t>
  </si>
  <si>
    <t>有研粉材</t>
  </si>
  <si>
    <t>27.81亿</t>
  </si>
  <si>
    <t>5544.43万</t>
  </si>
  <si>
    <t>17.36亿</t>
  </si>
  <si>
    <t>17.12亿</t>
  </si>
  <si>
    <t>17.98亿</t>
  </si>
  <si>
    <t>8123.01万</t>
  </si>
  <si>
    <t>6019.23万</t>
  </si>
  <si>
    <t>6229.04万</t>
  </si>
  <si>
    <t>6.83亿</t>
  </si>
  <si>
    <r>
      <t>1.10大股东</t>
    </r>
    <r>
      <rPr>
        <sz val="9"/>
        <color rgb="FFFF0000"/>
        <rFont val="宋体"/>
        <family val="3"/>
        <charset val="134"/>
        <scheme val="minor"/>
      </rPr>
      <t>占比78%</t>
    </r>
    <r>
      <rPr>
        <sz val="9"/>
        <color theme="1"/>
        <rFont val="宋体"/>
        <family val="2"/>
        <charset val="134"/>
        <scheme val="minor"/>
      </rPr>
      <t>；</t>
    </r>
    <phoneticPr fontId="1" type="noConversion"/>
  </si>
  <si>
    <r>
      <t>1.仅</t>
    </r>
    <r>
      <rPr>
        <b/>
        <sz val="9"/>
        <color rgb="FFFF0000"/>
        <rFont val="宋体"/>
        <family val="3"/>
        <charset val="134"/>
        <scheme val="minor"/>
      </rPr>
      <t>屹通新材、鞍钢粉材、鲁银新材(莱钢粉末)及吉凯恩(霸州)</t>
    </r>
    <r>
      <rPr>
        <sz val="9"/>
        <color theme="1"/>
        <rFont val="宋体"/>
        <family val="2"/>
        <charset val="134"/>
        <scheme val="minor"/>
      </rPr>
      <t>等企业，凭借规模、技术 及先发优势占据较高的市场份额，在市场口碑、客户基础等方面建立优势。2018-2020 莱 钢粉末、鞍钢粉材、屹通新材及吉凯恩（霸州）四家企业占钢协粉体会员单位总销量占比 超一半；2.屹通新材和</t>
    </r>
    <r>
      <rPr>
        <b/>
        <sz val="9"/>
        <color rgb="FFFF0000"/>
        <rFont val="宋体"/>
        <family val="3"/>
        <charset val="134"/>
        <scheme val="minor"/>
      </rPr>
      <t>赫格纳斯（全球最大铁基金属粉体供应商）</t>
    </r>
    <r>
      <rPr>
        <sz val="9"/>
        <color theme="1"/>
        <rFont val="宋体"/>
        <family val="2"/>
        <charset val="134"/>
        <scheme val="minor"/>
      </rPr>
      <t>对比，国内铁粉成本优势明显。</t>
    </r>
    <phoneticPr fontId="1" type="noConversion"/>
  </si>
  <si>
    <t>2.14亿</t>
  </si>
  <si>
    <t>670.35万</t>
  </si>
  <si>
    <t>5496.86万</t>
  </si>
  <si>
    <t>4481.11万</t>
  </si>
  <si>
    <t>2.34亿</t>
  </si>
  <si>
    <t>581.62万</t>
  </si>
  <si>
    <t>4126.39万</t>
  </si>
  <si>
    <t>3860.78万</t>
  </si>
  <si>
    <t>119.91万</t>
  </si>
  <si>
    <t>254.77万</t>
  </si>
  <si>
    <t>-76.91亿</t>
  </si>
  <si>
    <t>1223395亿</t>
  </si>
  <si>
    <t>2479.03万</t>
  </si>
  <si>
    <t>39634950亿</t>
  </si>
  <si>
    <t>1003.07万</t>
  </si>
  <si>
    <t>136853650亿</t>
  </si>
  <si>
    <t>500.59万</t>
  </si>
  <si>
    <t>985.86万</t>
  </si>
  <si>
    <t>2344.96万</t>
  </si>
  <si>
    <t>2330.35万</t>
  </si>
  <si>
    <t>931.42万</t>
  </si>
  <si>
    <t>853.13万</t>
  </si>
  <si>
    <t>-98.99万</t>
  </si>
  <si>
    <t>4671.83万</t>
  </si>
  <si>
    <t>119.75万</t>
  </si>
  <si>
    <t>3693.21万</t>
  </si>
  <si>
    <t>1.92亿</t>
  </si>
  <si>
    <t>-6-1</t>
  </si>
  <si>
    <t>1206.77万</t>
  </si>
  <si>
    <t>15.56亿</t>
  </si>
  <si>
    <t>26.96亿</t>
  </si>
  <si>
    <t>8.57亿</t>
  </si>
  <si>
    <t>38.49亿</t>
  </si>
  <si>
    <t>8671.22万</t>
  </si>
  <si>
    <t>7.92亿</t>
  </si>
  <si>
    <t>6.82亿</t>
  </si>
  <si>
    <t>1837.58万</t>
  </si>
  <si>
    <t>4815.76万</t>
  </si>
  <si>
    <t>204819亿</t>
  </si>
  <si>
    <t>13.54万</t>
  </si>
  <si>
    <t>62894231亿</t>
  </si>
  <si>
    <t>6.73亿</t>
  </si>
  <si>
    <t>923312130亿</t>
  </si>
  <si>
    <t>329.10万</t>
  </si>
  <si>
    <t>2995009700亿</t>
  </si>
  <si>
    <t>3630.20万</t>
  </si>
  <si>
    <t>6602.07万</t>
  </si>
  <si>
    <t>12.50亿</t>
  </si>
  <si>
    <t>2023.35万</t>
  </si>
  <si>
    <t>2308.69万</t>
  </si>
  <si>
    <t>-3449.00万</t>
  </si>
  <si>
    <t>-2.41亿</t>
  </si>
  <si>
    <t>8.43亿</t>
  </si>
  <si>
    <t>3876.00万</t>
  </si>
  <si>
    <t>10派0.271427元(含税)</t>
  </si>
  <si>
    <t>1.06亿</t>
  </si>
  <si>
    <t>752.09万</t>
  </si>
  <si>
    <t>46.99亿</t>
  </si>
  <si>
    <t>65.53亿</t>
  </si>
  <si>
    <t>18.91亿</t>
  </si>
  <si>
    <t>81.87亿</t>
  </si>
  <si>
    <t>2.49亿</t>
  </si>
  <si>
    <t>18.05亿</t>
  </si>
  <si>
    <t>15.39亿</t>
  </si>
  <si>
    <t>3401.65万</t>
  </si>
  <si>
    <t>-250358亿</t>
  </si>
  <si>
    <t>16.59万</t>
  </si>
  <si>
    <t>74624365亿</t>
  </si>
  <si>
    <t>23.02亿</t>
  </si>
  <si>
    <t>1333758800亿</t>
  </si>
  <si>
    <t>6746766400亿</t>
  </si>
  <si>
    <t>2.04亿</t>
  </si>
  <si>
    <t>15.34亿</t>
  </si>
  <si>
    <t>37.76亿</t>
  </si>
  <si>
    <t>-3.01亿</t>
  </si>
  <si>
    <t>-2.11亿</t>
  </si>
  <si>
    <t>2195.03万</t>
  </si>
  <si>
    <t>21.08亿</t>
  </si>
  <si>
    <t>7676.27万</t>
  </si>
  <si>
    <t>10派0.8元(含税)</t>
  </si>
  <si>
    <t>4707.37万</t>
  </si>
  <si>
    <t>3.49亿</t>
  </si>
  <si>
    <t>-1-1</t>
  </si>
  <si>
    <t>733.43万</t>
  </si>
  <si>
    <t>34.08亿</t>
  </si>
  <si>
    <t>77.03亿</t>
  </si>
  <si>
    <t>16.52亿</t>
  </si>
  <si>
    <t>83.58亿</t>
  </si>
  <si>
    <t>16.50亿</t>
  </si>
  <si>
    <t>14.93亿</t>
  </si>
  <si>
    <t>3949.14万</t>
  </si>
  <si>
    <t>6818.61万</t>
  </si>
  <si>
    <t>-17479939亿</t>
  </si>
  <si>
    <t>-107650765亿</t>
  </si>
  <si>
    <t>23.32亿</t>
  </si>
  <si>
    <t>2197758900亿</t>
  </si>
  <si>
    <t>8897.90万</t>
  </si>
  <si>
    <t>7889618400亿</t>
  </si>
  <si>
    <t>22.05亿</t>
  </si>
  <si>
    <t>7.33亿</t>
  </si>
  <si>
    <t>1.69亿</t>
  </si>
  <si>
    <t>-1.26亿</t>
  </si>
  <si>
    <t>-4412.11万</t>
  </si>
  <si>
    <t>22.15亿</t>
  </si>
  <si>
    <t>10派0.5元(含税)</t>
  </si>
  <si>
    <t>6663.64万</t>
  </si>
  <si>
    <t>3.11亿</t>
  </si>
  <si>
    <t>365.47万</t>
  </si>
  <si>
    <t>14.72亿</t>
  </si>
  <si>
    <t>8.24亿</t>
  </si>
  <si>
    <t>1.40亿</t>
  </si>
  <si>
    <t>150.07万</t>
  </si>
  <si>
    <t>839.20万</t>
  </si>
  <si>
    <t>39428566亿</t>
  </si>
  <si>
    <t>217260050亿</t>
  </si>
  <si>
    <t>1260921630亿</t>
  </si>
  <si>
    <t>10.37万</t>
  </si>
  <si>
    <t>7132.08万</t>
  </si>
  <si>
    <t>3318.14万</t>
  </si>
  <si>
    <t>4370.51万</t>
  </si>
  <si>
    <t>-1169.21万</t>
  </si>
  <si>
    <t>5007.92万</t>
  </si>
  <si>
    <t>4489.94万</t>
  </si>
  <si>
    <t>513.34万</t>
  </si>
  <si>
    <t>44.58亿</t>
  </si>
  <si>
    <t>39.89亿</t>
  </si>
  <si>
    <t>58.74亿</t>
  </si>
  <si>
    <t>11.14亿</t>
  </si>
  <si>
    <t>1238.75万</t>
  </si>
  <si>
    <t>2388.28万</t>
  </si>
  <si>
    <t>8706347亿</t>
  </si>
  <si>
    <t>12.35万</t>
  </si>
  <si>
    <t>67348064亿</t>
  </si>
  <si>
    <t>8.19亿</t>
  </si>
  <si>
    <t>1148687060亿</t>
  </si>
  <si>
    <t>4.23亿</t>
  </si>
  <si>
    <t>6020816900亿</t>
  </si>
  <si>
    <t>22.33亿</t>
  </si>
  <si>
    <t>6.53亿</t>
  </si>
  <si>
    <t>31.66亿</t>
  </si>
  <si>
    <t>-1.37亿</t>
  </si>
  <si>
    <t>3772.29万</t>
  </si>
  <si>
    <t>-2746.33万</t>
  </si>
  <si>
    <t>5598.22万</t>
  </si>
  <si>
    <t>946.19万</t>
  </si>
  <si>
    <t>47.89亿</t>
  </si>
  <si>
    <t>71.48亿</t>
  </si>
  <si>
    <t>15.36亿</t>
  </si>
  <si>
    <t>66.88亿</t>
  </si>
  <si>
    <t>5.64亿</t>
  </si>
  <si>
    <t>14.97亿</t>
  </si>
  <si>
    <t>13.82亿</t>
  </si>
  <si>
    <t>1058.78万</t>
  </si>
  <si>
    <t>4052.71万</t>
  </si>
  <si>
    <t>1413502亿</t>
  </si>
  <si>
    <t>80.82万</t>
  </si>
  <si>
    <t>24559683亿</t>
  </si>
  <si>
    <t>29.32亿</t>
  </si>
  <si>
    <t>2007242300亿</t>
  </si>
  <si>
    <t>5731.99万</t>
  </si>
  <si>
    <t>8424559500亿</t>
  </si>
  <si>
    <t>8.15亿</t>
  </si>
  <si>
    <t>22.24亿</t>
  </si>
  <si>
    <t>34.87亿</t>
  </si>
  <si>
    <t>7.19亿</t>
  </si>
  <si>
    <t>-6.15亿</t>
  </si>
  <si>
    <t>-2.48亿</t>
  </si>
  <si>
    <t>5528.04万</t>
  </si>
  <si>
    <t>10派2.6元(含税)</t>
  </si>
  <si>
    <t>9825.28万</t>
  </si>
  <si>
    <t>3.25亿</t>
  </si>
  <si>
    <t>388.71万</t>
  </si>
  <si>
    <t>19.86亿</t>
  </si>
  <si>
    <t>5.41亿</t>
  </si>
  <si>
    <t>2166.14万</t>
  </si>
  <si>
    <t>2.51亿</t>
  </si>
  <si>
    <t>503.96万</t>
  </si>
  <si>
    <t>1528.48万</t>
  </si>
  <si>
    <t>234187亿</t>
  </si>
  <si>
    <t>8.49万</t>
  </si>
  <si>
    <t>67899942亿</t>
  </si>
  <si>
    <t>2.26亿</t>
  </si>
  <si>
    <t>442057230亿</t>
  </si>
  <si>
    <t>1.62亿</t>
  </si>
  <si>
    <t>1233750770亿</t>
  </si>
  <si>
    <t>5000.00万</t>
  </si>
  <si>
    <t>2.86亿</t>
  </si>
  <si>
    <t>9138.97万</t>
  </si>
  <si>
    <t>3030.86万</t>
  </si>
  <si>
    <t>-2404.82万</t>
  </si>
  <si>
    <t>-1177.14万</t>
  </si>
  <si>
    <t>11.59亿</t>
  </si>
  <si>
    <t>-348.72万</t>
  </si>
  <si>
    <t>10转4股派2元(含税)</t>
  </si>
  <si>
    <t>3241.71万</t>
  </si>
  <si>
    <t>602.43万</t>
  </si>
  <si>
    <t>10.20亿</t>
  </si>
  <si>
    <t>11.28亿</t>
  </si>
  <si>
    <t>2.53亿</t>
  </si>
  <si>
    <t>5.69亿</t>
  </si>
  <si>
    <t>-1360.38万</t>
  </si>
  <si>
    <t>1155.70万</t>
  </si>
  <si>
    <t>1839.83万</t>
  </si>
  <si>
    <t>185877亿</t>
  </si>
  <si>
    <t>14.65万</t>
  </si>
  <si>
    <t>24627967亿</t>
  </si>
  <si>
    <t>299372280亿</t>
  </si>
  <si>
    <t>4344.36万</t>
  </si>
  <si>
    <t>1089673660亿</t>
  </si>
  <si>
    <t>9713.40万</t>
  </si>
  <si>
    <t>3.71亿</t>
  </si>
  <si>
    <t>366.50万</t>
  </si>
  <si>
    <t>8.20亿</t>
  </si>
  <si>
    <t>2578.84万</t>
  </si>
  <si>
    <t>-2276.29万</t>
  </si>
  <si>
    <t>4973.92万</t>
  </si>
  <si>
    <t>6581.43万</t>
  </si>
  <si>
    <t>7388.62万</t>
  </si>
  <si>
    <t>405.93万</t>
  </si>
  <si>
    <t>6717.80万</t>
  </si>
  <si>
    <t>1.74亿</t>
  </si>
  <si>
    <t>242.81万</t>
  </si>
  <si>
    <t>3.61亿</t>
  </si>
  <si>
    <t>19.21亿</t>
  </si>
  <si>
    <t>3.50亿</t>
  </si>
  <si>
    <t>24.00亿</t>
  </si>
  <si>
    <t>7.34亿</t>
  </si>
  <si>
    <t>2.42亿</t>
  </si>
  <si>
    <t>250.14万</t>
  </si>
  <si>
    <t>1062.20万</t>
  </si>
  <si>
    <t>90092162亿</t>
  </si>
  <si>
    <t>202193530亿</t>
  </si>
  <si>
    <t>1184714910亿</t>
  </si>
  <si>
    <t>1.84亿</t>
  </si>
  <si>
    <t>4417.50万</t>
  </si>
  <si>
    <t>6910.14万</t>
  </si>
  <si>
    <t>-3587.09万</t>
  </si>
  <si>
    <t>-73.17万</t>
  </si>
  <si>
    <t>13.85亿</t>
  </si>
  <si>
    <t>5.88亿</t>
  </si>
  <si>
    <t>3.30亿</t>
  </si>
  <si>
    <t>1.60亿</t>
  </si>
  <si>
    <t>10派3元(含税)</t>
  </si>
  <si>
    <t>870.14万</t>
  </si>
  <si>
    <t>8646.73万</t>
  </si>
  <si>
    <t>587.63万</t>
  </si>
  <si>
    <t>8.51亿</t>
  </si>
  <si>
    <t>4.71亿</t>
  </si>
  <si>
    <t>1083.18万</t>
  </si>
  <si>
    <t>9330.28万</t>
  </si>
  <si>
    <t>8540.32万</t>
  </si>
  <si>
    <t>41.45万</t>
  </si>
  <si>
    <t>273.64万</t>
  </si>
  <si>
    <t>9861053亿</t>
  </si>
  <si>
    <t>8824.84万</t>
  </si>
  <si>
    <t>62427040亿</t>
  </si>
  <si>
    <t>6758.77万</t>
  </si>
  <si>
    <t>319400270亿</t>
  </si>
  <si>
    <t>1831.00万</t>
  </si>
  <si>
    <t>6004.68万</t>
  </si>
  <si>
    <t>1.37亿</t>
  </si>
  <si>
    <t>-2372.75万</t>
  </si>
  <si>
    <t>-2055.38万</t>
  </si>
  <si>
    <t>4968.33万</t>
  </si>
  <si>
    <t>6358.24万</t>
  </si>
  <si>
    <t>5050.75万</t>
  </si>
  <si>
    <t>-274.85万</t>
  </si>
  <si>
    <t>4735.25万</t>
  </si>
  <si>
    <t>212.13万</t>
  </si>
  <si>
    <t>6.12亿</t>
  </si>
  <si>
    <t>10.05亿</t>
  </si>
  <si>
    <t>2.46亿</t>
  </si>
  <si>
    <t>5.11亿</t>
  </si>
  <si>
    <t>482.69万</t>
  </si>
  <si>
    <t>500.31万</t>
  </si>
  <si>
    <t>687.21万</t>
  </si>
  <si>
    <t>4.53万</t>
  </si>
  <si>
    <t>14527118亿</t>
  </si>
  <si>
    <t>7839.07万</t>
  </si>
  <si>
    <t>373536550亿</t>
  </si>
  <si>
    <t>1099536890亿</t>
  </si>
  <si>
    <t>1.30亿</t>
  </si>
  <si>
    <t>4037.07万</t>
  </si>
  <si>
    <t>6.49亿</t>
  </si>
  <si>
    <t>5798.84万</t>
  </si>
  <si>
    <t>-3617.71万</t>
  </si>
  <si>
    <t>-5614.32万</t>
  </si>
  <si>
    <t>6041.47万</t>
  </si>
  <si>
    <t>10.85亿</t>
  </si>
  <si>
    <t>8252.76万</t>
  </si>
  <si>
    <t>733.76万</t>
  </si>
  <si>
    <t>10转4股派0.77元(含税)</t>
  </si>
  <si>
    <t>1642.36万</t>
  </si>
  <si>
    <t>619.01万</t>
  </si>
  <si>
    <t>12.72亿</t>
  </si>
  <si>
    <t>1.14亿</t>
  </si>
  <si>
    <t>5.55亿</t>
  </si>
  <si>
    <t>5806.94万</t>
  </si>
  <si>
    <t>254.41万</t>
  </si>
  <si>
    <t>371.47万</t>
  </si>
  <si>
    <t>1637232亿</t>
  </si>
  <si>
    <t>7.88亿</t>
  </si>
  <si>
    <t>143296270亿</t>
  </si>
  <si>
    <t>2903.26万</t>
  </si>
  <si>
    <t>1153776340亿</t>
  </si>
  <si>
    <t>6637.98万</t>
  </si>
  <si>
    <t>1402.68万</t>
  </si>
  <si>
    <t>2914.66万</t>
  </si>
  <si>
    <t>5189.19万</t>
  </si>
  <si>
    <t>-1075.50万</t>
  </si>
  <si>
    <t>-4857.98万</t>
  </si>
  <si>
    <t>-3.17万</t>
  </si>
  <si>
    <t>4813.20万</t>
  </si>
  <si>
    <t>1917.48万</t>
  </si>
  <si>
    <t>10转4股派3元(含税)</t>
  </si>
  <si>
    <t>5691.67万</t>
  </si>
  <si>
    <t>1547.21万</t>
  </si>
  <si>
    <t>21.37亿</t>
  </si>
  <si>
    <t>17.24亿</t>
  </si>
  <si>
    <t>9.00亿</t>
  </si>
  <si>
    <t>614.75亿</t>
  </si>
  <si>
    <t>51.73亿</t>
  </si>
  <si>
    <t>-2828717亿</t>
  </si>
  <si>
    <t>425.40万</t>
  </si>
  <si>
    <t>5051808亿</t>
  </si>
  <si>
    <t>8.13亿</t>
  </si>
  <si>
    <t>516017820亿</t>
  </si>
  <si>
    <t>2000125600亿</t>
  </si>
  <si>
    <t>11.53亿</t>
  </si>
  <si>
    <t>-1246.34万</t>
  </si>
  <si>
    <t>-1.10亿</t>
  </si>
  <si>
    <t>9772.63万</t>
  </si>
  <si>
    <t>32.00亿</t>
  </si>
  <si>
    <t>198.62亿</t>
  </si>
  <si>
    <t>-6126.27万</t>
  </si>
  <si>
    <t>30.07亿</t>
  </si>
  <si>
    <t>7988.89万</t>
  </si>
  <si>
    <t>6.38亿</t>
  </si>
  <si>
    <t>638.97万</t>
  </si>
  <si>
    <t>26.17亿</t>
  </si>
  <si>
    <t>59.45亿</t>
  </si>
  <si>
    <t>10.26亿</t>
  </si>
  <si>
    <t>21.97亿</t>
  </si>
  <si>
    <t>2645.15万</t>
  </si>
  <si>
    <t>9.21亿</t>
  </si>
  <si>
    <t>1793.16万</t>
  </si>
  <si>
    <t>5293.42万</t>
  </si>
  <si>
    <t>321816亿</t>
  </si>
  <si>
    <t>174.05万</t>
  </si>
  <si>
    <t>-6869421亿</t>
  </si>
  <si>
    <t>16.78亿</t>
  </si>
  <si>
    <t>1601571800亿</t>
  </si>
  <si>
    <t>5995834900亿</t>
  </si>
  <si>
    <t>2.57亿</t>
  </si>
  <si>
    <t>4.39亿</t>
  </si>
  <si>
    <t>553.19万</t>
  </si>
  <si>
    <t>19.33亿</t>
  </si>
  <si>
    <t>9.43亿</t>
  </si>
  <si>
    <t>523.34万</t>
  </si>
  <si>
    <t>4636.63万</t>
  </si>
  <si>
    <t>3.43亿</t>
  </si>
  <si>
    <t>53.69亿</t>
  </si>
  <si>
    <t>-2.27亿</t>
  </si>
  <si>
    <t>-641.41万</t>
  </si>
  <si>
    <t>5982.71万</t>
  </si>
  <si>
    <t>994.51万</t>
  </si>
  <si>
    <t>92.40亿</t>
  </si>
  <si>
    <t>72.92亿</t>
  </si>
  <si>
    <t>44.89亿</t>
  </si>
  <si>
    <t>4763.40亿</t>
  </si>
  <si>
    <t>210.40亿</t>
  </si>
  <si>
    <t>41.57亿</t>
  </si>
  <si>
    <t>38.03亿</t>
  </si>
  <si>
    <t>6549.88万</t>
  </si>
  <si>
    <t>-1514860亿</t>
  </si>
  <si>
    <t>200.66万</t>
  </si>
  <si>
    <t>250859090亿</t>
  </si>
  <si>
    <t>21.35亿</t>
  </si>
  <si>
    <t>1605225300亿</t>
  </si>
  <si>
    <t>9317141600亿</t>
  </si>
  <si>
    <t>9.91亿</t>
  </si>
  <si>
    <t>14.22亿</t>
  </si>
  <si>
    <t>10.47亿</t>
  </si>
  <si>
    <t>6.24亿</t>
  </si>
  <si>
    <t>52.70亿</t>
  </si>
  <si>
    <t>7.05亿</t>
  </si>
  <si>
    <t>-106.03万</t>
  </si>
  <si>
    <t>-2.43亿</t>
  </si>
  <si>
    <t>-8.03亿</t>
  </si>
  <si>
    <t>177.56亿</t>
  </si>
  <si>
    <t>1058.89亿</t>
  </si>
  <si>
    <t>11.24亿</t>
  </si>
  <si>
    <t>31.28亿</t>
  </si>
  <si>
    <t>10派4.5元(含税)</t>
  </si>
  <si>
    <t>6364.83万</t>
  </si>
  <si>
    <t>13-1</t>
  </si>
  <si>
    <t>201.55万</t>
  </si>
  <si>
    <t>13.34亿</t>
  </si>
  <si>
    <t>9.41亿</t>
  </si>
  <si>
    <t>6.54亿</t>
  </si>
  <si>
    <t>6.13亿</t>
  </si>
  <si>
    <t>4586.09万</t>
  </si>
  <si>
    <t>253.82万</t>
  </si>
  <si>
    <t>1740.50万</t>
  </si>
  <si>
    <t>4929亿</t>
  </si>
  <si>
    <t>1.06万</t>
  </si>
  <si>
    <t>4040480亿</t>
  </si>
  <si>
    <t>2.70亿</t>
  </si>
  <si>
    <t>453334650亿</t>
  </si>
  <si>
    <t>1522253200亿</t>
  </si>
  <si>
    <t>6.46亿</t>
  </si>
  <si>
    <t>2340.00万</t>
  </si>
  <si>
    <t>5975.00万</t>
  </si>
  <si>
    <t>486.59万</t>
  </si>
  <si>
    <t>11.31亿</t>
  </si>
  <si>
    <t>-2618.79万</t>
  </si>
  <si>
    <t>-1538.59万</t>
  </si>
  <si>
    <t>3544.69万</t>
  </si>
  <si>
    <t>27.92亿</t>
  </si>
  <si>
    <t>4085.71万</t>
  </si>
  <si>
    <t>661.41万</t>
  </si>
  <si>
    <t>10派0.61元(含税)</t>
  </si>
  <si>
    <t>1008.24万</t>
  </si>
  <si>
    <t>9331.98万</t>
  </si>
  <si>
    <t>045860900</t>
  </si>
  <si>
    <t>0137582700</t>
  </si>
  <si>
    <t>0275165400</t>
  </si>
  <si>
    <t>0458609000</t>
  </si>
  <si>
    <t>0917218000</t>
  </si>
  <si>
    <t>128.00万</t>
  </si>
  <si>
    <t>19.83亿</t>
  </si>
  <si>
    <t>5.02亿</t>
  </si>
  <si>
    <t>73.99亿</t>
  </si>
  <si>
    <t>160.69万</t>
  </si>
  <si>
    <t>1907.18万</t>
  </si>
  <si>
    <t>-836476亿</t>
  </si>
  <si>
    <t>6.86万</t>
  </si>
  <si>
    <t>-41924602亿</t>
  </si>
  <si>
    <t>3.52亿</t>
  </si>
  <si>
    <t>432185780亿</t>
  </si>
  <si>
    <t>5.08亿</t>
  </si>
  <si>
    <t>1791926300亿</t>
  </si>
  <si>
    <t>4.75亿</t>
  </si>
  <si>
    <t>5.98亿</t>
  </si>
  <si>
    <t>1.96亿</t>
  </si>
  <si>
    <t>11.36亿</t>
  </si>
  <si>
    <t>-3829.19万</t>
  </si>
  <si>
    <t>-8094.30万</t>
  </si>
  <si>
    <t>-4808.43万</t>
  </si>
  <si>
    <t>15.79亿</t>
  </si>
  <si>
    <t>14.76亿</t>
  </si>
  <si>
    <t>-1.41亿</t>
  </si>
  <si>
    <t>642.56万</t>
  </si>
  <si>
    <t>5717.53万</t>
  </si>
  <si>
    <t>3-1</t>
  </si>
  <si>
    <t>605.80万</t>
  </si>
  <si>
    <t>35.97亿</t>
  </si>
  <si>
    <t>25.10亿</t>
  </si>
  <si>
    <t>15.89亿</t>
  </si>
  <si>
    <t>9.56亿</t>
  </si>
  <si>
    <t>15.26亿</t>
  </si>
  <si>
    <t>387.26万</t>
  </si>
  <si>
    <t>1340.78万</t>
  </si>
  <si>
    <t>9174232亿</t>
  </si>
  <si>
    <t>28.09万</t>
  </si>
  <si>
    <t>62199732亿</t>
  </si>
  <si>
    <t>30.26亿</t>
  </si>
  <si>
    <t>56307866亿</t>
  </si>
  <si>
    <t>5786885800亿</t>
  </si>
  <si>
    <t>29.79亿</t>
  </si>
  <si>
    <t>9333.83万</t>
  </si>
  <si>
    <t>38.83亿</t>
  </si>
  <si>
    <t>2.72亿</t>
  </si>
  <si>
    <t>3.85亿</t>
  </si>
  <si>
    <t>75.79亿</t>
  </si>
  <si>
    <t>3.34亿</t>
  </si>
  <si>
    <t>1020.96万</t>
  </si>
  <si>
    <t>10派2.0元(含税)</t>
  </si>
  <si>
    <t>5214.81万</t>
  </si>
  <si>
    <t>2.24亿</t>
  </si>
  <si>
    <t>0149000000</t>
  </si>
  <si>
    <t>0447000000</t>
  </si>
  <si>
    <t>0894000000</t>
  </si>
  <si>
    <t>01490000000</t>
  </si>
  <si>
    <t>02980000000</t>
  </si>
  <si>
    <t>109.09万</t>
  </si>
  <si>
    <t>11.83亿</t>
  </si>
  <si>
    <t>11.22亿</t>
  </si>
  <si>
    <t>2.98亿</t>
  </si>
  <si>
    <t>3.96亿</t>
  </si>
  <si>
    <t>8431.98万</t>
  </si>
  <si>
    <t>2.96亿</t>
  </si>
  <si>
    <t>877.44万</t>
  </si>
  <si>
    <t>1311.11万</t>
  </si>
  <si>
    <t>2000781亿</t>
  </si>
  <si>
    <t>3.89万</t>
  </si>
  <si>
    <t>3730301亿</t>
  </si>
  <si>
    <t>376211970亿</t>
  </si>
  <si>
    <t>5822.61万</t>
  </si>
  <si>
    <t>1276241350亿</t>
  </si>
  <si>
    <t>5.79亿</t>
  </si>
  <si>
    <t>6421.89万</t>
  </si>
  <si>
    <t>12.87万</t>
  </si>
  <si>
    <t>1.66亿</t>
  </si>
  <si>
    <t>-2257.09万</t>
  </si>
  <si>
    <t>-4063.89万</t>
  </si>
  <si>
    <t>14.30亿</t>
  </si>
  <si>
    <t>5334.02万</t>
  </si>
  <si>
    <t>-4280.59万</t>
  </si>
  <si>
    <t>1291.51万</t>
  </si>
  <si>
    <t>10派1.8元(含税)</t>
  </si>
  <si>
    <t>1374.83万</t>
  </si>
  <si>
    <t>3826.76万</t>
  </si>
  <si>
    <t>-2-1</t>
  </si>
  <si>
    <t>833.29万</t>
  </si>
  <si>
    <t>6.25亿</t>
  </si>
  <si>
    <t>10.94亿</t>
  </si>
  <si>
    <t>2.87亿</t>
  </si>
  <si>
    <t>6.92亿</t>
  </si>
  <si>
    <t>6419.00万</t>
  </si>
  <si>
    <t>2.62亿</t>
  </si>
  <si>
    <t>458.31万</t>
  </si>
  <si>
    <t>1496.82万</t>
  </si>
  <si>
    <t>116839亿</t>
  </si>
  <si>
    <t>21269652亿</t>
  </si>
  <si>
    <t>285761340亿</t>
  </si>
  <si>
    <t>1339.40万</t>
  </si>
  <si>
    <t>817818140亿</t>
  </si>
  <si>
    <t>2.39亿</t>
  </si>
  <si>
    <t>1931.82万</t>
  </si>
  <si>
    <t>8884.23万</t>
  </si>
  <si>
    <t>4.94亿</t>
  </si>
  <si>
    <t>-3282.43万</t>
  </si>
  <si>
    <t>-5765.92万</t>
  </si>
  <si>
    <t>7802.66万</t>
  </si>
  <si>
    <t>9834.11万</t>
  </si>
  <si>
    <t>1142.57万</t>
  </si>
  <si>
    <t>10转3股派0.8元(含税)</t>
  </si>
  <si>
    <t>2913.24万</t>
  </si>
  <si>
    <t>3.47亿</t>
  </si>
  <si>
    <t>-2-0</t>
  </si>
  <si>
    <t>24.35万</t>
  </si>
  <si>
    <t>5.09亿</t>
  </si>
  <si>
    <t>23.58亿</t>
  </si>
  <si>
    <t>4.43亿</t>
  </si>
  <si>
    <t>7.98亿</t>
  </si>
  <si>
    <t>4153.35万</t>
  </si>
  <si>
    <t>3.58亿</t>
  </si>
  <si>
    <t>997.40万</t>
  </si>
  <si>
    <t>1092.69万</t>
  </si>
  <si>
    <t>12773902亿</t>
  </si>
  <si>
    <t>83.79万</t>
  </si>
  <si>
    <t>68509630亿</t>
  </si>
  <si>
    <t>7509.51万</t>
  </si>
  <si>
    <t>482185130亿</t>
  </si>
  <si>
    <t>1477813500亿</t>
  </si>
  <si>
    <t>3530.87万</t>
  </si>
  <si>
    <t>4.56亿</t>
  </si>
  <si>
    <t>1344.90万</t>
  </si>
  <si>
    <t>-2447.37万</t>
  </si>
  <si>
    <t>-185.62万</t>
  </si>
  <si>
    <t>17.72亿</t>
  </si>
  <si>
    <t>8971.21万</t>
  </si>
  <si>
    <t>-474.60万</t>
  </si>
  <si>
    <t>10派8.5元(含税)</t>
  </si>
  <si>
    <t>182.73万</t>
  </si>
  <si>
    <t>1224.17万</t>
  </si>
  <si>
    <t>4-1</t>
  </si>
  <si>
    <t>130.45万</t>
  </si>
  <si>
    <t>11.85亿</t>
  </si>
  <si>
    <t>6.61亿</t>
  </si>
  <si>
    <t>3015.35万</t>
  </si>
  <si>
    <t>399.42万</t>
  </si>
  <si>
    <t>1729.28万</t>
  </si>
  <si>
    <t>-1940311亿</t>
  </si>
  <si>
    <t>6186263亿</t>
  </si>
  <si>
    <t>321347680亿</t>
  </si>
  <si>
    <t>1105894810亿</t>
  </si>
  <si>
    <t>3509.91万</t>
  </si>
  <si>
    <t>3.88亿</t>
  </si>
  <si>
    <t>-7616.20万</t>
  </si>
  <si>
    <t>-494.60万</t>
  </si>
  <si>
    <t>488.50万</t>
  </si>
  <si>
    <t>8005.34万</t>
  </si>
  <si>
    <t>5511.93万</t>
  </si>
  <si>
    <t>-451.30万</t>
  </si>
  <si>
    <t>461.64万</t>
  </si>
  <si>
    <t>6056.65万</t>
  </si>
  <si>
    <t>030153500</t>
  </si>
  <si>
    <t>090460500</t>
  </si>
  <si>
    <t>0180921000</t>
  </si>
  <si>
    <t>0301535000</t>
  </si>
  <si>
    <t>0603070000</t>
  </si>
  <si>
    <t>199.69万</t>
  </si>
  <si>
    <t>8812.11万</t>
  </si>
  <si>
    <t>-3038.52万</t>
  </si>
  <si>
    <t>7159.86万</t>
  </si>
  <si>
    <t>5727.17万</t>
  </si>
  <si>
    <t>264.73万</t>
  </si>
  <si>
    <t>689.11万</t>
  </si>
  <si>
    <t>8169亿</t>
  </si>
  <si>
    <t>14532576亿</t>
  </si>
  <si>
    <t>72385782亿</t>
  </si>
  <si>
    <t>3455.23万</t>
  </si>
  <si>
    <t>421360710亿</t>
  </si>
  <si>
    <t>8744.78万</t>
  </si>
  <si>
    <t>188.46万</t>
  </si>
  <si>
    <t>1968.14万</t>
  </si>
  <si>
    <t>8572.86万</t>
  </si>
  <si>
    <t>5906.12万</t>
  </si>
  <si>
    <t>719.02万</t>
  </si>
  <si>
    <t>-3020.92万</t>
  </si>
  <si>
    <t>511.34万</t>
  </si>
  <si>
    <t>3.68亿</t>
  </si>
  <si>
    <t>2881.74万</t>
  </si>
  <si>
    <t>7987.97万</t>
  </si>
  <si>
    <t>-1361.63万</t>
  </si>
  <si>
    <t>1604.50万</t>
  </si>
  <si>
    <t>5457.35万</t>
  </si>
  <si>
    <t>8-1</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</si>
</sst>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9"/>
      <color rgb="FFFF0000"/>
      <name val="宋体"/>
      <family val="3"/>
      <charset val="134"/>
      <scheme val="minor"/>
    </font>
    <font>
      <sz val="9"/>
      <name val="宋体"/>
      <family val="3"/>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9" fontId="0" fillId="0" borderId="0" xfId="0" applyNumberFormat="1">
      <alignment vertical="center"/>
    </xf>
    <xf numFmtId="0" fontId="0" fillId="0" borderId="0" xfId="0" applyNumberFormat="1">
      <alignment vertical="center"/>
    </xf>
    <xf numFmtId="0" fontId="1" fillId="0" borderId="0" xfId="0" applyFont="1" applyAlignment="1">
      <alignment vertical="center" wrapText="1"/>
    </xf>
    <xf numFmtId="0" fontId="7"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273050</xdr:colOff>
          <xdr:row>0</xdr:row>
          <xdr:rowOff>114300</xdr:rowOff>
        </xdr:from>
        <xdr:to>
          <xdr:col>147</xdr:col>
          <xdr:colOff>1714500</xdr:colOff>
          <xdr:row>0</xdr:row>
          <xdr:rowOff>425450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50"/>
  <sheetViews>
    <sheetView tabSelected="1" zoomScale="85" zoomScaleNormal="85" workbookViewId="0">
      <pane xSplit="5" ySplit="1" topLeftCell="F2" activePane="bottomRight" state="frozen"/>
      <selection pane="topRight" activeCell="F1" sqref="F1"/>
      <selection pane="bottomLeft" activeCell="A2" sqref="A2"/>
      <selection pane="bottomRight" activeCell="D25" sqref="D25:EP25"/>
    </sheetView>
  </sheetViews>
  <sheetFormatPr defaultRowHeight="14" x14ac:dyDescent="0.25"/>
  <cols>
    <col min="1" max="1" width="31.7265625" customWidth="1"/>
    <col min="2" max="2" width="32.90625" customWidth="1"/>
    <col min="3" max="3" width="37" customWidth="1"/>
    <col min="148" max="148" width="28.36328125" customWidth="1"/>
  </cols>
  <sheetData>
    <row r="1" spans="1:146" ht="39.5" customHeight="1" x14ac:dyDescent="0.25">
      <c r="A1" s="3" t="s">
        <v>31</v>
      </c>
      <c r="B1" s="4" t="s">
        <v>32</v>
      </c>
      <c r="C1" s="3" t="s">
        <v>33</v>
      </c>
      <c r="D1" t="s">
        <v>15</v>
      </c>
      <c r="E1" t="s">
        <v>248</v>
      </c>
      <c r="F1" t="s">
        <v>3</v>
      </c>
      <c r="G1" t="s">
        <v>306</v>
      </c>
      <c r="H1" t="s">
        <v>330</v>
      </c>
      <c r="I1" t="s">
        <v>16</v>
      </c>
      <c r="J1" t="s">
        <v>17</v>
      </c>
      <c r="K1" t="s">
        <v>4</v>
      </c>
      <c r="L1" t="s">
        <v>18</v>
      </c>
      <c r="M1" t="s">
        <v>34</v>
      </c>
      <c r="N1" t="s">
        <v>35</v>
      </c>
      <c r="O1" t="s">
        <v>36</v>
      </c>
      <c r="P1" t="s">
        <v>331</v>
      </c>
      <c r="Q1" t="s">
        <v>332</v>
      </c>
      <c r="R1" t="s">
        <v>249</v>
      </c>
      <c r="S1" t="s">
        <v>37</v>
      </c>
      <c r="T1" t="s">
        <v>333</v>
      </c>
      <c r="U1" t="s">
        <v>209</v>
      </c>
      <c r="V1" t="s">
        <v>38</v>
      </c>
      <c r="W1" t="s">
        <v>334</v>
      </c>
      <c r="X1" t="s">
        <v>335</v>
      </c>
      <c r="Y1" t="s">
        <v>336</v>
      </c>
      <c r="Z1" t="s">
        <v>337</v>
      </c>
      <c r="AA1" t="s">
        <v>338</v>
      </c>
      <c r="AB1" t="s">
        <v>339</v>
      </c>
      <c r="AC1" t="s">
        <v>340</v>
      </c>
      <c r="AD1" t="s">
        <v>341</v>
      </c>
      <c r="AE1" t="s">
        <v>39</v>
      </c>
      <c r="AF1" t="s">
        <v>40</v>
      </c>
      <c r="AG1" t="s">
        <v>342</v>
      </c>
      <c r="AH1" t="s">
        <v>343</v>
      </c>
      <c r="AI1" t="s">
        <v>344</v>
      </c>
      <c r="AJ1" t="s">
        <v>41</v>
      </c>
      <c r="AK1" t="s">
        <v>345</v>
      </c>
      <c r="AL1" t="s">
        <v>91</v>
      </c>
      <c r="AM1" t="s">
        <v>346</v>
      </c>
      <c r="AN1" t="s">
        <v>347</v>
      </c>
      <c r="AO1" t="s">
        <v>348</v>
      </c>
      <c r="AP1" t="s">
        <v>349</v>
      </c>
      <c r="AQ1" t="s">
        <v>350</v>
      </c>
      <c r="AR1" t="s">
        <v>351</v>
      </c>
      <c r="AS1" t="s">
        <v>352</v>
      </c>
      <c r="AT1" t="s">
        <v>353</v>
      </c>
      <c r="AU1" t="s">
        <v>354</v>
      </c>
      <c r="AV1" t="s">
        <v>355</v>
      </c>
      <c r="AW1" t="s">
        <v>356</v>
      </c>
      <c r="AX1" t="s">
        <v>357</v>
      </c>
      <c r="AY1" t="s">
        <v>358</v>
      </c>
      <c r="AZ1" t="s">
        <v>92</v>
      </c>
      <c r="BA1" t="s">
        <v>93</v>
      </c>
      <c r="BB1" t="s">
        <v>94</v>
      </c>
      <c r="BC1" t="s">
        <v>359</v>
      </c>
      <c r="BD1" t="s">
        <v>210</v>
      </c>
      <c r="BE1" t="s">
        <v>95</v>
      </c>
      <c r="BF1" t="s">
        <v>96</v>
      </c>
      <c r="BG1" t="s">
        <v>97</v>
      </c>
      <c r="BH1" t="s">
        <v>360</v>
      </c>
      <c r="BI1" t="s">
        <v>361</v>
      </c>
      <c r="BJ1" t="s">
        <v>362</v>
      </c>
      <c r="BK1" t="s">
        <v>363</v>
      </c>
      <c r="BL1" t="s">
        <v>364</v>
      </c>
      <c r="BM1" t="s">
        <v>365</v>
      </c>
      <c r="BN1" t="s">
        <v>366</v>
      </c>
      <c r="BO1" t="s">
        <v>250</v>
      </c>
      <c r="BP1" t="s">
        <v>211</v>
      </c>
      <c r="BQ1" t="s">
        <v>367</v>
      </c>
      <c r="BR1" t="s">
        <v>251</v>
      </c>
      <c r="BS1" t="s">
        <v>212</v>
      </c>
      <c r="BT1" t="s">
        <v>368</v>
      </c>
      <c r="BU1" t="s">
        <v>289</v>
      </c>
      <c r="BV1" t="s">
        <v>369</v>
      </c>
      <c r="BW1" t="s">
        <v>370</v>
      </c>
      <c r="BX1" t="s">
        <v>182</v>
      </c>
      <c r="BY1" t="s">
        <v>371</v>
      </c>
      <c r="BZ1" t="s">
        <v>372</v>
      </c>
      <c r="CA1" t="s">
        <v>183</v>
      </c>
      <c r="CB1" t="s">
        <v>373</v>
      </c>
      <c r="CC1" t="s">
        <v>374</v>
      </c>
      <c r="CD1" t="s">
        <v>375</v>
      </c>
      <c r="CE1" t="s">
        <v>376</v>
      </c>
      <c r="CF1" s="1" t="s">
        <v>252</v>
      </c>
      <c r="CG1" s="1" t="s">
        <v>253</v>
      </c>
      <c r="CH1" s="1" t="s">
        <v>169</v>
      </c>
      <c r="CI1" s="1" t="s">
        <v>170</v>
      </c>
      <c r="CJ1" s="1" t="s">
        <v>171</v>
      </c>
      <c r="CK1" s="1" t="s">
        <v>172</v>
      </c>
      <c r="CL1" s="1" t="s">
        <v>173</v>
      </c>
      <c r="CM1" s="1" t="s">
        <v>174</v>
      </c>
      <c r="CN1" s="1" t="s">
        <v>175</v>
      </c>
      <c r="CO1" s="1" t="s">
        <v>176</v>
      </c>
      <c r="CP1" s="1" t="s">
        <v>177</v>
      </c>
      <c r="CQ1" s="1" t="s">
        <v>178</v>
      </c>
      <c r="CR1" s="1" t="s">
        <v>377</v>
      </c>
      <c r="CS1" s="1" t="s">
        <v>378</v>
      </c>
      <c r="CT1" s="1" t="s">
        <v>379</v>
      </c>
      <c r="CU1" s="1" t="s">
        <v>380</v>
      </c>
      <c r="CV1" s="1" t="s">
        <v>381</v>
      </c>
      <c r="CW1" s="1" t="s">
        <v>307</v>
      </c>
      <c r="CX1">
        <v>1</v>
      </c>
      <c r="CY1" t="s">
        <v>308</v>
      </c>
      <c r="CZ1" t="s">
        <v>309</v>
      </c>
      <c r="DA1">
        <v>3</v>
      </c>
      <c r="DB1" t="s">
        <v>382</v>
      </c>
      <c r="DC1" t="s">
        <v>310</v>
      </c>
      <c r="DD1">
        <v>6</v>
      </c>
      <c r="DE1" t="s">
        <v>383</v>
      </c>
      <c r="DF1" t="s">
        <v>384</v>
      </c>
      <c r="DG1">
        <v>10</v>
      </c>
      <c r="DH1" t="s">
        <v>385</v>
      </c>
      <c r="DI1" t="s">
        <v>386</v>
      </c>
      <c r="DJ1">
        <v>20</v>
      </c>
      <c r="DK1" t="s">
        <v>387</v>
      </c>
      <c r="DL1" t="s">
        <v>179</v>
      </c>
      <c r="DM1" t="s">
        <v>180</v>
      </c>
      <c r="DN1" s="2" t="s">
        <v>181</v>
      </c>
      <c r="DO1" t="s">
        <v>388</v>
      </c>
      <c r="DP1" t="s">
        <v>311</v>
      </c>
      <c r="DQ1" s="11" t="s">
        <v>389</v>
      </c>
      <c r="DR1" s="1" t="s">
        <v>312</v>
      </c>
      <c r="DS1" s="1" t="s">
        <v>390</v>
      </c>
      <c r="DT1" t="s">
        <v>391</v>
      </c>
      <c r="DU1" t="s">
        <v>392</v>
      </c>
      <c r="DV1" t="s">
        <v>393</v>
      </c>
      <c r="DW1" t="s">
        <v>313</v>
      </c>
      <c r="DX1" t="s">
        <v>394</v>
      </c>
      <c r="DY1" t="s">
        <v>395</v>
      </c>
      <c r="DZ1" t="s">
        <v>396</v>
      </c>
      <c r="EA1" t="s">
        <v>397</v>
      </c>
      <c r="EB1" t="s">
        <v>314</v>
      </c>
      <c r="EC1" t="s">
        <v>398</v>
      </c>
      <c r="ED1" t="s">
        <v>315</v>
      </c>
      <c r="EE1" t="s">
        <v>399</v>
      </c>
      <c r="EF1" t="s">
        <v>400</v>
      </c>
      <c r="EG1" t="s">
        <v>316</v>
      </c>
      <c r="EH1" t="s">
        <v>317</v>
      </c>
      <c r="EI1" t="s">
        <v>401</v>
      </c>
      <c r="EK1" s="12" t="s">
        <v>318</v>
      </c>
      <c r="EL1" t="s">
        <v>319</v>
      </c>
      <c r="EM1" t="s">
        <v>402</v>
      </c>
      <c r="EN1" t="s">
        <v>403</v>
      </c>
      <c r="EO1" t="s">
        <v>320</v>
      </c>
      <c r="EP1" t="s">
        <v>404</v>
      </c>
    </row>
    <row r="2" spans="1:146" ht="108" x14ac:dyDescent="0.25">
      <c r="A2" s="6"/>
      <c r="B2" s="6"/>
      <c r="C2" s="6" t="str">
        <f>""&amp;CHAR(10)&amp;Basic_Fundamental_Information_Constructure(F2)&amp;CHAR(10)&amp;Basic_Fundamental_Information_Concatenate("")</f>
        <v xml:space="preserve">
市值15.673829亿, 利润581.62万; PE263.4; 平均PE415.26; 平均PEG23.55, PB8.72; ROIC2.51%; ROE2.76%; 股利率0%; 毛利12.1367%; 净利2.3633%; 上一年度营收增2.18%, 利润增-1.3%; 当季营收增-4.08%, 利润增11.13%; 过往5年营收增17.63%, 利润增4.86%
Income profile:
</v>
      </c>
      <c r="D2" t="s">
        <v>19</v>
      </c>
      <c r="E2" t="s">
        <v>14</v>
      </c>
      <c r="F2">
        <v>4.07</v>
      </c>
      <c r="G2">
        <v>2.52</v>
      </c>
      <c r="H2" t="s">
        <v>527</v>
      </c>
      <c r="I2">
        <v>1567382900</v>
      </c>
      <c r="J2">
        <v>263.39999999999998</v>
      </c>
      <c r="K2">
        <v>8.7200000000000006</v>
      </c>
      <c r="L2" t="s">
        <v>184</v>
      </c>
      <c r="M2" t="s">
        <v>528</v>
      </c>
      <c r="N2" t="s">
        <v>487</v>
      </c>
      <c r="O2" t="s">
        <v>529</v>
      </c>
      <c r="P2">
        <v>-4.08</v>
      </c>
      <c r="Q2" t="s">
        <v>530</v>
      </c>
      <c r="R2">
        <v>1330797</v>
      </c>
      <c r="S2" s="13">
        <v>0.1113</v>
      </c>
      <c r="T2" t="s">
        <v>531</v>
      </c>
      <c r="U2">
        <v>385103450</v>
      </c>
      <c r="V2">
        <v>385106370</v>
      </c>
      <c r="W2">
        <v>1.3</v>
      </c>
      <c r="X2">
        <v>0.19</v>
      </c>
      <c r="Y2">
        <v>2.97</v>
      </c>
      <c r="Z2" t="s">
        <v>532</v>
      </c>
      <c r="AA2" t="s">
        <v>533</v>
      </c>
      <c r="AB2" t="s">
        <v>534</v>
      </c>
      <c r="AC2" t="s">
        <v>535</v>
      </c>
      <c r="AD2" t="s">
        <v>5</v>
      </c>
      <c r="AE2">
        <v>-1658883</v>
      </c>
      <c r="AF2" t="s">
        <v>536</v>
      </c>
      <c r="AG2" t="s">
        <v>5</v>
      </c>
      <c r="AH2" t="s">
        <v>537</v>
      </c>
      <c r="AI2" t="s">
        <v>538</v>
      </c>
      <c r="AJ2" t="s">
        <v>539</v>
      </c>
      <c r="AK2" t="s">
        <v>540</v>
      </c>
      <c r="AL2" t="s">
        <v>541</v>
      </c>
      <c r="AM2" t="s">
        <v>5</v>
      </c>
      <c r="AN2">
        <v>0</v>
      </c>
      <c r="AO2" t="s">
        <v>542</v>
      </c>
      <c r="AP2" t="s">
        <v>5</v>
      </c>
      <c r="AQ2" t="s">
        <v>543</v>
      </c>
      <c r="AR2" t="s">
        <v>5</v>
      </c>
      <c r="AS2" t="s">
        <v>544</v>
      </c>
      <c r="AT2" t="s">
        <v>545</v>
      </c>
      <c r="AU2" t="s">
        <v>546</v>
      </c>
      <c r="AV2" t="s">
        <v>547</v>
      </c>
      <c r="AW2" t="s">
        <v>548</v>
      </c>
      <c r="AX2" t="s">
        <v>129</v>
      </c>
      <c r="AY2" t="s">
        <v>45</v>
      </c>
      <c r="AZ2" t="s">
        <v>98</v>
      </c>
      <c r="BA2" t="s">
        <v>42</v>
      </c>
      <c r="BB2" t="s">
        <v>100</v>
      </c>
      <c r="BC2" t="s">
        <v>405</v>
      </c>
      <c r="BD2" t="s">
        <v>213</v>
      </c>
      <c r="BE2" t="s">
        <v>99</v>
      </c>
      <c r="BF2" t="s">
        <v>43</v>
      </c>
      <c r="BG2" t="s">
        <v>101</v>
      </c>
      <c r="BH2" t="s">
        <v>530</v>
      </c>
      <c r="BI2" t="s">
        <v>549</v>
      </c>
      <c r="BJ2" t="s">
        <v>129</v>
      </c>
      <c r="BK2" t="s">
        <v>531</v>
      </c>
      <c r="BL2" t="s">
        <v>550</v>
      </c>
      <c r="BM2" t="s">
        <v>405</v>
      </c>
      <c r="BN2">
        <v>2.86</v>
      </c>
      <c r="BO2">
        <v>2.96</v>
      </c>
      <c r="BP2">
        <v>1.71</v>
      </c>
      <c r="BQ2">
        <v>2.82</v>
      </c>
      <c r="BR2">
        <v>3.45</v>
      </c>
      <c r="BS2">
        <v>2.0099999999999998</v>
      </c>
      <c r="BT2" t="s">
        <v>321</v>
      </c>
      <c r="BU2" t="s">
        <v>291</v>
      </c>
      <c r="BV2">
        <v>11.78</v>
      </c>
      <c r="BW2">
        <v>11.7</v>
      </c>
      <c r="BX2">
        <v>12.93</v>
      </c>
      <c r="BY2">
        <v>2.4900000000000002</v>
      </c>
      <c r="BZ2">
        <v>2.57</v>
      </c>
      <c r="CA2">
        <v>2.0299999999999998</v>
      </c>
      <c r="CB2">
        <v>3.3</v>
      </c>
      <c r="CC2">
        <v>-21.88</v>
      </c>
      <c r="CD2" t="s">
        <v>551</v>
      </c>
      <c r="CE2" t="s">
        <v>552</v>
      </c>
      <c r="CF2" s="7">
        <v>-4.0823403248833968E-2</v>
      </c>
      <c r="CG2" s="8">
        <v>0.11131273486430063</v>
      </c>
      <c r="CH2" s="7">
        <v>2.1834060549736023E-2</v>
      </c>
      <c r="CI2" s="7">
        <v>0.38787877559661865</v>
      </c>
      <c r="CJ2" s="7">
        <v>0.25954198837280273</v>
      </c>
      <c r="CK2" s="7">
        <v>0.31440186500549316</v>
      </c>
      <c r="CL2" s="7">
        <v>-0.1021161824464798</v>
      </c>
      <c r="CM2" s="8">
        <v>-1.29989143460989E-2</v>
      </c>
      <c r="CN2" s="8">
        <v>0.76199018955230713</v>
      </c>
      <c r="CO2" s="8">
        <v>-0.63084870576858521</v>
      </c>
      <c r="CP2" s="8">
        <v>2.424638032913208</v>
      </c>
      <c r="CQ2" s="8">
        <v>-2.2996995449066162</v>
      </c>
      <c r="CR2">
        <v>415.26126985388601</v>
      </c>
      <c r="CS2">
        <v>23.553158732901121</v>
      </c>
      <c r="CT2">
        <v>0</v>
      </c>
      <c r="CU2" s="7">
        <v>0.17630810141563416</v>
      </c>
      <c r="CV2" s="8">
        <v>4.8616211488842966E-2</v>
      </c>
      <c r="CW2">
        <v>0.06</v>
      </c>
      <c r="CX2">
        <v>223.46862440757994</v>
      </c>
      <c r="CY2">
        <v>6454380.3579751048</v>
      </c>
      <c r="CZ2">
        <v>0.17630810141563416</v>
      </c>
      <c r="DA2">
        <v>67.930430805142933</v>
      </c>
      <c r="DB2">
        <v>21232774.220692873</v>
      </c>
      <c r="DC2">
        <v>0.16749269634485245</v>
      </c>
      <c r="DD2">
        <v>30.265352136146049</v>
      </c>
      <c r="DE2">
        <v>47656855.056954481</v>
      </c>
      <c r="DF2">
        <v>0.15515112924575805</v>
      </c>
      <c r="DG2">
        <v>16.172053082957621</v>
      </c>
      <c r="DH2">
        <v>89187902.896508172</v>
      </c>
      <c r="DI2">
        <v>0.14104648113250734</v>
      </c>
      <c r="DJ2">
        <v>6.3728127650890549</v>
      </c>
      <c r="DK2">
        <v>226328868.14145157</v>
      </c>
      <c r="DL2">
        <v>0.1234156709909439</v>
      </c>
      <c r="DM2">
        <v>5816200</v>
      </c>
      <c r="DN2">
        <v>0.17630810141563416</v>
      </c>
      <c r="DO2">
        <v>1442351500</v>
      </c>
      <c r="DP2">
        <v>113404050</v>
      </c>
      <c r="DQ2">
        <v>190</v>
      </c>
      <c r="DR2">
        <v>-0.21713150466446812</v>
      </c>
      <c r="DS2">
        <v>6.2696523375457669E-2</v>
      </c>
      <c r="DT2" s="9">
        <v>-4.0000000000000036E-2</v>
      </c>
      <c r="DU2">
        <v>-0.13</v>
      </c>
      <c r="DV2">
        <v>-0.17000000000000004</v>
      </c>
      <c r="DW2">
        <v>6.1310563939634628</v>
      </c>
      <c r="DX2">
        <v>0.41235468749999993</v>
      </c>
      <c r="DY2">
        <v>6.0252093117057184</v>
      </c>
      <c r="DZ2">
        <v>2120</v>
      </c>
      <c r="EA2">
        <v>6.0147506540117606</v>
      </c>
      <c r="EB2">
        <v>6</v>
      </c>
      <c r="EC2">
        <v>9.5901036381195154E-2</v>
      </c>
      <c r="ED2">
        <v>0.49856355271402031</v>
      </c>
      <c r="EE2" s="10">
        <v>-6.0202999999999998</v>
      </c>
      <c r="EF2">
        <v>-6.0172100000000004</v>
      </c>
      <c r="EG2">
        <v>22.1923546875</v>
      </c>
      <c r="EH2" t="s">
        <v>553</v>
      </c>
      <c r="EI2">
        <v>0</v>
      </c>
      <c r="EJ2">
        <v>0</v>
      </c>
      <c r="EK2" s="12">
        <v>45470</v>
      </c>
      <c r="EL2" s="14">
        <v>-0.47</v>
      </c>
      <c r="EM2" s="14">
        <v>-4.24</v>
      </c>
      <c r="EN2" s="14">
        <v>0.98</v>
      </c>
      <c r="EO2" s="14">
        <v>3.89</v>
      </c>
      <c r="EP2" s="14">
        <v>-3.75</v>
      </c>
    </row>
    <row r="3" spans="1:146" ht="204" hidden="1" x14ac:dyDescent="0.25">
      <c r="A3" s="6"/>
      <c r="B3" s="6"/>
      <c r="C3" s="6" t="str">
        <f>"公司目前主要从事钕铁硼磁性材料和电机系列产品的研发、生产和销售。公司专业生产烧结、粘结钕铁硼永磁材料及磁性组件。公司产品主要包括稀土永磁材料与制品、电机、齿轮箱、电动代步车、电动轮椅和工业阀门。"&amp;CHAR(10)&amp;Basic_Fundamental_Information_Constructure(F3)&amp;CHAR(10)&amp;Basic_Fundamental_Information_Concatenate("钕铁硼 22.77亿 60.56% 65.27% 16.67%
电机系列 12.60亿 33.50% 40.27% 18.60%
工业阀门 9724.29万 2.59% -6.59% -39.39%
料泥 8047.26万 2.14% 0.10% 0.74%
材料销售 3979.56万 1.06% 0.93% 13.59%")</f>
        <v>公司目前主要从事钕铁硼磁性材料和电机系列产品的研发、生产和销售。公司专业生产烧结、粘结钕铁硼永磁材料及磁性组件。公司产品主要包括稀土永磁材料与制品、电机、齿轮箱、电动代步车、电动轮椅和工业阀门。
市值62.692731亿, 利润8671.22万; PE54.18; 平均PE44.9; 平均PEG3.36, PB2.33; ROIC4.4067%; ROE6.2267%; 股利率.4908%; 毛利17.3367%; 净利3.3667%; 上一年度营收增-18.66%, 利润增-66.52%; 当季营收增1.66%, 利润增74.84%; 过往5年营收增13.35%, 利润增11.34%
Income profile:
钕铁硼 22.77亿 60.56% 65.27% 16.67%
电机系列 12.60亿 33.50% 40.27% 18.60%
工业阀门 9724.29万 2.59% -6.59% -39.39%
料泥 8047.26万 2.14% 0.10% 0.74%
材料销售 3979.56万 1.06% 0.93% 13.59%</v>
      </c>
      <c r="D3" t="s">
        <v>23</v>
      </c>
      <c r="E3" t="s">
        <v>8</v>
      </c>
      <c r="F3">
        <v>5.53</v>
      </c>
      <c r="G3">
        <v>2.79</v>
      </c>
      <c r="H3" t="s">
        <v>554</v>
      </c>
      <c r="I3">
        <v>6269273100</v>
      </c>
      <c r="J3">
        <v>54.18</v>
      </c>
      <c r="K3">
        <v>2.33</v>
      </c>
      <c r="L3" t="s">
        <v>184</v>
      </c>
      <c r="M3" t="s">
        <v>555</v>
      </c>
      <c r="N3" t="s">
        <v>556</v>
      </c>
      <c r="O3" t="s">
        <v>557</v>
      </c>
      <c r="P3">
        <v>1.67</v>
      </c>
      <c r="Q3" t="s">
        <v>558</v>
      </c>
      <c r="R3">
        <v>67769399</v>
      </c>
      <c r="S3" s="5">
        <v>0.74839999999999995</v>
      </c>
      <c r="T3" t="s">
        <v>559</v>
      </c>
      <c r="U3">
        <v>1133684100</v>
      </c>
      <c r="V3">
        <v>1133684100</v>
      </c>
      <c r="W3">
        <v>1.49</v>
      </c>
      <c r="X3">
        <v>0.21</v>
      </c>
      <c r="Y3">
        <v>7.7</v>
      </c>
      <c r="Z3" t="s">
        <v>560</v>
      </c>
      <c r="AA3" t="s">
        <v>561</v>
      </c>
      <c r="AB3" t="s">
        <v>562</v>
      </c>
      <c r="AC3" t="s">
        <v>563</v>
      </c>
      <c r="AD3" t="s">
        <v>5</v>
      </c>
      <c r="AE3">
        <v>-2686377</v>
      </c>
      <c r="AF3" t="s">
        <v>564</v>
      </c>
      <c r="AG3" t="s">
        <v>565</v>
      </c>
      <c r="AH3" t="s">
        <v>566</v>
      </c>
      <c r="AI3" t="s">
        <v>567</v>
      </c>
      <c r="AJ3" t="s">
        <v>568</v>
      </c>
      <c r="AK3" t="s">
        <v>569</v>
      </c>
      <c r="AL3" t="s">
        <v>570</v>
      </c>
      <c r="AM3" t="s">
        <v>5</v>
      </c>
      <c r="AN3" t="s">
        <v>571</v>
      </c>
      <c r="AO3" t="s">
        <v>74</v>
      </c>
      <c r="AP3" t="s">
        <v>572</v>
      </c>
      <c r="AQ3" t="s">
        <v>511</v>
      </c>
      <c r="AR3" t="s">
        <v>5</v>
      </c>
      <c r="AS3" t="s">
        <v>573</v>
      </c>
      <c r="AT3" t="s">
        <v>574</v>
      </c>
      <c r="AU3" t="s">
        <v>575</v>
      </c>
      <c r="AV3" t="s">
        <v>576</v>
      </c>
      <c r="AW3" t="s">
        <v>577</v>
      </c>
      <c r="AX3" t="s">
        <v>406</v>
      </c>
      <c r="AY3" t="s">
        <v>214</v>
      </c>
      <c r="AZ3" t="s">
        <v>102</v>
      </c>
      <c r="BA3" t="s">
        <v>103</v>
      </c>
      <c r="BB3" t="s">
        <v>104</v>
      </c>
      <c r="BC3" t="s">
        <v>407</v>
      </c>
      <c r="BD3" t="s">
        <v>56</v>
      </c>
      <c r="BE3" t="s">
        <v>54</v>
      </c>
      <c r="BF3" t="s">
        <v>64</v>
      </c>
      <c r="BG3" t="s">
        <v>46</v>
      </c>
      <c r="BH3" t="s">
        <v>558</v>
      </c>
      <c r="BI3" t="s">
        <v>578</v>
      </c>
      <c r="BJ3" t="s">
        <v>406</v>
      </c>
      <c r="BK3" t="s">
        <v>559</v>
      </c>
      <c r="BL3" t="s">
        <v>579</v>
      </c>
      <c r="BM3" t="s">
        <v>407</v>
      </c>
      <c r="BN3">
        <v>2.25</v>
      </c>
      <c r="BO3">
        <v>7.46</v>
      </c>
      <c r="BP3">
        <v>3.51</v>
      </c>
      <c r="BQ3">
        <v>3.07</v>
      </c>
      <c r="BR3">
        <v>9.99</v>
      </c>
      <c r="BS3">
        <v>5.62</v>
      </c>
      <c r="BT3" t="s">
        <v>580</v>
      </c>
      <c r="BU3" t="s">
        <v>292</v>
      </c>
      <c r="BV3">
        <v>18.170000000000002</v>
      </c>
      <c r="BW3">
        <v>18.23</v>
      </c>
      <c r="BX3">
        <v>15.61</v>
      </c>
      <c r="BY3">
        <v>2.4</v>
      </c>
      <c r="BZ3">
        <v>5.0999999999999996</v>
      </c>
      <c r="CA3">
        <v>2.6</v>
      </c>
      <c r="CB3">
        <v>-0.18</v>
      </c>
      <c r="CC3">
        <v>-7.37</v>
      </c>
      <c r="CD3" t="s">
        <v>581</v>
      </c>
      <c r="CE3" t="s">
        <v>50</v>
      </c>
      <c r="CF3" s="7">
        <v>1.6607354685646499E-2</v>
      </c>
      <c r="CG3" s="8">
        <v>0.74843650670794637</v>
      </c>
      <c r="CH3" s="7">
        <v>-0.186601921916008</v>
      </c>
      <c r="CI3" s="7">
        <v>0.25851070880889893</v>
      </c>
      <c r="CJ3" s="7">
        <v>0.44559788703918457</v>
      </c>
      <c r="CK3" s="7">
        <v>3.9152964949607849E-2</v>
      </c>
      <c r="CL3" s="7">
        <v>0.11096321791410446</v>
      </c>
      <c r="CM3" s="8">
        <v>-0.66520386934280396</v>
      </c>
      <c r="CN3" s="8">
        <v>0.9185185432434082</v>
      </c>
      <c r="CO3" s="8">
        <v>0.32352942228317261</v>
      </c>
      <c r="CP3" s="8">
        <v>-0.28671327233314514</v>
      </c>
      <c r="CQ3" s="8">
        <v>0.27678570151329041</v>
      </c>
      <c r="CR3">
        <v>44.902818175502276</v>
      </c>
      <c r="CS3">
        <v>3.3628880226637539</v>
      </c>
      <c r="CT3">
        <v>0.49082640144665451</v>
      </c>
      <c r="CU3" s="7">
        <v>0.13352457135915757</v>
      </c>
      <c r="CV3" s="8">
        <v>0.11338330507278442</v>
      </c>
      <c r="CW3">
        <v>0.06</v>
      </c>
      <c r="CX3">
        <v>55.315971544895248</v>
      </c>
      <c r="CY3">
        <v>92726801.260952398</v>
      </c>
      <c r="CZ3">
        <v>0.13352457135915757</v>
      </c>
      <c r="DA3">
        <v>17.425847042225701</v>
      </c>
      <c r="DB3">
        <v>294348566.67632425</v>
      </c>
      <c r="DC3">
        <v>0.12684834279119969</v>
      </c>
      <c r="DD3">
        <v>8.1613198616063993</v>
      </c>
      <c r="DE3">
        <v>628485733.55516064</v>
      </c>
      <c r="DF3">
        <v>0.11750162279605866</v>
      </c>
      <c r="DG3">
        <v>4.6280036443807218</v>
      </c>
      <c r="DH3">
        <v>1108312243.0614147</v>
      </c>
      <c r="DI3">
        <v>0.10681965708732606</v>
      </c>
      <c r="DJ3">
        <v>2.1001127190141586</v>
      </c>
      <c r="DK3">
        <v>2442379903.4976559</v>
      </c>
      <c r="DL3">
        <v>9.3467199951410299E-2</v>
      </c>
      <c r="DM3">
        <v>86712200</v>
      </c>
      <c r="DN3">
        <v>0.13352457135915757</v>
      </c>
      <c r="DO3">
        <v>5129273100</v>
      </c>
      <c r="DP3">
        <v>1745009700</v>
      </c>
      <c r="DQ3">
        <v>288</v>
      </c>
      <c r="DR3">
        <v>-0.11691721667351107</v>
      </c>
      <c r="DS3">
        <v>0.63505320163516199</v>
      </c>
      <c r="DT3" s="9">
        <v>-0.32333333333333331</v>
      </c>
      <c r="DU3">
        <v>8.3333333333333329E-2</v>
      </c>
      <c r="DV3">
        <v>-0.24</v>
      </c>
      <c r="DW3">
        <v>-2.0737000000000001</v>
      </c>
      <c r="DX3">
        <v>0.46304207119741114</v>
      </c>
      <c r="DY3">
        <v>-2.0252822006472493</v>
      </c>
      <c r="DZ3">
        <v>2288</v>
      </c>
      <c r="EA3">
        <v>-2.0139621076764262</v>
      </c>
      <c r="EB3">
        <v>2</v>
      </c>
      <c r="EC3">
        <v>9.3500473368198431E-2</v>
      </c>
      <c r="ED3">
        <v>0.27256270066767274</v>
      </c>
      <c r="EE3" s="10">
        <v>1.04871</v>
      </c>
      <c r="EF3">
        <v>1.0842099999999999</v>
      </c>
      <c r="EG3">
        <v>12.343042071197411</v>
      </c>
      <c r="EH3" t="s">
        <v>464</v>
      </c>
      <c r="EI3">
        <v>0</v>
      </c>
      <c r="EJ3">
        <v>0</v>
      </c>
      <c r="EK3" s="12">
        <v>45470</v>
      </c>
      <c r="EL3" s="14">
        <v>-0.72</v>
      </c>
      <c r="EM3" s="14">
        <v>-3.96</v>
      </c>
      <c r="EN3" s="14">
        <v>1.1299999999999999</v>
      </c>
      <c r="EO3" s="14">
        <v>4.45</v>
      </c>
      <c r="EP3" s="14">
        <v>-3.55</v>
      </c>
    </row>
    <row r="4" spans="1:146" ht="240" x14ac:dyDescent="0.25">
      <c r="A4" s="6"/>
      <c r="B4" s="6"/>
      <c r="C4" s="6" t="str">
        <f>"公司是一家以高科技新材料产业的企业,公司主要从事于金属材料及制品的研发和生产销售,公司产品主要包括:难熔钨钼精深加工制品、特种雾化制粉、超硬工具材料、稀土永磁材料及其制品、非晶及纳米晶材料等。"&amp;CHAR(10)&amp;Basic_Fundamental_Information_Constructure(F4)&amp;CHAR(10)&amp;Basic_Fundamental_Information_Concatenate("特种粉末冶金材料及制品 15.13亿 38.29% 41.23% 17.26%
先进功能材料及器件 13.92亿 35.21% 30.77% 14.01%
高品质特钢及焊接材料 8.13亿 20.58% 13.04% 10.16%
环保与高端科技服务业 2.34亿 5.91% 14.96% 40.57%")</f>
        <v>公司是一家以高科技新材料产业的企业,公司主要从事于金属材料及制品的研发和生产销售,公司产品主要包括:难熔钨钼精深加工制品、特种雾化制粉、超硬工具材料、稀土永磁材料及其制品、非晶及纳米晶材料等。
市值81.961472亿, 利润2.49亿; PE32.61; 平均PE72; 平均PEG6.74, PB1.56; ROIC3.8%; ROE3.9667%; 股利率1.0256%; 毛利17.0167%; 净利4.1033%; 上一年度营收增10.55%, 利润增18.01%; 当季营收增-10.29%, 利润增2.46%; 过往5年营收增10.68%, 利润增49.21%
Income profile:
特种粉末冶金材料及制品 15.13亿 38.29% 41.23% 17.26%
先进功能材料及器件 13.92亿 35.21% 30.77% 14.01%
高品质特钢及焊接材料 8.13亿 20.58% 13.04% 10.16%
环保与高端科技服务业 2.34亿 5.91% 14.96% 40.57%</v>
      </c>
      <c r="D4" t="s">
        <v>30</v>
      </c>
      <c r="E4" t="s">
        <v>13</v>
      </c>
      <c r="F4">
        <v>7.8</v>
      </c>
      <c r="G4">
        <v>1.3</v>
      </c>
      <c r="H4" t="s">
        <v>582</v>
      </c>
      <c r="I4">
        <v>8196147200</v>
      </c>
      <c r="J4">
        <v>32.61</v>
      </c>
      <c r="K4">
        <v>1.56</v>
      </c>
      <c r="L4" t="s">
        <v>184</v>
      </c>
      <c r="M4" t="s">
        <v>583</v>
      </c>
      <c r="N4" t="s">
        <v>584</v>
      </c>
      <c r="O4" t="s">
        <v>585</v>
      </c>
      <c r="P4">
        <v>-10.27</v>
      </c>
      <c r="Q4" t="s">
        <v>586</v>
      </c>
      <c r="R4">
        <v>78651420</v>
      </c>
      <c r="S4" s="5">
        <v>2.46E-2</v>
      </c>
      <c r="T4" t="s">
        <v>587</v>
      </c>
      <c r="U4">
        <v>1025728150</v>
      </c>
      <c r="V4">
        <v>1050788100</v>
      </c>
      <c r="W4">
        <v>1.71</v>
      </c>
      <c r="X4">
        <v>0.17</v>
      </c>
      <c r="Y4">
        <v>5.23</v>
      </c>
      <c r="Z4" t="s">
        <v>588</v>
      </c>
      <c r="AA4" t="s">
        <v>589</v>
      </c>
      <c r="AB4" t="s">
        <v>590</v>
      </c>
      <c r="AC4" t="s">
        <v>581</v>
      </c>
      <c r="AD4" t="s">
        <v>5</v>
      </c>
      <c r="AE4">
        <v>-5083657</v>
      </c>
      <c r="AF4" t="s">
        <v>591</v>
      </c>
      <c r="AG4" t="s">
        <v>592</v>
      </c>
      <c r="AH4" t="s">
        <v>593</v>
      </c>
      <c r="AI4" t="s">
        <v>594</v>
      </c>
      <c r="AJ4" t="s">
        <v>595</v>
      </c>
      <c r="AK4" t="s">
        <v>327</v>
      </c>
      <c r="AL4" t="s">
        <v>596</v>
      </c>
      <c r="AM4" t="s">
        <v>5</v>
      </c>
      <c r="AN4" t="s">
        <v>597</v>
      </c>
      <c r="AO4" t="s">
        <v>486</v>
      </c>
      <c r="AP4" t="s">
        <v>123</v>
      </c>
      <c r="AQ4" t="s">
        <v>598</v>
      </c>
      <c r="AR4" t="s">
        <v>5</v>
      </c>
      <c r="AS4" t="s">
        <v>599</v>
      </c>
      <c r="AT4" t="s">
        <v>523</v>
      </c>
      <c r="AU4" t="s">
        <v>600</v>
      </c>
      <c r="AV4" t="s">
        <v>601</v>
      </c>
      <c r="AW4" t="s">
        <v>602</v>
      </c>
      <c r="AX4" t="s">
        <v>409</v>
      </c>
      <c r="AY4" t="s">
        <v>410</v>
      </c>
      <c r="AZ4" t="s">
        <v>106</v>
      </c>
      <c r="BA4" t="s">
        <v>44</v>
      </c>
      <c r="BB4" t="s">
        <v>107</v>
      </c>
      <c r="BC4" t="s">
        <v>295</v>
      </c>
      <c r="BD4" t="s">
        <v>113</v>
      </c>
      <c r="BE4" t="s">
        <v>55</v>
      </c>
      <c r="BF4" t="s">
        <v>45</v>
      </c>
      <c r="BG4" t="s">
        <v>108</v>
      </c>
      <c r="BH4" t="s">
        <v>586</v>
      </c>
      <c r="BI4" t="s">
        <v>603</v>
      </c>
      <c r="BJ4" t="s">
        <v>409</v>
      </c>
      <c r="BK4" t="s">
        <v>587</v>
      </c>
      <c r="BL4" t="s">
        <v>604</v>
      </c>
      <c r="BM4" t="s">
        <v>295</v>
      </c>
      <c r="BN4">
        <v>3.35</v>
      </c>
      <c r="BO4">
        <v>4.13</v>
      </c>
      <c r="BP4">
        <v>3.92</v>
      </c>
      <c r="BQ4">
        <v>3.9</v>
      </c>
      <c r="BR4">
        <v>4.33</v>
      </c>
      <c r="BS4">
        <v>3.67</v>
      </c>
      <c r="BT4" t="s">
        <v>605</v>
      </c>
      <c r="BU4" t="s">
        <v>291</v>
      </c>
      <c r="BV4">
        <v>17.559999999999999</v>
      </c>
      <c r="BW4">
        <v>16.350000000000001</v>
      </c>
      <c r="BX4">
        <v>17.14</v>
      </c>
      <c r="BY4">
        <v>4.2</v>
      </c>
      <c r="BZ4">
        <v>3.95</v>
      </c>
      <c r="CA4">
        <v>4.16</v>
      </c>
      <c r="CB4">
        <v>-1.64</v>
      </c>
      <c r="CC4">
        <v>-9.51</v>
      </c>
      <c r="CD4" t="s">
        <v>606</v>
      </c>
      <c r="CE4" t="s">
        <v>607</v>
      </c>
      <c r="CF4" s="7">
        <v>-0.10294117647058813</v>
      </c>
      <c r="CG4" s="8">
        <v>2.4604658251989573E-2</v>
      </c>
      <c r="CH4" s="7">
        <v>0.10545498877763748</v>
      </c>
      <c r="CI4" s="7">
        <v>0.17053896188735962</v>
      </c>
      <c r="CJ4" s="7">
        <v>0.2707371711730957</v>
      </c>
      <c r="CK4" s="7">
        <v>4.1631702333688736E-2</v>
      </c>
      <c r="CL4" s="7">
        <v>-5.4214455187320709E-2</v>
      </c>
      <c r="CM4" s="8">
        <v>0.18009479343891144</v>
      </c>
      <c r="CN4" s="8">
        <v>0.2196531742811203</v>
      </c>
      <c r="CO4" s="8">
        <v>0.67961162328720093</v>
      </c>
      <c r="CP4" s="8">
        <v>-0.37575757503509521</v>
      </c>
      <c r="CQ4" s="8">
        <v>1.7568807601928711</v>
      </c>
      <c r="CR4">
        <v>72.001293118594432</v>
      </c>
      <c r="CS4">
        <v>6.7398214896252036</v>
      </c>
      <c r="CT4">
        <v>1.0256410256410258</v>
      </c>
      <c r="CU4" s="7">
        <v>0.10682967379689216</v>
      </c>
      <c r="CV4" s="8">
        <v>0.49209655523300172</v>
      </c>
      <c r="CW4">
        <v>0.06</v>
      </c>
      <c r="CX4">
        <v>24.392821734782249</v>
      </c>
      <c r="CY4">
        <v>260000555.44851527</v>
      </c>
      <c r="CZ4">
        <v>0.10682967379689216</v>
      </c>
      <c r="DA4">
        <v>7.8587666401048697</v>
      </c>
      <c r="DB4">
        <v>807015590.41526246</v>
      </c>
      <c r="DC4">
        <v>0.10148819010704756</v>
      </c>
      <c r="DD4">
        <v>3.7953347712051522</v>
      </c>
      <c r="DE4">
        <v>1671037624.4323094</v>
      </c>
      <c r="DF4">
        <v>9.40101129412651E-2</v>
      </c>
      <c r="DG4">
        <v>2.2301082121092528</v>
      </c>
      <c r="DH4">
        <v>2843874196.5806003</v>
      </c>
      <c r="DI4">
        <v>8.5463739037513739E-2</v>
      </c>
      <c r="DJ4">
        <v>1.0976808182272932</v>
      </c>
      <c r="DK4">
        <v>5777769907.8702059</v>
      </c>
      <c r="DL4">
        <v>7.4780771657824513E-2</v>
      </c>
      <c r="DM4">
        <v>249000000.00000003</v>
      </c>
      <c r="DN4">
        <v>0.10682967379689216</v>
      </c>
      <c r="DO4">
        <v>6342147200</v>
      </c>
      <c r="DP4">
        <v>2970766400</v>
      </c>
      <c r="DQ4">
        <v>405</v>
      </c>
      <c r="DR4">
        <v>-0.2097708502674803</v>
      </c>
      <c r="DS4">
        <v>-0.46749189698101212</v>
      </c>
      <c r="DT4" s="9">
        <v>-0.15666666666666665</v>
      </c>
      <c r="DU4">
        <v>0.66666666666666663</v>
      </c>
      <c r="DV4">
        <v>0.51</v>
      </c>
      <c r="DW4">
        <v>-2.0951</v>
      </c>
      <c r="DX4">
        <v>0.32488166189111795</v>
      </c>
      <c r="DY4">
        <v>-2.0128272460458452</v>
      </c>
      <c r="DZ4">
        <v>701</v>
      </c>
      <c r="EA4">
        <v>-2.0110675788289885</v>
      </c>
      <c r="EB4">
        <v>2</v>
      </c>
      <c r="EC4">
        <v>4.4798470785879667E-2</v>
      </c>
      <c r="ED4">
        <v>0.33213166384354753</v>
      </c>
      <c r="EE4" s="10">
        <v>-1.04671</v>
      </c>
      <c r="EF4">
        <v>-1.0682100000000001</v>
      </c>
      <c r="EG4">
        <v>19.134881661891118</v>
      </c>
      <c r="EH4" t="s">
        <v>608</v>
      </c>
      <c r="EI4">
        <v>0</v>
      </c>
      <c r="EJ4">
        <v>1</v>
      </c>
      <c r="EK4" s="12">
        <v>45470</v>
      </c>
      <c r="EL4" s="14">
        <v>-0.62</v>
      </c>
      <c r="EM4" s="14">
        <v>-4.21</v>
      </c>
      <c r="EN4" s="14">
        <v>0.39</v>
      </c>
      <c r="EO4" s="14">
        <v>2.96</v>
      </c>
      <c r="EP4" s="14">
        <v>-2.15</v>
      </c>
    </row>
    <row r="5" spans="1:146" ht="192" hidden="1" x14ac:dyDescent="0.25">
      <c r="A5" s="6" t="s">
        <v>261</v>
      </c>
      <c r="B5" s="6" t="s">
        <v>260</v>
      </c>
      <c r="C5" s="6" t="str">
        <f>"公司主要从事稀土永磁材料和新型磁性材料及其应用产品的研究开发、生产和销售。公司产品广泛应用于计算机、家电、风电、通讯、医疗、汽车等领域。主要产品为应用于电子元器件的钕铁硼永磁材料。公司同时生产烧结钕铁硼和粘结钕铁硼，是目前国内稀土永磁领域的领军企业；中科院控股"&amp;CHAR(10)&amp;Basic_Fundamental_Information_Constructure(F5)&amp;CHAR(10)&amp;Basic_Fundamental_Information_Concatenate("磁材产品销售 69.61亿 97.41% 92.93% 15.42%
其他业务 1.83亿 2.56% 7.07% 44.53%
电动自行车 160.14万 0.02% 0.0090% 6.47%")</f>
        <v>公司主要从事稀土永磁材料和新型磁性材料及其应用产品的研究开发、生产和销售。公司产品广泛应用于计算机、家电、风电、通讯、医疗、汽车等领域。主要产品为应用于电子元器件的钕铁硼永磁材料。公司同时生产烧结钕铁硼和粘结钕铁硼，是目前国内稀土永磁领域的领军企业；中科院控股
市值93.610885亿, 利润2.75亿; PE124.1; 平均PE26.75; 平均PEG1.52, PB1.44; ROIC7.6767%; ROE9.0567%; 股利率.6494%; 毛利15.7333%; 净利7.1233%; 上一年度营收增-13.98%, 利润增-67.57%; 当季营收增-25.42%, 利润增-197.76%; 过往5年营收增17.55%, 利润增39.9%
Income profile:
磁材产品销售 69.61亿 97.41% 92.93% 15.42%
其他业务 1.83亿 2.56% 7.07% 44.53%
电动自行车 160.14万 0.02% 0.0090% 6.47%</v>
      </c>
      <c r="D5" t="s">
        <v>22</v>
      </c>
      <c r="E5" t="s">
        <v>9</v>
      </c>
      <c r="F5">
        <v>7.7</v>
      </c>
      <c r="G5">
        <v>1.45</v>
      </c>
      <c r="H5" t="s">
        <v>609</v>
      </c>
      <c r="I5">
        <v>9361088500</v>
      </c>
      <c r="J5">
        <v>124.1</v>
      </c>
      <c r="K5">
        <v>1.44</v>
      </c>
      <c r="L5" t="s">
        <v>184</v>
      </c>
      <c r="M5" t="s">
        <v>610</v>
      </c>
      <c r="N5" t="s">
        <v>611</v>
      </c>
      <c r="O5" t="s">
        <v>612</v>
      </c>
      <c r="P5">
        <v>-25.43</v>
      </c>
      <c r="Q5" t="s">
        <v>613</v>
      </c>
      <c r="R5">
        <v>-98739955</v>
      </c>
      <c r="S5" s="5">
        <v>-1.976</v>
      </c>
      <c r="T5" t="s">
        <v>475</v>
      </c>
      <c r="U5">
        <v>1215725770</v>
      </c>
      <c r="V5">
        <v>1215725770</v>
      </c>
      <c r="W5">
        <v>1.4</v>
      </c>
      <c r="X5">
        <v>0.15</v>
      </c>
      <c r="Y5">
        <v>-6.73</v>
      </c>
      <c r="Z5" t="s">
        <v>614</v>
      </c>
      <c r="AA5" t="s">
        <v>615</v>
      </c>
      <c r="AB5" t="s">
        <v>616</v>
      </c>
      <c r="AC5" t="s">
        <v>617</v>
      </c>
      <c r="AD5" t="s">
        <v>5</v>
      </c>
      <c r="AE5">
        <v>9210684</v>
      </c>
      <c r="AF5" t="s">
        <v>618</v>
      </c>
      <c r="AG5">
        <v>3206.52</v>
      </c>
      <c r="AH5" t="s">
        <v>619</v>
      </c>
      <c r="AI5" t="s">
        <v>620</v>
      </c>
      <c r="AJ5" t="s">
        <v>621</v>
      </c>
      <c r="AK5" t="s">
        <v>622</v>
      </c>
      <c r="AL5" t="s">
        <v>623</v>
      </c>
      <c r="AM5" t="s">
        <v>5</v>
      </c>
      <c r="AN5" t="s">
        <v>163</v>
      </c>
      <c r="AO5" t="s">
        <v>468</v>
      </c>
      <c r="AP5" t="s">
        <v>508</v>
      </c>
      <c r="AQ5" t="s">
        <v>489</v>
      </c>
      <c r="AR5" t="s">
        <v>5</v>
      </c>
      <c r="AS5" t="s">
        <v>624</v>
      </c>
      <c r="AT5" t="s">
        <v>625</v>
      </c>
      <c r="AU5" t="s">
        <v>626</v>
      </c>
      <c r="AV5" t="s">
        <v>627</v>
      </c>
      <c r="AW5" t="s">
        <v>628</v>
      </c>
      <c r="AX5" t="s">
        <v>412</v>
      </c>
      <c r="AY5" t="s">
        <v>216</v>
      </c>
      <c r="AZ5" t="s">
        <v>109</v>
      </c>
      <c r="BA5" t="s">
        <v>65</v>
      </c>
      <c r="BB5" t="s">
        <v>111</v>
      </c>
      <c r="BC5" t="s">
        <v>413</v>
      </c>
      <c r="BD5" t="s">
        <v>217</v>
      </c>
      <c r="BE5" t="s">
        <v>47</v>
      </c>
      <c r="BF5" t="s">
        <v>66</v>
      </c>
      <c r="BG5" t="s">
        <v>112</v>
      </c>
      <c r="BH5" t="s">
        <v>613</v>
      </c>
      <c r="BI5" t="s">
        <v>629</v>
      </c>
      <c r="BJ5" t="s">
        <v>412</v>
      </c>
      <c r="BK5" t="s">
        <v>475</v>
      </c>
      <c r="BL5" t="s">
        <v>435</v>
      </c>
      <c r="BM5" t="s">
        <v>413</v>
      </c>
      <c r="BN5">
        <v>2.93</v>
      </c>
      <c r="BO5">
        <v>12.42</v>
      </c>
      <c r="BP5">
        <v>7.68</v>
      </c>
      <c r="BQ5">
        <v>3.43</v>
      </c>
      <c r="BR5">
        <v>15.45</v>
      </c>
      <c r="BS5">
        <v>8.2899999999999991</v>
      </c>
      <c r="BT5" t="s">
        <v>630</v>
      </c>
      <c r="BU5" t="s">
        <v>292</v>
      </c>
      <c r="BV5">
        <v>12.71</v>
      </c>
      <c r="BW5">
        <v>18.329999999999998</v>
      </c>
      <c r="BX5">
        <v>16.16</v>
      </c>
      <c r="BY5">
        <v>4.33</v>
      </c>
      <c r="BZ5">
        <v>10.36</v>
      </c>
      <c r="CA5">
        <v>6.68</v>
      </c>
      <c r="CB5">
        <v>0.65</v>
      </c>
      <c r="CC5">
        <v>-6.78</v>
      </c>
      <c r="CD5" t="s">
        <v>631</v>
      </c>
      <c r="CE5" t="s">
        <v>632</v>
      </c>
      <c r="CF5" s="7">
        <v>-0.25417607223476296</v>
      </c>
      <c r="CG5" s="8">
        <v>-1.9776233168316832</v>
      </c>
      <c r="CH5" s="7">
        <v>-0.13976942002773285</v>
      </c>
      <c r="CI5" s="7">
        <v>0.35964176058769226</v>
      </c>
      <c r="CJ5" s="7">
        <v>0.53611338138580322</v>
      </c>
      <c r="CK5" s="7">
        <v>0.15291206538677216</v>
      </c>
      <c r="CL5" s="7">
        <v>-3.1212454661726952E-2</v>
      </c>
      <c r="CM5" s="8">
        <v>-0.67570751905441284</v>
      </c>
      <c r="CN5" s="8">
        <v>1.1253132820129395</v>
      </c>
      <c r="CO5" s="8">
        <v>2.0930233001708984</v>
      </c>
      <c r="CP5" s="8">
        <v>-0.35820895433425903</v>
      </c>
      <c r="CQ5" s="8">
        <v>-0.18951612710952759</v>
      </c>
      <c r="CR5">
        <v>26.745967142857143</v>
      </c>
      <c r="CS5">
        <v>1.5236649256441839</v>
      </c>
      <c r="CT5">
        <v>0.64935064935064934</v>
      </c>
      <c r="CU5" s="7">
        <v>0.17553706653416157</v>
      </c>
      <c r="CV5" s="8">
        <v>0.39898079633712769</v>
      </c>
      <c r="CW5">
        <v>0.06</v>
      </c>
      <c r="CX5">
        <v>16.611529279610789</v>
      </c>
      <c r="CY5">
        <v>304974238.95933437</v>
      </c>
      <c r="CZ5">
        <v>0.17553706653416157</v>
      </c>
      <c r="DA5">
        <v>5.0528366480438711</v>
      </c>
      <c r="DB5">
        <v>1002622655.9216512</v>
      </c>
      <c r="DC5">
        <v>0.16676021320745349</v>
      </c>
      <c r="DD5">
        <v>2.2532563221584514</v>
      </c>
      <c r="DE5">
        <v>2248340967.7719512</v>
      </c>
      <c r="DF5">
        <v>0.15447261855006217</v>
      </c>
      <c r="DG5">
        <v>1.2053300735775208</v>
      </c>
      <c r="DH5">
        <v>4203071516.3054252</v>
      </c>
      <c r="DI5">
        <v>0.14042965322732925</v>
      </c>
      <c r="DJ5">
        <v>0.47623753926985718</v>
      </c>
      <c r="DK5">
        <v>10637734496.459614</v>
      </c>
      <c r="DL5">
        <v>0.12287594657391308</v>
      </c>
      <c r="DM5">
        <v>275000000</v>
      </c>
      <c r="DN5">
        <v>0.17553706653416157</v>
      </c>
      <c r="DO5">
        <v>5066088500</v>
      </c>
      <c r="DP5">
        <v>5684618400</v>
      </c>
      <c r="DQ5">
        <v>406</v>
      </c>
      <c r="DR5">
        <v>-0.42971313876892453</v>
      </c>
      <c r="DS5">
        <v>-2.3766041131688107</v>
      </c>
      <c r="DT5" s="9">
        <v>-4.0000000000000036E-2</v>
      </c>
      <c r="DU5">
        <v>-0.75166666666666659</v>
      </c>
      <c r="DV5">
        <v>-0.79166666666666663</v>
      </c>
      <c r="DW5">
        <v>-2.0678000000000001</v>
      </c>
      <c r="DX5">
        <v>0.33426495176848803</v>
      </c>
      <c r="DY5">
        <v>-2.0145271637299036</v>
      </c>
      <c r="DZ5">
        <v>3329</v>
      </c>
      <c r="EA5">
        <v>-2.0050631856365868</v>
      </c>
      <c r="EB5">
        <v>2</v>
      </c>
      <c r="EC5">
        <v>5.4812032157548159E-2</v>
      </c>
      <c r="ED5">
        <v>0.25581426969340298</v>
      </c>
      <c r="EE5" s="10">
        <v>-3.0672000000000001</v>
      </c>
      <c r="EF5">
        <v>-3.044</v>
      </c>
      <c r="EG5">
        <v>12.214264951768488</v>
      </c>
      <c r="EH5" t="s">
        <v>471</v>
      </c>
      <c r="EI5">
        <v>0</v>
      </c>
      <c r="EJ5">
        <v>0</v>
      </c>
      <c r="EK5" s="12">
        <v>45470</v>
      </c>
      <c r="EL5" s="14">
        <v>-0.51</v>
      </c>
      <c r="EM5" s="14">
        <v>-4.3600000000000003</v>
      </c>
      <c r="EN5" s="14">
        <v>-0.8</v>
      </c>
      <c r="EO5" s="14">
        <v>4.8600000000000003</v>
      </c>
      <c r="EP5" s="14">
        <v>-2.3199999999999998</v>
      </c>
    </row>
    <row r="6" spans="1:146" ht="180" hidden="1" x14ac:dyDescent="0.25">
      <c r="A6" s="6"/>
      <c r="B6" s="6" t="s">
        <v>263</v>
      </c>
      <c r="C6" s="6" t="str">
        <f>"公司从事钐钴磁体和热压钕铁硼磁体的研发、生产和销售。公司的主要产品为粘结钕铁硼磁体、钐钴磁体和热压钕铁硼磁体。公司是全球粘结钕铁硼稀土磁体产销规模最大的厂家"&amp;CHAR(10)&amp;Basic_Fundamental_Information_Constructure(F6)&amp;CHAR(10)&amp;Basic_Fundamental_Information_Concatenate("粘结钕铁硼磁体 7.82亿 90.77% 93.48% 35.22%
热压钕铁硼磁体 4719.54万 5.48% 4.19% 26.15%
钐钴磁体 1870.97万 2.17% 2.59% 40.83%
注塑磁体 1046.78万 1.22% -0.28% -7.88%")</f>
        <v>公司从事钐钴磁体和热压钕铁硼磁体的研发、生产和销售。公司的主要产品为粘结钕铁硼磁体、钐钴磁体和热压钕铁硼磁体。公司是全球粘结钕铁硼稀土磁体产销规模最大的厂家
市值47.599459亿, 利润1.61亿; PE31.53; 平均PE29.23; 平均PEG3.51, PB3.23; ROIC11.3333%; ROE12.4367%; 股利率2.7155%; 毛利31.36%; 净利19.9%; 上一年度营收增-16.94%, 利润增-5.85%; 当季营收增-9.27%, 利润增-20.03%; 过往5年营收增8.33%, 利润增1.66%
Income profile:
粘结钕铁硼磁体 7.82亿 90.77% 93.48% 35.22%
热压钕铁硼磁体 4719.54万 5.48% 4.19% 26.15%
钐钴磁体 1870.97万 2.17% 2.59% 40.83%
注塑磁体 1046.78万 1.22% -0.28% -7.88%</v>
      </c>
      <c r="D6" t="s">
        <v>24</v>
      </c>
      <c r="E6" t="s">
        <v>11</v>
      </c>
      <c r="F6">
        <v>14.73</v>
      </c>
      <c r="G6">
        <v>1.52</v>
      </c>
      <c r="H6" t="s">
        <v>633</v>
      </c>
      <c r="I6">
        <v>4759945900</v>
      </c>
      <c r="J6">
        <v>31.53</v>
      </c>
      <c r="K6">
        <v>3.23</v>
      </c>
      <c r="L6" t="s">
        <v>184</v>
      </c>
      <c r="M6" t="s">
        <v>478</v>
      </c>
      <c r="N6" t="s">
        <v>634</v>
      </c>
      <c r="O6" t="s">
        <v>491</v>
      </c>
      <c r="P6">
        <v>-9.07</v>
      </c>
      <c r="Q6" t="s">
        <v>635</v>
      </c>
      <c r="R6">
        <v>40050740</v>
      </c>
      <c r="S6" s="5">
        <v>-0.20030000000000001</v>
      </c>
      <c r="T6" t="s">
        <v>483</v>
      </c>
      <c r="U6">
        <v>230816140</v>
      </c>
      <c r="V6">
        <v>323146360</v>
      </c>
      <c r="W6">
        <v>1.0900000000000001</v>
      </c>
      <c r="X6">
        <v>0.12</v>
      </c>
      <c r="Y6">
        <v>21.51</v>
      </c>
      <c r="Z6" t="s">
        <v>636</v>
      </c>
      <c r="AA6" t="s">
        <v>463</v>
      </c>
      <c r="AB6" t="s">
        <v>637</v>
      </c>
      <c r="AC6" t="s">
        <v>638</v>
      </c>
      <c r="AD6" t="s">
        <v>5</v>
      </c>
      <c r="AE6">
        <v>-3883009</v>
      </c>
      <c r="AF6" t="s">
        <v>49</v>
      </c>
      <c r="AG6" t="s">
        <v>465</v>
      </c>
      <c r="AH6" t="s">
        <v>639</v>
      </c>
      <c r="AI6" t="s">
        <v>148</v>
      </c>
      <c r="AJ6" t="s">
        <v>640</v>
      </c>
      <c r="AK6" t="s">
        <v>218</v>
      </c>
      <c r="AL6" t="s">
        <v>641</v>
      </c>
      <c r="AM6" t="s">
        <v>5</v>
      </c>
      <c r="AN6" t="s">
        <v>642</v>
      </c>
      <c r="AO6" t="s">
        <v>643</v>
      </c>
      <c r="AP6" t="s">
        <v>5</v>
      </c>
      <c r="AQ6" t="s">
        <v>644</v>
      </c>
      <c r="AR6" t="s">
        <v>5</v>
      </c>
      <c r="AS6" t="s">
        <v>323</v>
      </c>
      <c r="AT6" t="s">
        <v>5</v>
      </c>
      <c r="AU6" t="s">
        <v>645</v>
      </c>
      <c r="AV6" t="s">
        <v>646</v>
      </c>
      <c r="AW6">
        <v>-1.87</v>
      </c>
      <c r="AX6" t="s">
        <v>414</v>
      </c>
      <c r="AY6" t="s">
        <v>219</v>
      </c>
      <c r="AZ6" t="s">
        <v>60</v>
      </c>
      <c r="BA6" t="s">
        <v>67</v>
      </c>
      <c r="BB6" t="s">
        <v>121</v>
      </c>
      <c r="BC6" t="s">
        <v>254</v>
      </c>
      <c r="BD6" t="s">
        <v>186</v>
      </c>
      <c r="BE6" t="s">
        <v>81</v>
      </c>
      <c r="BF6" t="s">
        <v>68</v>
      </c>
      <c r="BG6" t="s">
        <v>117</v>
      </c>
      <c r="BH6" t="s">
        <v>635</v>
      </c>
      <c r="BI6" t="s">
        <v>481</v>
      </c>
      <c r="BJ6" t="s">
        <v>414</v>
      </c>
      <c r="BK6" t="s">
        <v>483</v>
      </c>
      <c r="BL6" t="s">
        <v>647</v>
      </c>
      <c r="BM6" t="s">
        <v>254</v>
      </c>
      <c r="BN6">
        <v>9.1999999999999993</v>
      </c>
      <c r="BO6">
        <v>11.2</v>
      </c>
      <c r="BP6">
        <v>13.6</v>
      </c>
      <c r="BQ6">
        <v>10.210000000000001</v>
      </c>
      <c r="BR6">
        <v>12.47</v>
      </c>
      <c r="BS6">
        <v>14.63</v>
      </c>
      <c r="BT6" t="s">
        <v>416</v>
      </c>
      <c r="BU6" t="s">
        <v>292</v>
      </c>
      <c r="BV6">
        <v>32.21</v>
      </c>
      <c r="BW6">
        <v>27.67</v>
      </c>
      <c r="BX6">
        <v>34.200000000000003</v>
      </c>
      <c r="BY6">
        <v>19.54</v>
      </c>
      <c r="BZ6">
        <v>17.350000000000001</v>
      </c>
      <c r="CA6">
        <v>22.81</v>
      </c>
      <c r="CB6">
        <v>-2.13</v>
      </c>
      <c r="CC6">
        <v>-4.2300000000000004</v>
      </c>
      <c r="CD6" t="s">
        <v>648</v>
      </c>
      <c r="CE6" t="s">
        <v>64</v>
      </c>
      <c r="CF6" s="7">
        <v>-9.2682926829268167E-2</v>
      </c>
      <c r="CG6" s="8">
        <v>-0.2002520008306842</v>
      </c>
      <c r="CH6" s="7">
        <v>-0.16935484111309052</v>
      </c>
      <c r="CI6" s="7">
        <v>0.15214866399765015</v>
      </c>
      <c r="CJ6" s="7">
        <v>0.42549669742584229</v>
      </c>
      <c r="CK6" s="7">
        <v>1.6583747928962111E-3</v>
      </c>
      <c r="CL6" s="7">
        <v>6.6777961328625679E-3</v>
      </c>
      <c r="CM6" s="8">
        <v>-5.8479532599449158E-2</v>
      </c>
      <c r="CN6" s="8">
        <v>-0.11855670064687729</v>
      </c>
      <c r="CO6" s="8">
        <v>0.31081080436706543</v>
      </c>
      <c r="CP6" s="8">
        <v>6.8027209490537643E-3</v>
      </c>
      <c r="CQ6" s="8">
        <v>-5.7692307978868484E-2</v>
      </c>
      <c r="CR6">
        <v>29.232011668372568</v>
      </c>
      <c r="CS6">
        <v>3.5081779784246581</v>
      </c>
      <c r="CT6">
        <v>2.7155465037338762</v>
      </c>
      <c r="CU6" s="7">
        <v>8.3325338247232136E-2</v>
      </c>
      <c r="CV6" s="8">
        <v>1.6576996818184853E-2</v>
      </c>
      <c r="CW6">
        <v>0.06</v>
      </c>
      <c r="CX6">
        <v>20.88785212247511</v>
      </c>
      <c r="CY6">
        <v>164542810.80924937</v>
      </c>
      <c r="CZ6">
        <v>8.3325338247232136E-2</v>
      </c>
      <c r="DA6">
        <v>6.8646739291580419</v>
      </c>
      <c r="DB6">
        <v>500671399.03053552</v>
      </c>
      <c r="DC6">
        <v>7.9159071334870532E-2</v>
      </c>
      <c r="DD6">
        <v>3.4049132233995447</v>
      </c>
      <c r="DE6">
        <v>1009407780.609596</v>
      </c>
      <c r="DF6">
        <v>7.3326297657564279E-2</v>
      </c>
      <c r="DG6">
        <v>2.0621257251930278</v>
      </c>
      <c r="DH6">
        <v>1666700462.5424962</v>
      </c>
      <c r="DI6">
        <v>6.6660270597785717E-2</v>
      </c>
      <c r="DJ6">
        <v>1.0851718998061204</v>
      </c>
      <c r="DK6">
        <v>3167190286.2708235</v>
      </c>
      <c r="DL6">
        <v>5.8327736773062494E-2</v>
      </c>
      <c r="DM6">
        <v>161000000</v>
      </c>
      <c r="DN6">
        <v>8.3325338247232136E-2</v>
      </c>
      <c r="DO6">
        <v>3436945900</v>
      </c>
      <c r="DP6">
        <v>1136921630</v>
      </c>
      <c r="DQ6">
        <v>1617</v>
      </c>
      <c r="DR6">
        <v>-0.1760082650765003</v>
      </c>
      <c r="DS6">
        <v>-0.21682899764886907</v>
      </c>
      <c r="DT6" s="9">
        <v>-0.32333333333333331</v>
      </c>
      <c r="DU6">
        <v>-8.666666666666667E-2</v>
      </c>
      <c r="DV6">
        <v>-0.41</v>
      </c>
      <c r="DW6">
        <v>-1.0423</v>
      </c>
      <c r="DX6">
        <v>0.39398181818181749</v>
      </c>
      <c r="DY6">
        <v>-1.013281430909091</v>
      </c>
      <c r="DZ6">
        <v>2697</v>
      </c>
      <c r="EA6">
        <v>-1.0062716424234122</v>
      </c>
      <c r="EB6">
        <v>1</v>
      </c>
      <c r="EC6">
        <v>0.13894447085834416</v>
      </c>
      <c r="ED6">
        <v>0.44252393868833922</v>
      </c>
      <c r="EE6" s="10">
        <v>-1.0309999999999999</v>
      </c>
      <c r="EF6">
        <v>-1.0263</v>
      </c>
      <c r="EG6">
        <v>8.3139818181818175</v>
      </c>
      <c r="EH6" t="s">
        <v>411</v>
      </c>
      <c r="EI6">
        <v>0</v>
      </c>
      <c r="EJ6">
        <v>0</v>
      </c>
      <c r="EK6" s="12">
        <v>45470</v>
      </c>
      <c r="EL6" s="14">
        <v>0.8</v>
      </c>
      <c r="EM6" s="14">
        <v>-3.52</v>
      </c>
      <c r="EN6" s="14">
        <v>1.72</v>
      </c>
      <c r="EO6" s="14">
        <v>2.92</v>
      </c>
      <c r="EP6" s="14">
        <v>-0.47</v>
      </c>
    </row>
    <row r="7" spans="1:146" ht="180" hidden="1" x14ac:dyDescent="0.25">
      <c r="A7" s="6"/>
      <c r="B7" s="6"/>
      <c r="C7" s="6" t="str">
        <f>"公司主营业务为高性能钕铁硼永磁材料和新能源汽车电机驱动系统的研发、生产、销售和服务。公司主要产品为钕铁硼永磁材料及组件、新能源汽车电机驱动系统"&amp;CHAR(10)&amp;Basic_Fundamental_Information_Constructure(F7)&amp;CHAR(10)&amp;Basic_Fundamental_Information_Concatenate("钕铁硼永磁材料及组件 33.03亿 98.03% 93.90% 18.76%
新能源汽车电机驱动系统 6629.01万 1.97% 6.10% 60.75%")</f>
        <v>公司主营业务为高性能钕铁硼永磁材料和新能源汽车电机驱动系统的研发、生产、销售和服务。公司主要产品为钕铁硼永磁材料及组件、新能源汽车电机驱动系统
市值73.822108亿, 利润4.48亿; PE18.1; 平均PE35.11; 平均PEG1.04, PB2.03; ROIC9.4433%; ROE11.0267%; 股利率2.2222%; 毛利17.3533%; 净利7.3267%; 上一年度营收增-7.04%, 利润增10.89%; 当季营收增-14.75%, 利润增-33.88%; 过往5年营收增33.73%, 利润增83.92%
Income profile:
钕铁硼永磁材料及组件 33.03亿 98.03% 93.90% 18.76%
新能源汽车电机驱动系统 6629.01万 1.97% 6.10% 60.75%</v>
      </c>
      <c r="D7" t="s">
        <v>29</v>
      </c>
      <c r="E7" t="s">
        <v>12</v>
      </c>
      <c r="F7">
        <v>9</v>
      </c>
      <c r="G7">
        <v>1.93</v>
      </c>
      <c r="H7" t="s">
        <v>649</v>
      </c>
      <c r="I7">
        <v>7382210800</v>
      </c>
      <c r="J7">
        <v>18.100000000000001</v>
      </c>
      <c r="K7">
        <v>2.0299999999999998</v>
      </c>
      <c r="L7" t="s">
        <v>184</v>
      </c>
      <c r="M7" t="s">
        <v>650</v>
      </c>
      <c r="N7" t="s">
        <v>651</v>
      </c>
      <c r="O7" t="s">
        <v>496</v>
      </c>
      <c r="P7">
        <v>-14.76</v>
      </c>
      <c r="Q7" t="s">
        <v>652</v>
      </c>
      <c r="R7">
        <v>78020910</v>
      </c>
      <c r="S7" s="5">
        <v>-0.33660000000000001</v>
      </c>
      <c r="T7" t="s">
        <v>294</v>
      </c>
      <c r="U7">
        <v>814958950</v>
      </c>
      <c r="V7">
        <v>820245640</v>
      </c>
      <c r="W7">
        <v>2.12</v>
      </c>
      <c r="X7">
        <v>0.14000000000000001</v>
      </c>
      <c r="Y7">
        <v>6.8</v>
      </c>
      <c r="Z7" t="s">
        <v>653</v>
      </c>
      <c r="AA7" t="s">
        <v>492</v>
      </c>
      <c r="AB7" t="s">
        <v>654</v>
      </c>
      <c r="AC7" t="s">
        <v>655</v>
      </c>
      <c r="AD7" t="s">
        <v>5</v>
      </c>
      <c r="AE7">
        <v>16635725</v>
      </c>
      <c r="AF7" t="s">
        <v>656</v>
      </c>
      <c r="AG7" t="s">
        <v>657</v>
      </c>
      <c r="AH7" t="s">
        <v>658</v>
      </c>
      <c r="AI7" t="s">
        <v>659</v>
      </c>
      <c r="AJ7" t="s">
        <v>660</v>
      </c>
      <c r="AK7" t="s">
        <v>661</v>
      </c>
      <c r="AL7" t="s">
        <v>662</v>
      </c>
      <c r="AM7" t="s">
        <v>5</v>
      </c>
      <c r="AN7" t="s">
        <v>469</v>
      </c>
      <c r="AO7" t="s">
        <v>5</v>
      </c>
      <c r="AP7" t="s">
        <v>663</v>
      </c>
      <c r="AQ7" t="s">
        <v>664</v>
      </c>
      <c r="AR7" t="s">
        <v>5</v>
      </c>
      <c r="AS7" t="s">
        <v>665</v>
      </c>
      <c r="AT7" t="s">
        <v>5</v>
      </c>
      <c r="AU7" t="s">
        <v>666</v>
      </c>
      <c r="AV7" t="s">
        <v>667</v>
      </c>
      <c r="AW7" t="s">
        <v>668</v>
      </c>
      <c r="AX7" t="s">
        <v>417</v>
      </c>
      <c r="AY7" t="s">
        <v>220</v>
      </c>
      <c r="AZ7" t="s">
        <v>122</v>
      </c>
      <c r="BA7" t="s">
        <v>70</v>
      </c>
      <c r="BB7" t="s">
        <v>119</v>
      </c>
      <c r="BC7" t="s">
        <v>418</v>
      </c>
      <c r="BD7" t="s">
        <v>221</v>
      </c>
      <c r="BE7" t="s">
        <v>105</v>
      </c>
      <c r="BF7" t="s">
        <v>71</v>
      </c>
      <c r="BG7" t="s">
        <v>124</v>
      </c>
      <c r="BH7" t="s">
        <v>652</v>
      </c>
      <c r="BI7" t="s">
        <v>237</v>
      </c>
      <c r="BJ7" t="s">
        <v>417</v>
      </c>
      <c r="BK7" t="s">
        <v>294</v>
      </c>
      <c r="BL7" t="s">
        <v>76</v>
      </c>
      <c r="BM7" t="s">
        <v>418</v>
      </c>
      <c r="BN7">
        <v>8.16</v>
      </c>
      <c r="BO7">
        <v>10.47</v>
      </c>
      <c r="BP7">
        <v>9.6999999999999993</v>
      </c>
      <c r="BQ7">
        <v>9.85</v>
      </c>
      <c r="BR7">
        <v>13.29</v>
      </c>
      <c r="BS7">
        <v>9.94</v>
      </c>
      <c r="BT7" t="s">
        <v>324</v>
      </c>
      <c r="BU7" t="s">
        <v>292</v>
      </c>
      <c r="BV7">
        <v>18.09</v>
      </c>
      <c r="BW7">
        <v>14.39</v>
      </c>
      <c r="BX7">
        <v>19.579999999999998</v>
      </c>
      <c r="BY7">
        <v>7.63</v>
      </c>
      <c r="BZ7">
        <v>6.44</v>
      </c>
      <c r="CA7">
        <v>7.91</v>
      </c>
      <c r="CB7">
        <v>-2.81</v>
      </c>
      <c r="CC7">
        <v>-11.33</v>
      </c>
      <c r="CD7" t="s">
        <v>669</v>
      </c>
      <c r="CE7" t="s">
        <v>254</v>
      </c>
      <c r="CF7" s="7">
        <v>-0.14752906976744187</v>
      </c>
      <c r="CG7" s="8">
        <v>-0.3388058474576271</v>
      </c>
      <c r="CH7" s="7">
        <v>-7.0422567427158356E-2</v>
      </c>
      <c r="CI7" s="7">
        <v>0.87507414817810059</v>
      </c>
      <c r="CJ7" s="7">
        <v>0.72466742992401123</v>
      </c>
      <c r="CK7" s="7">
        <v>8.6159013211727142E-2</v>
      </c>
      <c r="CL7" s="7">
        <v>7.0833295583724976E-2</v>
      </c>
      <c r="CM7" s="8">
        <v>0.10891088843345642</v>
      </c>
      <c r="CN7" s="8">
        <v>0.52452832460403442</v>
      </c>
      <c r="CO7" s="8">
        <v>0.99248123168945313</v>
      </c>
      <c r="CP7" s="8">
        <v>0.42820778489112854</v>
      </c>
      <c r="CQ7" s="8">
        <v>2.1417717933654785</v>
      </c>
      <c r="CR7">
        <v>35.109831851441427</v>
      </c>
      <c r="CS7">
        <v>1.0410246152670031</v>
      </c>
      <c r="CT7">
        <v>2.2222222222222223</v>
      </c>
      <c r="CU7" s="7">
        <v>0.33726226389408109</v>
      </c>
      <c r="CV7" s="8">
        <v>0.83918000459671016</v>
      </c>
      <c r="CW7">
        <v>0.06</v>
      </c>
      <c r="CX7">
        <v>13.891460228210548</v>
      </c>
      <c r="CY7">
        <v>565182541.72127211</v>
      </c>
      <c r="CZ7">
        <v>0.33726226389408109</v>
      </c>
      <c r="DA7">
        <v>3.7049403064652049</v>
      </c>
      <c r="DB7">
        <v>2119119378.6036065</v>
      </c>
      <c r="DC7">
        <v>0.32039915069937702</v>
      </c>
      <c r="DD7">
        <v>1.3601968090221073</v>
      </c>
      <c r="DE7">
        <v>5772113820.5319777</v>
      </c>
      <c r="DF7">
        <v>0.29679079222679139</v>
      </c>
      <c r="DG7">
        <v>0.56934295480233366</v>
      </c>
      <c r="DH7">
        <v>13789949860.231094</v>
      </c>
      <c r="DI7">
        <v>0.26980981111526486</v>
      </c>
      <c r="DJ7">
        <v>0.12107598095075968</v>
      </c>
      <c r="DK7">
        <v>64845320585.864212</v>
      </c>
      <c r="DL7">
        <v>0.23608358472585675</v>
      </c>
      <c r="DM7">
        <v>448000000.00000006</v>
      </c>
      <c r="DN7">
        <v>0.33726226389408109</v>
      </c>
      <c r="DO7">
        <v>7851210800</v>
      </c>
      <c r="DP7">
        <v>2854816900</v>
      </c>
      <c r="DQ7">
        <v>1709</v>
      </c>
      <c r="DR7">
        <v>-0.48479133366152294</v>
      </c>
      <c r="DS7">
        <v>-1.1779858520543374</v>
      </c>
      <c r="DT7" s="9">
        <v>0.12666666666666671</v>
      </c>
      <c r="DU7">
        <v>0.8666666666666667</v>
      </c>
      <c r="DV7">
        <v>0.9933333333333334</v>
      </c>
      <c r="DW7">
        <v>-8.2480141218005301</v>
      </c>
      <c r="DX7">
        <v>0.42738128654970742</v>
      </c>
      <c r="DY7">
        <v>-8.0811951822775541</v>
      </c>
      <c r="DZ7">
        <v>210</v>
      </c>
      <c r="EA7">
        <v>-8.0778583939647781</v>
      </c>
      <c r="EB7">
        <v>8</v>
      </c>
      <c r="EC7">
        <v>6.8250530414279309E-2</v>
      </c>
      <c r="ED7">
        <v>0.20847413465068829</v>
      </c>
      <c r="EE7" s="10">
        <v>2.0865</v>
      </c>
      <c r="EF7">
        <v>2.0526</v>
      </c>
      <c r="EG7">
        <v>10.327381286549707</v>
      </c>
      <c r="EH7" t="s">
        <v>462</v>
      </c>
      <c r="EI7">
        <v>0</v>
      </c>
      <c r="EJ7">
        <v>1</v>
      </c>
      <c r="EK7" s="12">
        <v>45470</v>
      </c>
      <c r="EL7" s="14">
        <v>0.32</v>
      </c>
      <c r="EM7" s="14">
        <v>-3.08</v>
      </c>
      <c r="EN7" s="14">
        <v>0.44</v>
      </c>
      <c r="EO7" s="14">
        <v>3.05</v>
      </c>
      <c r="EP7" s="14">
        <v>-3.39</v>
      </c>
    </row>
    <row r="8" spans="1:146" ht="252" hidden="1" x14ac:dyDescent="0.25">
      <c r="A8" s="6" t="s">
        <v>258</v>
      </c>
      <c r="B8" s="6" t="s">
        <v>259</v>
      </c>
      <c r="C8" s="6" t="str">
        <f>"与传统电机相比，稀土永磁材料电机可节省高达15%至20%的能源。此外，稀土永磁材料的应用使变频家电、新能源汽车及汽车零部件以及3C智能电子产品实现更轻量小型化，符合消费者的偏好。晶界渗透技术使公司能够在保持钕铁硼永磁材料高性能的同时减少中重稀土的使用，并开发高牌号产品
公司主营业务是高性能稀土永磁材料及磁组件的研发、生产、销售。金力永磁产品主要为高性能钕铁硼永磁材料；"&amp;CHAR(10)&amp;Basic_Fundamental_Information_Constructure(F8)&amp;CHAR(10)&amp;Basic_Fundamental_Information_Concatenate("钕铁硼磁钢 28.78亿 87.12% 80.86% 19.05%
其他业务 4.26亿 12.88% 19.14% 30.50%")</f>
        <v>与传统电机相比，稀土永磁材料电机可节省高达15%至20%的能源。此外，稀土永磁材料的应用使变频家电、新能源汽车及汽车零部件以及3C智能电子产品实现更轻量小型化，符合消费者的偏好。晶界渗透技术使公司能够在保持钕铁硼永磁材料高性能的同时减少中重稀土的使用，并开发高牌号产品
公司主营业务是高性能稀土永磁材料及磁组件的研发、生产、销售。金力永磁产品主要为高性能钕铁硼永磁材料；
市值169.23078亿, 利润5.64亿; PE34.74; 平均PE44.77; 平均PEG1.06, PB2.37; ROIC10.2233%; ROE13.8467%; 股利率2.0668%; 毛利18.2233%; 净利9.81%; 上一年度营收增-6.66%, 利润增-19.77%; 当季营收增-6.97%, 利润增-42.87%; 过往5年营收增42.37%, 利润增36.66%
Income profile:
钕铁硼磁钢 28.78亿 87.12% 80.86% 19.05%
其他业务 4.26亿 12.88% 19.14% 30.50%</v>
      </c>
      <c r="D8" t="s">
        <v>20</v>
      </c>
      <c r="E8" t="s">
        <v>6</v>
      </c>
      <c r="F8">
        <v>12.58</v>
      </c>
      <c r="G8">
        <v>1.53</v>
      </c>
      <c r="H8" t="s">
        <v>670</v>
      </c>
      <c r="I8">
        <v>16923078000</v>
      </c>
      <c r="J8">
        <v>34.74</v>
      </c>
      <c r="K8">
        <v>2.37</v>
      </c>
      <c r="L8" t="s">
        <v>184</v>
      </c>
      <c r="M8" t="s">
        <v>671</v>
      </c>
      <c r="N8" t="s">
        <v>672</v>
      </c>
      <c r="O8" t="s">
        <v>673</v>
      </c>
      <c r="P8">
        <v>-6.93</v>
      </c>
      <c r="Q8" t="s">
        <v>674</v>
      </c>
      <c r="R8">
        <v>101692621</v>
      </c>
      <c r="S8" s="5">
        <v>-0.42930000000000001</v>
      </c>
      <c r="T8" t="s">
        <v>675</v>
      </c>
      <c r="U8">
        <v>1133937000</v>
      </c>
      <c r="V8">
        <v>1345236700</v>
      </c>
      <c r="W8">
        <v>1.62</v>
      </c>
      <c r="X8">
        <v>0.13</v>
      </c>
      <c r="Y8">
        <v>6.65</v>
      </c>
      <c r="Z8" t="s">
        <v>676</v>
      </c>
      <c r="AA8" t="s">
        <v>677</v>
      </c>
      <c r="AB8" t="s">
        <v>678</v>
      </c>
      <c r="AC8" t="s">
        <v>679</v>
      </c>
      <c r="AD8" t="s">
        <v>5</v>
      </c>
      <c r="AE8">
        <v>-14607449</v>
      </c>
      <c r="AF8" t="s">
        <v>680</v>
      </c>
      <c r="AG8" t="s">
        <v>681</v>
      </c>
      <c r="AH8" t="s">
        <v>682</v>
      </c>
      <c r="AI8" t="s">
        <v>683</v>
      </c>
      <c r="AJ8" t="s">
        <v>684</v>
      </c>
      <c r="AK8" t="s">
        <v>685</v>
      </c>
      <c r="AL8" t="s">
        <v>686</v>
      </c>
      <c r="AM8" t="s">
        <v>5</v>
      </c>
      <c r="AN8" t="s">
        <v>687</v>
      </c>
      <c r="AO8" t="s">
        <v>66</v>
      </c>
      <c r="AP8" t="s">
        <v>688</v>
      </c>
      <c r="AQ8" t="s">
        <v>232</v>
      </c>
      <c r="AR8" t="s">
        <v>5</v>
      </c>
      <c r="AS8" t="s">
        <v>689</v>
      </c>
      <c r="AT8" t="s">
        <v>690</v>
      </c>
      <c r="AU8" t="s">
        <v>691</v>
      </c>
      <c r="AV8" t="s">
        <v>692</v>
      </c>
      <c r="AW8" t="s">
        <v>693</v>
      </c>
      <c r="AX8" t="s">
        <v>419</v>
      </c>
      <c r="AY8" t="s">
        <v>223</v>
      </c>
      <c r="AZ8" t="s">
        <v>224</v>
      </c>
      <c r="BA8" t="s">
        <v>72</v>
      </c>
      <c r="BB8" t="s">
        <v>126</v>
      </c>
      <c r="BC8" t="s">
        <v>420</v>
      </c>
      <c r="BD8" t="s">
        <v>222</v>
      </c>
      <c r="BE8" t="s">
        <v>116</v>
      </c>
      <c r="BF8" t="s">
        <v>73</v>
      </c>
      <c r="BG8" t="s">
        <v>68</v>
      </c>
      <c r="BH8" t="s">
        <v>674</v>
      </c>
      <c r="BI8" t="s">
        <v>495</v>
      </c>
      <c r="BJ8" t="s">
        <v>419</v>
      </c>
      <c r="BK8" t="s">
        <v>675</v>
      </c>
      <c r="BL8" t="s">
        <v>152</v>
      </c>
      <c r="BM8" t="s">
        <v>420</v>
      </c>
      <c r="BN8">
        <v>5.62</v>
      </c>
      <c r="BO8">
        <v>11.24</v>
      </c>
      <c r="BP8">
        <v>13.81</v>
      </c>
      <c r="BQ8">
        <v>7.09</v>
      </c>
      <c r="BR8">
        <v>11.35</v>
      </c>
      <c r="BS8">
        <v>23.1</v>
      </c>
      <c r="BT8" t="s">
        <v>694</v>
      </c>
      <c r="BU8" t="s">
        <v>292</v>
      </c>
      <c r="BV8">
        <v>16.07</v>
      </c>
      <c r="BW8">
        <v>16.18</v>
      </c>
      <c r="BX8">
        <v>22.42</v>
      </c>
      <c r="BY8">
        <v>8.48</v>
      </c>
      <c r="BZ8">
        <v>9.83</v>
      </c>
      <c r="CA8">
        <v>11.12</v>
      </c>
      <c r="CB8">
        <v>-2.93</v>
      </c>
      <c r="CC8">
        <v>-11.22</v>
      </c>
      <c r="CD8" t="s">
        <v>695</v>
      </c>
      <c r="CE8" t="s">
        <v>696</v>
      </c>
      <c r="CF8" s="7">
        <v>-6.965475469412491E-2</v>
      </c>
      <c r="CG8" s="8">
        <v>-0.42869314044943818</v>
      </c>
      <c r="CH8" s="7">
        <v>-6.6573649644851685E-2</v>
      </c>
      <c r="CI8" s="7">
        <v>0.75612747669219971</v>
      </c>
      <c r="CJ8" s="7">
        <v>0.68804305791854858</v>
      </c>
      <c r="CK8" s="7">
        <v>0.4242781400680542</v>
      </c>
      <c r="CL8" s="7">
        <v>0.3165244460105896</v>
      </c>
      <c r="CM8" s="8">
        <v>-0.19772404432296753</v>
      </c>
      <c r="CN8" s="8">
        <v>0.55187636613845825</v>
      </c>
      <c r="CO8" s="8">
        <v>0.85655736923217773</v>
      </c>
      <c r="CP8" s="8">
        <v>0.55414015054702759</v>
      </c>
      <c r="CQ8" s="8">
        <v>6.8027213215827942E-2</v>
      </c>
      <c r="CR8">
        <v>44.770047619047617</v>
      </c>
      <c r="CS8">
        <v>1.0566951189090981</v>
      </c>
      <c r="CT8">
        <v>2.066772655007949</v>
      </c>
      <c r="CU8" s="7">
        <v>0.42367989420890806</v>
      </c>
      <c r="CV8" s="8">
        <v>0.36657541096210478</v>
      </c>
      <c r="CW8">
        <v>0.06</v>
      </c>
      <c r="CX8">
        <v>19.226374864655348</v>
      </c>
      <c r="CY8">
        <v>757505151.25832462</v>
      </c>
      <c r="CZ8">
        <v>0.42367989420890806</v>
      </c>
      <c r="DA8">
        <v>4.7908896219000656</v>
      </c>
      <c r="DB8">
        <v>3039952733.0842347</v>
      </c>
      <c r="DC8">
        <v>0.40249589949846265</v>
      </c>
      <c r="DD8">
        <v>1.58211740097205</v>
      </c>
      <c r="DE8">
        <v>9205434433.0274467</v>
      </c>
      <c r="DF8">
        <v>0.37283830690383907</v>
      </c>
      <c r="DG8">
        <v>0.5759198820576652</v>
      </c>
      <c r="DH8">
        <v>25288375091.280041</v>
      </c>
      <c r="DI8">
        <v>0.33894391536712648</v>
      </c>
      <c r="DJ8">
        <v>8.5335560979646702E-2</v>
      </c>
      <c r="DK8">
        <v>170668333726.35428</v>
      </c>
      <c r="DL8">
        <v>0.29657592594623561</v>
      </c>
      <c r="DM8">
        <v>564000000</v>
      </c>
      <c r="DN8">
        <v>0.42367989420890806</v>
      </c>
      <c r="DO8">
        <v>14564078000</v>
      </c>
      <c r="DP8">
        <v>4937559500</v>
      </c>
      <c r="DQ8">
        <v>2208</v>
      </c>
      <c r="DR8">
        <v>-0.49333464890303297</v>
      </c>
      <c r="DS8">
        <v>-0.79526855141154296</v>
      </c>
      <c r="DT8" s="9">
        <v>0.34333333333333332</v>
      </c>
      <c r="DU8">
        <v>0.14666666666666661</v>
      </c>
      <c r="DV8">
        <v>0.48999999999999994</v>
      </c>
      <c r="DW8">
        <v>-8.2611408199643499</v>
      </c>
      <c r="DX8">
        <v>0.40231630769230831</v>
      </c>
      <c r="DY8">
        <v>-8.0789471284793635</v>
      </c>
      <c r="DZ8">
        <v>761</v>
      </c>
      <c r="EA8">
        <v>-8.0671900316549419</v>
      </c>
      <c r="EB8">
        <v>8</v>
      </c>
      <c r="EC8">
        <v>7.3037555398243303E-2</v>
      </c>
      <c r="ED8">
        <v>0.24159317092672242</v>
      </c>
      <c r="EE8" s="10">
        <v>1.0238100000000001</v>
      </c>
      <c r="EF8">
        <v>1.0477099999999999</v>
      </c>
      <c r="EG8">
        <v>10.302316307692308</v>
      </c>
      <c r="EH8" t="s">
        <v>464</v>
      </c>
      <c r="EI8">
        <v>0</v>
      </c>
      <c r="EJ8">
        <v>1</v>
      </c>
      <c r="EK8" s="12">
        <v>45470</v>
      </c>
      <c r="EL8" s="14">
        <v>-0.55000000000000004</v>
      </c>
      <c r="EM8" s="14">
        <v>-3.78</v>
      </c>
      <c r="EN8" s="14">
        <v>-1.25</v>
      </c>
      <c r="EO8" s="14">
        <v>3.75</v>
      </c>
      <c r="EP8" s="14">
        <v>-2.39</v>
      </c>
    </row>
    <row r="9" spans="1:146" ht="108" hidden="1" x14ac:dyDescent="0.25">
      <c r="A9" s="6"/>
      <c r="B9" s="6"/>
      <c r="C9" s="6" t="str">
        <f>""&amp;CHAR(10)&amp;Basic_Fundamental_Information_Constructure(F9)&amp;CHAR(10)&amp;Basic_Fundamental_Information_Concatenate("")</f>
        <v xml:space="preserve">
市值117.64606亿, 利润2166.14万; PE44.96; 平均PE118.59; 平均PEG6.49, PB5.94; ROIC12.1133%; ROE13.8%; 股利率.4764%; 毛利37.0333%; 净利18.9167%; 上一年度营收增-49.25%, 利润增-88.78%; 当季营收增146.32%, 利润增2150.99%; 过往5年营收增18.27%, 利润增6.66%
Income profile:
</v>
      </c>
      <c r="D9" t="s">
        <v>26</v>
      </c>
      <c r="E9" t="s">
        <v>27</v>
      </c>
      <c r="F9">
        <v>41.98</v>
      </c>
      <c r="G9">
        <v>1.6</v>
      </c>
      <c r="H9" t="s">
        <v>697</v>
      </c>
      <c r="I9">
        <v>11764606000</v>
      </c>
      <c r="J9">
        <v>44.96</v>
      </c>
      <c r="K9">
        <v>5.94</v>
      </c>
      <c r="L9" t="s">
        <v>184</v>
      </c>
      <c r="M9" t="s">
        <v>60</v>
      </c>
      <c r="N9" t="s">
        <v>698</v>
      </c>
      <c r="O9" t="s">
        <v>484</v>
      </c>
      <c r="P9">
        <v>15.28</v>
      </c>
      <c r="Q9" t="s">
        <v>699</v>
      </c>
      <c r="R9">
        <v>71521980</v>
      </c>
      <c r="S9" s="5">
        <v>8.9800000000000005E-2</v>
      </c>
      <c r="T9" t="s">
        <v>700</v>
      </c>
      <c r="U9">
        <v>228095130</v>
      </c>
      <c r="V9">
        <v>280243120</v>
      </c>
      <c r="W9">
        <v>1.31</v>
      </c>
      <c r="X9">
        <v>0.13</v>
      </c>
      <c r="Y9">
        <v>21.33</v>
      </c>
      <c r="Z9" t="s">
        <v>701</v>
      </c>
      <c r="AA9" t="s">
        <v>125</v>
      </c>
      <c r="AB9" t="s">
        <v>702</v>
      </c>
      <c r="AC9" t="s">
        <v>703</v>
      </c>
      <c r="AD9" t="s">
        <v>5</v>
      </c>
      <c r="AE9">
        <v>2667547</v>
      </c>
      <c r="AF9" t="s">
        <v>704</v>
      </c>
      <c r="AG9" t="s">
        <v>705</v>
      </c>
      <c r="AH9" t="s">
        <v>706</v>
      </c>
      <c r="AI9" t="s">
        <v>707</v>
      </c>
      <c r="AJ9" t="s">
        <v>708</v>
      </c>
      <c r="AK9" t="s">
        <v>709</v>
      </c>
      <c r="AL9" t="s">
        <v>710</v>
      </c>
      <c r="AM9" t="s">
        <v>5</v>
      </c>
      <c r="AN9" t="s">
        <v>636</v>
      </c>
      <c r="AO9" t="s">
        <v>711</v>
      </c>
      <c r="AP9" t="s">
        <v>5</v>
      </c>
      <c r="AQ9" t="s">
        <v>636</v>
      </c>
      <c r="AR9" t="s">
        <v>5</v>
      </c>
      <c r="AS9" t="s">
        <v>712</v>
      </c>
      <c r="AT9" t="s">
        <v>713</v>
      </c>
      <c r="AU9" t="s">
        <v>714</v>
      </c>
      <c r="AV9" t="s">
        <v>715</v>
      </c>
      <c r="AW9" t="s">
        <v>716</v>
      </c>
      <c r="AX9" t="s">
        <v>421</v>
      </c>
      <c r="AY9" t="s">
        <v>202</v>
      </c>
      <c r="AZ9" t="s">
        <v>127</v>
      </c>
      <c r="BA9" t="s">
        <v>74</v>
      </c>
      <c r="BB9" t="s">
        <v>63</v>
      </c>
      <c r="BC9" t="s">
        <v>88</v>
      </c>
      <c r="BD9" t="s">
        <v>187</v>
      </c>
      <c r="BE9" t="s">
        <v>48</v>
      </c>
      <c r="BF9" t="s">
        <v>75</v>
      </c>
      <c r="BG9" t="s">
        <v>130</v>
      </c>
      <c r="BH9" t="s">
        <v>717</v>
      </c>
      <c r="BI9" t="s">
        <v>90</v>
      </c>
      <c r="BJ9" t="s">
        <v>421</v>
      </c>
      <c r="BK9" t="s">
        <v>86</v>
      </c>
      <c r="BL9" t="s">
        <v>718</v>
      </c>
      <c r="BM9" t="s">
        <v>88</v>
      </c>
      <c r="BN9">
        <v>10.28</v>
      </c>
      <c r="BO9">
        <v>13.89</v>
      </c>
      <c r="BP9">
        <v>12.17</v>
      </c>
      <c r="BQ9">
        <v>10.96</v>
      </c>
      <c r="BR9">
        <v>17.28</v>
      </c>
      <c r="BS9">
        <v>13.16</v>
      </c>
      <c r="BT9" t="s">
        <v>719</v>
      </c>
      <c r="BU9" t="s">
        <v>292</v>
      </c>
      <c r="BV9">
        <v>39.61</v>
      </c>
      <c r="BW9">
        <v>37.64</v>
      </c>
      <c r="BX9">
        <v>33.85</v>
      </c>
      <c r="BY9">
        <v>22.06</v>
      </c>
      <c r="BZ9">
        <v>18.12</v>
      </c>
      <c r="CA9">
        <v>16.57</v>
      </c>
      <c r="CB9">
        <v>-4.37</v>
      </c>
      <c r="CC9">
        <v>2.37</v>
      </c>
      <c r="CD9" t="s">
        <v>720</v>
      </c>
      <c r="CE9" t="s">
        <v>430</v>
      </c>
      <c r="CF9" s="7">
        <v>1.463235294117647</v>
      </c>
      <c r="CG9" s="8">
        <v>21.50985891259463</v>
      </c>
      <c r="CH9" s="7">
        <v>-0.49249529838562012</v>
      </c>
      <c r="CI9" s="7">
        <v>0.46831956505775452</v>
      </c>
      <c r="CJ9" s="7">
        <v>0.46076458692550659</v>
      </c>
      <c r="CK9" s="7">
        <v>0.23325061798095703</v>
      </c>
      <c r="CL9" s="7">
        <v>0.24382716417312622</v>
      </c>
      <c r="CM9" s="8">
        <v>-0.88776475191116333</v>
      </c>
      <c r="CN9" s="8">
        <v>0.60833334922790527</v>
      </c>
      <c r="CO9" s="8">
        <v>0.1214953288435936</v>
      </c>
      <c r="CP9" s="8">
        <v>0.26485016942024231</v>
      </c>
      <c r="CQ9" s="8">
        <v>0.22625789046287537</v>
      </c>
      <c r="CR9">
        <v>118.58631109629735</v>
      </c>
      <c r="CS9">
        <v>6.4895830960670802</v>
      </c>
      <c r="CT9">
        <v>0.47641734159123394</v>
      </c>
      <c r="CU9" s="7">
        <v>0.18273332715034485</v>
      </c>
      <c r="CV9" s="8">
        <v>6.6634397208690646E-2</v>
      </c>
      <c r="CW9">
        <v>0.06</v>
      </c>
      <c r="CX9">
        <v>429.57488475622046</v>
      </c>
      <c r="CY9">
        <v>24169490.276164602</v>
      </c>
      <c r="CZ9">
        <v>0.18273332715034485</v>
      </c>
      <c r="DA9">
        <v>129.88934736532119</v>
      </c>
      <c r="DB9">
        <v>79934237.954082012</v>
      </c>
      <c r="DC9">
        <v>0.1735966607928276</v>
      </c>
      <c r="DD9">
        <v>57.433805517808615</v>
      </c>
      <c r="DE9">
        <v>180775170.76211578</v>
      </c>
      <c r="DF9">
        <v>0.16080532789230348</v>
      </c>
      <c r="DG9">
        <v>30.409282558282239</v>
      </c>
      <c r="DH9">
        <v>341428837.72745258</v>
      </c>
      <c r="DI9">
        <v>0.14618666172027589</v>
      </c>
      <c r="DJ9">
        <v>11.719588687110747</v>
      </c>
      <c r="DK9">
        <v>885918975.24687314</v>
      </c>
      <c r="DL9">
        <v>0.12791332900524138</v>
      </c>
      <c r="DM9">
        <v>21661400</v>
      </c>
      <c r="DN9">
        <v>0.18273332715034485</v>
      </c>
      <c r="DO9">
        <v>10382606000</v>
      </c>
      <c r="DP9">
        <v>947750770</v>
      </c>
      <c r="DQ9">
        <v>2268</v>
      </c>
      <c r="DR9">
        <v>1.2805019669673021</v>
      </c>
      <c r="DS9">
        <v>21.443224515385939</v>
      </c>
      <c r="DT9" s="9">
        <v>-0.10666666666666676</v>
      </c>
      <c r="DU9">
        <v>0.18333333333333326</v>
      </c>
      <c r="DV9">
        <v>7.6666666666666508E-2</v>
      </c>
      <c r="DW9">
        <v>-4.5423340961098395</v>
      </c>
      <c r="DX9">
        <v>0.37191865671641822</v>
      </c>
      <c r="DY9">
        <v>-4.1312007360224055</v>
      </c>
      <c r="DZ9">
        <v>4718</v>
      </c>
      <c r="EA9">
        <v>-4.0100647139962398</v>
      </c>
      <c r="EB9">
        <v>4</v>
      </c>
      <c r="EC9">
        <v>0.11567491826382749</v>
      </c>
      <c r="ED9">
        <v>0.47815625232833553</v>
      </c>
      <c r="EE9" s="10">
        <v>-3.0114999999999998</v>
      </c>
      <c r="EF9">
        <v>-3.0056099999999999</v>
      </c>
      <c r="EG9">
        <v>13.241918656716418</v>
      </c>
      <c r="EH9" t="s">
        <v>466</v>
      </c>
      <c r="EI9">
        <v>0</v>
      </c>
      <c r="EJ9">
        <v>0</v>
      </c>
      <c r="EK9" s="12">
        <v>45470</v>
      </c>
      <c r="EL9" s="14">
        <v>-1.53</v>
      </c>
      <c r="EM9" s="14">
        <v>-4.87</v>
      </c>
      <c r="EN9" s="14">
        <v>-1.5</v>
      </c>
      <c r="EO9" s="14">
        <v>5.26</v>
      </c>
      <c r="EP9" s="14">
        <v>-1.71</v>
      </c>
    </row>
    <row r="10" spans="1:146" ht="168" hidden="1" x14ac:dyDescent="0.25">
      <c r="A10" s="6" t="s">
        <v>287</v>
      </c>
      <c r="B10" s="6" t="s">
        <v>288</v>
      </c>
      <c r="C10" s="6" t="str">
        <f>"公司主营业务是高性能永磁铁氧体材料研发、生产和销售，主要产品为高性能永磁铁氧体湿压磁瓦"&amp;CHAR(10)&amp;Basic_Fundamental_Information_Constructure(F10)&amp;CHAR(10)&amp;Basic_Fundamental_Information_Concatenate("磁瓦产品 6.31亿 78.41% 85.15% 38.39%
换向器及其他 6806.07万 8.46% 2.80% 11.71%
外包加工产品 5943.80万 7.39% 7.01% 33.54%
预烧料产品 4549.12万 5.65% 4.93% 30.83%
其他业务 75.85万 0.09% 0.11% 41.32%")</f>
        <v>公司主营业务是高性能永磁铁氧体材料研发、生产和销售，主要产品为高性能永磁铁氧体湿压磁瓦
市值30.583082亿, 利润-1360.38万; PE34.22; 平均PE40.23; 平均PEG7.79, PB2.85; ROIC9.5133%; ROE10.72%; 股利率.7806%; 毛利30.6467%; 净利11.59%; 上一年度营收增-38.69%, 利润增-112.96%; 当季营收增284.41%, 利润增658.22%; 过往5年营收增5.16%, 利润增-11.1%
Income profile:
磁瓦产品 6.31亿 78.41% 85.15% 38.39%
换向器及其他 6806.07万 8.46% 2.80% 11.71%
外包加工产品 5943.80万 7.39% 7.01% 33.54%
预烧料产品 4549.12万 5.65% 4.93% 30.83%
其他业务 75.85万 0.09% 0.11% 41.32%</v>
      </c>
      <c r="D10" t="s">
        <v>77</v>
      </c>
      <c r="E10" t="s">
        <v>78</v>
      </c>
      <c r="F10">
        <v>25.62</v>
      </c>
      <c r="G10">
        <v>1.1399999999999999</v>
      </c>
      <c r="H10" t="s">
        <v>721</v>
      </c>
      <c r="I10">
        <v>3058308200</v>
      </c>
      <c r="J10">
        <v>34.22</v>
      </c>
      <c r="K10">
        <v>2.85</v>
      </c>
      <c r="L10" t="s">
        <v>184</v>
      </c>
      <c r="M10" t="s">
        <v>722</v>
      </c>
      <c r="N10" t="s">
        <v>723</v>
      </c>
      <c r="O10" t="s">
        <v>724</v>
      </c>
      <c r="P10">
        <v>-2.3199999999999998</v>
      </c>
      <c r="Q10" t="s">
        <v>725</v>
      </c>
      <c r="R10">
        <v>30778517</v>
      </c>
      <c r="S10" s="5">
        <v>1.0109999999999999</v>
      </c>
      <c r="T10" t="s">
        <v>726</v>
      </c>
      <c r="U10">
        <v>81957815</v>
      </c>
      <c r="V10">
        <v>119371904</v>
      </c>
      <c r="W10">
        <v>1.92</v>
      </c>
      <c r="X10">
        <v>0.12</v>
      </c>
      <c r="Y10">
        <v>11.6</v>
      </c>
      <c r="Z10" t="s">
        <v>129</v>
      </c>
      <c r="AA10" t="s">
        <v>290</v>
      </c>
      <c r="AB10" t="s">
        <v>727</v>
      </c>
      <c r="AC10" t="s">
        <v>728</v>
      </c>
      <c r="AD10" t="s">
        <v>5</v>
      </c>
      <c r="AE10">
        <v>3253510</v>
      </c>
      <c r="AF10" t="s">
        <v>729</v>
      </c>
      <c r="AG10" t="s">
        <v>730</v>
      </c>
      <c r="AH10" t="s">
        <v>731</v>
      </c>
      <c r="AI10" t="s">
        <v>488</v>
      </c>
      <c r="AJ10" t="s">
        <v>732</v>
      </c>
      <c r="AK10" t="s">
        <v>733</v>
      </c>
      <c r="AL10" t="s">
        <v>734</v>
      </c>
      <c r="AM10" t="s">
        <v>5</v>
      </c>
      <c r="AN10" t="s">
        <v>735</v>
      </c>
      <c r="AO10" t="s">
        <v>736</v>
      </c>
      <c r="AP10" t="s">
        <v>737</v>
      </c>
      <c r="AQ10" t="s">
        <v>430</v>
      </c>
      <c r="AR10" t="s">
        <v>5</v>
      </c>
      <c r="AS10" t="s">
        <v>738</v>
      </c>
      <c r="AT10" t="s">
        <v>482</v>
      </c>
      <c r="AU10" t="s">
        <v>739</v>
      </c>
      <c r="AV10" t="s">
        <v>740</v>
      </c>
      <c r="AW10" t="s">
        <v>741</v>
      </c>
      <c r="AX10" t="s">
        <v>423</v>
      </c>
      <c r="AY10" t="s">
        <v>225</v>
      </c>
      <c r="AZ10" t="s">
        <v>131</v>
      </c>
      <c r="BA10" t="s">
        <v>79</v>
      </c>
      <c r="BB10" t="s">
        <v>133</v>
      </c>
      <c r="BC10" t="s">
        <v>85</v>
      </c>
      <c r="BD10" t="s">
        <v>98</v>
      </c>
      <c r="BE10" t="s">
        <v>132</v>
      </c>
      <c r="BF10" t="s">
        <v>80</v>
      </c>
      <c r="BG10" t="s">
        <v>135</v>
      </c>
      <c r="BH10" t="s">
        <v>507</v>
      </c>
      <c r="BI10" t="s">
        <v>742</v>
      </c>
      <c r="BJ10" t="s">
        <v>423</v>
      </c>
      <c r="BK10" t="s">
        <v>743</v>
      </c>
      <c r="BL10" t="s">
        <v>744</v>
      </c>
      <c r="BM10" t="s">
        <v>85</v>
      </c>
      <c r="BN10">
        <v>5.54</v>
      </c>
      <c r="BO10">
        <v>9.59</v>
      </c>
      <c r="BP10">
        <v>13.41</v>
      </c>
      <c r="BQ10">
        <v>6.66</v>
      </c>
      <c r="BR10">
        <v>10.82</v>
      </c>
      <c r="BS10">
        <v>14.68</v>
      </c>
      <c r="BT10" t="s">
        <v>324</v>
      </c>
      <c r="BU10" t="s">
        <v>292</v>
      </c>
      <c r="BV10">
        <v>28.91</v>
      </c>
      <c r="BW10">
        <v>27.68</v>
      </c>
      <c r="BX10">
        <v>35.35</v>
      </c>
      <c r="BY10">
        <v>7.16</v>
      </c>
      <c r="BZ10">
        <v>11.33</v>
      </c>
      <c r="CA10">
        <v>16.28</v>
      </c>
      <c r="CB10">
        <v>-11.81</v>
      </c>
      <c r="CC10">
        <v>2.69</v>
      </c>
      <c r="CD10" t="s">
        <v>745</v>
      </c>
      <c r="CE10" t="s">
        <v>746</v>
      </c>
      <c r="CF10" s="7">
        <v>2.8441493717930597</v>
      </c>
      <c r="CG10" s="8">
        <v>6.5822227970339711</v>
      </c>
      <c r="CH10" s="7">
        <v>-0.38685345649719238</v>
      </c>
      <c r="CI10" s="7">
        <v>0.15279503166675568</v>
      </c>
      <c r="CJ10" s="7">
        <v>0.44007155299186707</v>
      </c>
      <c r="CK10" s="7">
        <v>1.4519056305289268E-2</v>
      </c>
      <c r="CL10" s="7">
        <v>3.7664782255887985E-2</v>
      </c>
      <c r="CM10" s="8">
        <v>-1.1295599937438965</v>
      </c>
      <c r="CN10" s="8">
        <v>-0.19847328960895538</v>
      </c>
      <c r="CO10" s="8">
        <v>0.92037326097488403</v>
      </c>
      <c r="CP10" s="8">
        <v>-0.19392170011997223</v>
      </c>
      <c r="CQ10" s="8">
        <v>4.676022008061409E-2</v>
      </c>
      <c r="CR10">
        <v>40.233353614618309</v>
      </c>
      <c r="CS10">
        <v>7.7912134533018689</v>
      </c>
      <c r="CT10">
        <v>0.78064012490241996</v>
      </c>
      <c r="CU10" s="7">
        <v>5.1639393344521521E-2</v>
      </c>
      <c r="CV10" s="8">
        <v>-0.1109643004834652</v>
      </c>
      <c r="CW10">
        <v>0.06</v>
      </c>
      <c r="CX10" t="e">
        <v>#VALUE!</v>
      </c>
      <c r="CY10" t="s">
        <v>453</v>
      </c>
      <c r="CZ10">
        <v>5.1639393344521521E-2</v>
      </c>
      <c r="DA10" t="e">
        <v>#VALUE!</v>
      </c>
      <c r="DB10" t="s">
        <v>453</v>
      </c>
      <c r="DC10">
        <v>4.9057423677295445E-2</v>
      </c>
      <c r="DD10" t="e">
        <v>#VALUE!</v>
      </c>
      <c r="DE10" t="s">
        <v>453</v>
      </c>
      <c r="DF10">
        <v>4.5442666143178941E-2</v>
      </c>
      <c r="DG10" t="e">
        <v>#VALUE!</v>
      </c>
      <c r="DH10" t="s">
        <v>453</v>
      </c>
      <c r="DI10">
        <v>4.1311514675617222E-2</v>
      </c>
      <c r="DJ10" t="e">
        <v>#VALUE!</v>
      </c>
      <c r="DK10" t="s">
        <v>453</v>
      </c>
      <c r="DL10">
        <v>3.6147575341165063E-2</v>
      </c>
      <c r="DM10">
        <v>-13603800.000000002</v>
      </c>
      <c r="DN10">
        <v>5.1639393344521521E-2</v>
      </c>
      <c r="DO10">
        <v>2950308200</v>
      </c>
      <c r="DP10">
        <v>269673660.00000012</v>
      </c>
      <c r="DQ10">
        <v>2292</v>
      </c>
      <c r="DR10">
        <v>2.7925099784485381</v>
      </c>
      <c r="DS10">
        <v>6.6931870975174359</v>
      </c>
      <c r="DT10" s="9">
        <v>-0.32333333333333331</v>
      </c>
      <c r="DU10">
        <v>-0.75</v>
      </c>
      <c r="DV10">
        <v>-1.0733333333333333</v>
      </c>
      <c r="DW10">
        <v>-5.2277730736663841</v>
      </c>
      <c r="DX10">
        <v>0.47608045977011504</v>
      </c>
      <c r="DY10">
        <v>-5.0879387330043704</v>
      </c>
      <c r="DZ10">
        <v>1854</v>
      </c>
      <c r="EA10">
        <v>-5.056032977429008</v>
      </c>
      <c r="EB10">
        <v>5</v>
      </c>
      <c r="EC10">
        <v>0.56276223926192881</v>
      </c>
      <c r="ED10">
        <v>1.457629426770306</v>
      </c>
      <c r="EE10" s="10">
        <v>2.0129999999999999</v>
      </c>
      <c r="EF10">
        <v>2.0449000000000002</v>
      </c>
      <c r="EG10">
        <v>9.3860804597701151</v>
      </c>
      <c r="EH10" t="s">
        <v>462</v>
      </c>
      <c r="EI10">
        <v>0</v>
      </c>
      <c r="EJ10">
        <v>0</v>
      </c>
      <c r="EK10" s="12">
        <v>45470</v>
      </c>
      <c r="EL10" s="14">
        <v>1.34</v>
      </c>
      <c r="EM10" s="14">
        <v>-5.2</v>
      </c>
      <c r="EN10" s="14">
        <v>2.48</v>
      </c>
      <c r="EO10" s="14">
        <v>-0.1</v>
      </c>
      <c r="EP10" s="14">
        <v>3.19</v>
      </c>
    </row>
    <row r="11" spans="1:146" ht="187.5" customHeight="1" x14ac:dyDescent="0.25">
      <c r="A11" s="6" t="s">
        <v>208</v>
      </c>
      <c r="B11" s="6"/>
      <c r="C11" s="6" t="str">
        <f>"主营业务为高温合金、特种不锈钢等高性能合金材料及其制品的研发、生产和销售；2021年上半年，公司军品收入占主营业务收入的比例为63.49%。"&amp;CHAR(10)&amp;Basic_Fundamental_Information_Constructure(F11)&amp;CHAR(10)&amp;Basic_Fundamental_Information_Concatenate("铸造高温合金 1.58亿 45.45%（毛利50.73%）
变形高温合金 9338.00万 26.88%（毛利30.78%）
其他合金制品 5365.88万 15.44%（毛利19.89%）
特种不锈钢 3617.54万 10.41%(毛利44.01%）
其他业务 632.89万 1.82%（毛利32.22%）")</f>
        <v>主营业务为高温合金、特种不锈钢等高性能合金材料及其制品的研发、生产和销售；2021年上半年，公司军品收入占主营业务收入的比例为63.49%。
市值100.131326亿, 利润7.34亿; PE29.66; 平均PE41.29; 平均PEG.89, PB5.21; ROIC16.2467%; ROE16.92%; 股利率1.1844%; 毛利35.5467%; 净利24.84%; 上一年度营收增132.56%, 利润增187.84%; 当季营收增-40.48%, 利润增-43.24%; 过往5年营收增46.52%, 利润增67.82%
Income profile:
铸造高温合金 1.58亿 45.45%（毛利50.73%）
变形高温合金 9338.00万 26.88%（毛利30.78%）
其他合金制品 5365.88万 15.44%（毛利19.89%）
特种不锈钢 3617.54万 10.41%(毛利44.01%）
其他业务 632.89万 1.82%（毛利32.22%）</v>
      </c>
      <c r="D11" t="s">
        <v>51</v>
      </c>
      <c r="E11" t="s">
        <v>52</v>
      </c>
      <c r="F11">
        <v>25.33</v>
      </c>
      <c r="G11">
        <v>1.2</v>
      </c>
      <c r="H11" t="s">
        <v>747</v>
      </c>
      <c r="I11">
        <v>10013132600</v>
      </c>
      <c r="J11">
        <v>29.66</v>
      </c>
      <c r="K11">
        <v>5.21</v>
      </c>
      <c r="L11" t="s">
        <v>184</v>
      </c>
      <c r="M11" t="s">
        <v>748</v>
      </c>
      <c r="N11" t="s">
        <v>749</v>
      </c>
      <c r="O11" t="s">
        <v>750</v>
      </c>
      <c r="P11">
        <v>5.7</v>
      </c>
      <c r="Q11" t="s">
        <v>751</v>
      </c>
      <c r="R11">
        <v>90810167</v>
      </c>
      <c r="S11" s="5">
        <v>8.7499999999999994E-2</v>
      </c>
      <c r="T11" t="s">
        <v>752</v>
      </c>
      <c r="U11">
        <v>283956890</v>
      </c>
      <c r="V11">
        <v>395307250</v>
      </c>
      <c r="W11">
        <v>1.18</v>
      </c>
      <c r="X11">
        <v>0.16</v>
      </c>
      <c r="Y11">
        <v>25.96</v>
      </c>
      <c r="Z11" t="s">
        <v>753</v>
      </c>
      <c r="AA11" t="s">
        <v>526</v>
      </c>
      <c r="AB11" t="s">
        <v>754</v>
      </c>
      <c r="AC11" t="s">
        <v>755</v>
      </c>
      <c r="AD11" t="s">
        <v>5</v>
      </c>
      <c r="AE11">
        <v>-586198</v>
      </c>
      <c r="AF11" t="s">
        <v>49</v>
      </c>
      <c r="AG11" t="s">
        <v>5</v>
      </c>
      <c r="AH11" t="s">
        <v>756</v>
      </c>
      <c r="AI11" t="s">
        <v>701</v>
      </c>
      <c r="AJ11" t="s">
        <v>757</v>
      </c>
      <c r="AK11" t="s">
        <v>295</v>
      </c>
      <c r="AL11" t="s">
        <v>758</v>
      </c>
      <c r="AM11" t="s">
        <v>5</v>
      </c>
      <c r="AN11" t="s">
        <v>759</v>
      </c>
      <c r="AO11" t="s">
        <v>5</v>
      </c>
      <c r="AP11" t="s">
        <v>760</v>
      </c>
      <c r="AQ11" t="s">
        <v>56</v>
      </c>
      <c r="AR11" t="s">
        <v>5</v>
      </c>
      <c r="AS11" t="s">
        <v>129</v>
      </c>
      <c r="AT11" t="s">
        <v>473</v>
      </c>
      <c r="AU11" t="s">
        <v>761</v>
      </c>
      <c r="AV11" t="s">
        <v>762</v>
      </c>
      <c r="AW11" t="s">
        <v>763</v>
      </c>
      <c r="AX11" t="s">
        <v>408</v>
      </c>
      <c r="AY11" t="s">
        <v>226</v>
      </c>
      <c r="AZ11" t="s">
        <v>136</v>
      </c>
      <c r="BA11" t="s">
        <v>53</v>
      </c>
      <c r="BB11" t="s">
        <v>137</v>
      </c>
      <c r="BC11" t="s">
        <v>425</v>
      </c>
      <c r="BD11" t="s">
        <v>69</v>
      </c>
      <c r="BE11" t="s">
        <v>118</v>
      </c>
      <c r="BF11" t="s">
        <v>54</v>
      </c>
      <c r="BG11" t="s">
        <v>138</v>
      </c>
      <c r="BH11" t="s">
        <v>764</v>
      </c>
      <c r="BI11" t="s">
        <v>765</v>
      </c>
      <c r="BJ11" t="s">
        <v>408</v>
      </c>
      <c r="BK11" t="s">
        <v>766</v>
      </c>
      <c r="BL11" t="s">
        <v>767</v>
      </c>
      <c r="BM11" t="s">
        <v>425</v>
      </c>
      <c r="BN11">
        <v>15.21</v>
      </c>
      <c r="BO11">
        <v>17.940000000000001</v>
      </c>
      <c r="BP11">
        <v>15.59</v>
      </c>
      <c r="BQ11">
        <v>16.05</v>
      </c>
      <c r="BR11">
        <v>18.760000000000002</v>
      </c>
      <c r="BS11">
        <v>15.95</v>
      </c>
      <c r="BT11" t="s">
        <v>768</v>
      </c>
      <c r="BU11" t="s">
        <v>291</v>
      </c>
      <c r="BV11">
        <v>34.33</v>
      </c>
      <c r="BW11">
        <v>35</v>
      </c>
      <c r="BX11">
        <v>37.31</v>
      </c>
      <c r="BY11">
        <v>23.86</v>
      </c>
      <c r="BZ11">
        <v>24.68</v>
      </c>
      <c r="CA11">
        <v>25.98</v>
      </c>
      <c r="CB11">
        <v>-4.2</v>
      </c>
      <c r="CC11">
        <v>-1.63</v>
      </c>
      <c r="CD11" t="s">
        <v>769</v>
      </c>
      <c r="CE11" t="s">
        <v>770</v>
      </c>
      <c r="CF11" s="7">
        <v>-0.40476190476190477</v>
      </c>
      <c r="CG11" s="8">
        <v>-0.43243645624999999</v>
      </c>
      <c r="CH11" s="7">
        <v>1.325581431388855</v>
      </c>
      <c r="CI11" s="7">
        <v>0.47851002216339111</v>
      </c>
      <c r="CJ11" s="7">
        <v>0.27838829159736633</v>
      </c>
      <c r="CK11" s="7">
        <v>0.12809917330741882</v>
      </c>
      <c r="CL11" s="7">
        <v>0.11520737409591675</v>
      </c>
      <c r="CM11" s="8">
        <v>1.8784313201904297</v>
      </c>
      <c r="CN11" s="8">
        <v>0.40883979201316833</v>
      </c>
      <c r="CO11" s="8">
        <v>0.66055047512054443</v>
      </c>
      <c r="CP11" s="8">
        <v>6.8627454340457916E-2</v>
      </c>
      <c r="CQ11" s="8">
        <v>0.37443900108337402</v>
      </c>
      <c r="CR11">
        <v>41.285250170748306</v>
      </c>
      <c r="CS11">
        <v>0.88755467995794846</v>
      </c>
      <c r="CT11">
        <v>1.1843663639952626</v>
      </c>
      <c r="CU11" s="7">
        <v>0.46515725851058959</v>
      </c>
      <c r="CV11" s="8">
        <v>0.67817760854959486</v>
      </c>
      <c r="CW11">
        <v>0.06</v>
      </c>
      <c r="CX11">
        <v>8.3318845963812009</v>
      </c>
      <c r="CY11">
        <v>1014552290.3271441</v>
      </c>
      <c r="CZ11">
        <v>0.46515725851058959</v>
      </c>
      <c r="DA11">
        <v>2.0106815948205168</v>
      </c>
      <c r="DB11">
        <v>4204112984.2612238</v>
      </c>
      <c r="DC11">
        <v>0.44189939558506008</v>
      </c>
      <c r="DD11">
        <v>0.63099599633653258</v>
      </c>
      <c r="DE11">
        <v>13396491656.17153</v>
      </c>
      <c r="DF11">
        <v>0.40933838748931883</v>
      </c>
      <c r="DG11">
        <v>0.21456834985640297</v>
      </c>
      <c r="DH11">
        <v>39395990161.90947</v>
      </c>
      <c r="DI11">
        <v>0.37212580680847168</v>
      </c>
      <c r="DJ11">
        <v>2.6664992318873142E-2</v>
      </c>
      <c r="DK11">
        <v>317012377086.52856</v>
      </c>
      <c r="DL11">
        <v>0.32561008095741267</v>
      </c>
      <c r="DM11">
        <v>734000000</v>
      </c>
      <c r="DN11">
        <v>0.46515725851058959</v>
      </c>
      <c r="DO11">
        <v>8453132600</v>
      </c>
      <c r="DP11">
        <v>955714910</v>
      </c>
      <c r="DQ11">
        <v>2312</v>
      </c>
      <c r="DR11">
        <v>-0.8699191632724943</v>
      </c>
      <c r="DS11">
        <v>-1.1106140647995948</v>
      </c>
      <c r="DT11" s="9">
        <v>0.17666666666666667</v>
      </c>
      <c r="DU11">
        <v>0.59666666666666679</v>
      </c>
      <c r="DV11">
        <v>0.77333333333333343</v>
      </c>
      <c r="DW11">
        <v>-4.3880952380952385</v>
      </c>
      <c r="DX11">
        <v>0.48063226679368143</v>
      </c>
      <c r="DY11">
        <v>-4.0390549035413565</v>
      </c>
      <c r="DZ11">
        <v>3780</v>
      </c>
      <c r="EA11">
        <v>-4.0101649748943258</v>
      </c>
      <c r="EB11">
        <v>4</v>
      </c>
      <c r="EC11">
        <v>2.2011738970130198E-2</v>
      </c>
      <c r="ED11">
        <v>0.21873441481278169</v>
      </c>
      <c r="EE11" s="10">
        <v>1.0265</v>
      </c>
      <c r="EF11">
        <v>1.00041</v>
      </c>
      <c r="EG11">
        <v>38.100632266793681</v>
      </c>
      <c r="EH11" t="s">
        <v>464</v>
      </c>
      <c r="EI11">
        <v>0</v>
      </c>
      <c r="EJ11">
        <v>0</v>
      </c>
      <c r="EK11" s="12">
        <v>45470</v>
      </c>
      <c r="EL11" s="14">
        <v>-0.1</v>
      </c>
      <c r="EM11" s="14">
        <v>-6.04</v>
      </c>
      <c r="EN11" s="14">
        <v>4.93</v>
      </c>
      <c r="EO11" s="14">
        <v>6.12</v>
      </c>
      <c r="EP11" s="14">
        <v>-2.69</v>
      </c>
    </row>
    <row r="12" spans="1:146" ht="192" x14ac:dyDescent="0.25">
      <c r="A12" s="6" t="s">
        <v>524</v>
      </c>
      <c r="B12" s="6" t="s">
        <v>525</v>
      </c>
      <c r="C12" s="6" t="str">
        <f>"公司的主营业务是高品质铁基粉体。公司主要产品有高性能纯铁粉、合金钢粉、添加剂用铁粉、磷酸铁锂电池用铁粉、合金软磁粉。"&amp;CHAR(10)&amp;Basic_Fundamental_Information_Constructure(F12)&amp;CHAR(10)&amp;Basic_Fundamental_Information_Concatenate("高性能纯铁粉 1.34亿 65.56% 2645.03万 59.90% 19.70%
合金钢粉 5217.69万 25.48% 1311.79万 29.71% 25.14%
添加剂用铁粉 1814.46万 8.86% 455.95万 10.33% 25.13%")</f>
        <v>公司的主营业务是高品质铁基粉体。公司主要产品有高性能纯铁粉、合金钢粉、添加剂用铁粉、磷酸铁锂电池用铁粉、合金软磁粉。
市值23.92亿, 利润1083.18万; PE51.61; 平均PE39.35; 平均PEG3.3, PB2.81; ROIC11.5067%; ROE10.7167%; 股利率.4181%; 毛利24.7767%; 净利18.31%; 上一年度营收增21.71%, 利润增-88.17%; 当季营收增65.14%, 利润增467.46%; 过往5年营收增11.93%, 利润增.46%
Income profile:
高性能纯铁粉 1.34亿 65.56% 2645.03万 59.90% 19.70%
合金钢粉 5217.69万 25.48% 1311.79万 29.71% 25.14%
添加剂用铁粉 1814.46万 8.86% 455.95万 10.33% 25.13%</v>
      </c>
      <c r="D12" t="s">
        <v>139</v>
      </c>
      <c r="E12" t="s">
        <v>140</v>
      </c>
      <c r="F12">
        <v>23.92</v>
      </c>
      <c r="G12">
        <v>0</v>
      </c>
      <c r="H12" t="s">
        <v>771</v>
      </c>
      <c r="I12">
        <v>2392000000</v>
      </c>
      <c r="J12">
        <v>51.61</v>
      </c>
      <c r="K12">
        <v>2.81</v>
      </c>
      <c r="L12" t="s">
        <v>184</v>
      </c>
      <c r="M12" t="s">
        <v>46</v>
      </c>
      <c r="N12" t="s">
        <v>772</v>
      </c>
      <c r="O12" t="s">
        <v>85</v>
      </c>
      <c r="P12">
        <v>9.25</v>
      </c>
      <c r="Q12" t="s">
        <v>773</v>
      </c>
      <c r="R12">
        <v>10099688</v>
      </c>
      <c r="S12" s="5">
        <v>-0.29189999999999999</v>
      </c>
      <c r="T12" t="s">
        <v>774</v>
      </c>
      <c r="U12">
        <v>47125001</v>
      </c>
      <c r="V12">
        <v>100000000</v>
      </c>
      <c r="W12">
        <v>1.21</v>
      </c>
      <c r="X12">
        <v>0.11</v>
      </c>
      <c r="Y12">
        <v>9.57</v>
      </c>
      <c r="Z12" t="s">
        <v>775</v>
      </c>
      <c r="AA12" t="s">
        <v>776</v>
      </c>
      <c r="AB12" t="s">
        <v>777</v>
      </c>
      <c r="AC12" t="s">
        <v>778</v>
      </c>
      <c r="AD12" t="s">
        <v>5</v>
      </c>
      <c r="AE12">
        <v>-220866</v>
      </c>
      <c r="AF12" t="s">
        <v>49</v>
      </c>
      <c r="AG12" t="s">
        <v>5</v>
      </c>
      <c r="AH12" t="s">
        <v>779</v>
      </c>
      <c r="AI12" t="s">
        <v>780</v>
      </c>
      <c r="AJ12" t="s">
        <v>781</v>
      </c>
      <c r="AK12" t="s">
        <v>782</v>
      </c>
      <c r="AL12" t="s">
        <v>783</v>
      </c>
      <c r="AM12" t="s">
        <v>5</v>
      </c>
      <c r="AN12" t="s">
        <v>632</v>
      </c>
      <c r="AO12" t="s">
        <v>711</v>
      </c>
      <c r="AP12" t="s">
        <v>784</v>
      </c>
      <c r="AQ12" t="s">
        <v>785</v>
      </c>
      <c r="AR12" t="s">
        <v>5</v>
      </c>
      <c r="AS12" t="s">
        <v>786</v>
      </c>
      <c r="AT12" t="s">
        <v>5</v>
      </c>
      <c r="AU12" t="s">
        <v>787</v>
      </c>
      <c r="AV12" t="s">
        <v>788</v>
      </c>
      <c r="AW12" t="s">
        <v>789</v>
      </c>
      <c r="AX12" t="s">
        <v>427</v>
      </c>
      <c r="AY12" t="s">
        <v>185</v>
      </c>
      <c r="AZ12" t="s">
        <v>128</v>
      </c>
      <c r="BA12" t="s">
        <v>142</v>
      </c>
      <c r="BB12" t="s">
        <v>50</v>
      </c>
      <c r="BC12" t="s">
        <v>428</v>
      </c>
      <c r="BD12" t="s">
        <v>228</v>
      </c>
      <c r="BE12" t="s">
        <v>141</v>
      </c>
      <c r="BF12" t="s">
        <v>143</v>
      </c>
      <c r="BG12" t="s">
        <v>144</v>
      </c>
      <c r="BH12" t="s">
        <v>302</v>
      </c>
      <c r="BI12" t="s">
        <v>790</v>
      </c>
      <c r="BJ12" t="s">
        <v>427</v>
      </c>
      <c r="BK12" t="s">
        <v>791</v>
      </c>
      <c r="BL12" t="s">
        <v>792</v>
      </c>
      <c r="BM12" t="s">
        <v>428</v>
      </c>
      <c r="BN12">
        <v>4.9400000000000004</v>
      </c>
      <c r="BO12">
        <v>11.75</v>
      </c>
      <c r="BP12">
        <v>17.829999999999998</v>
      </c>
      <c r="BQ12">
        <v>5.3</v>
      </c>
      <c r="BR12">
        <v>12.07</v>
      </c>
      <c r="BS12">
        <v>14.78</v>
      </c>
      <c r="BT12" t="s">
        <v>325</v>
      </c>
      <c r="BU12" t="s">
        <v>291</v>
      </c>
      <c r="BV12">
        <v>21.87</v>
      </c>
      <c r="BW12">
        <v>27.28</v>
      </c>
      <c r="BX12">
        <v>25.18</v>
      </c>
      <c r="BY12">
        <v>12.84</v>
      </c>
      <c r="BZ12">
        <v>23.66</v>
      </c>
      <c r="CA12">
        <v>18.43</v>
      </c>
      <c r="CB12">
        <v>-17.77</v>
      </c>
      <c r="CC12">
        <v>27.57</v>
      </c>
      <c r="CD12" t="s">
        <v>793</v>
      </c>
      <c r="CE12" t="s">
        <v>186</v>
      </c>
      <c r="CF12" s="7">
        <v>0.65140038752862428</v>
      </c>
      <c r="CG12" s="8">
        <v>4.6746181553574679</v>
      </c>
      <c r="CH12" s="7">
        <v>0.21705426275730133</v>
      </c>
      <c r="CI12" s="7">
        <v>-0.25862067937850952</v>
      </c>
      <c r="CJ12" s="7">
        <v>0.53982299566268921</v>
      </c>
      <c r="CK12" s="7">
        <v>0.10784313827753067</v>
      </c>
      <c r="CL12" s="7">
        <v>-9.7087379544973373E-3</v>
      </c>
      <c r="CM12" s="8">
        <v>-0.88169842958450317</v>
      </c>
      <c r="CN12" s="8">
        <v>-4.8205725848674774E-2</v>
      </c>
      <c r="CO12" s="8">
        <v>0.51037973165512085</v>
      </c>
      <c r="CP12" s="8">
        <v>7.7679544687271118E-2</v>
      </c>
      <c r="CQ12" s="8">
        <v>0.36479729413986206</v>
      </c>
      <c r="CR12">
        <v>39.354371140347197</v>
      </c>
      <c r="CS12">
        <v>3.299376793247387</v>
      </c>
      <c r="CT12">
        <v>0.41806020066889626</v>
      </c>
      <c r="CU12" s="7">
        <v>0.11927819587290286</v>
      </c>
      <c r="CV12" s="8">
        <v>4.5904830098152157E-3</v>
      </c>
      <c r="CW12">
        <v>0.06</v>
      </c>
      <c r="CX12">
        <v>144.52402318921955</v>
      </c>
      <c r="CY12">
        <v>11437544.869864251</v>
      </c>
      <c r="CZ12">
        <v>0.11927819587290286</v>
      </c>
      <c r="DA12">
        <v>46.076405653758925</v>
      </c>
      <c r="DB12">
        <v>35875194.181192555</v>
      </c>
      <c r="DC12">
        <v>0.11331428607925771</v>
      </c>
      <c r="DD12">
        <v>21.937108668862539</v>
      </c>
      <c r="DE12">
        <v>75351771.509718731</v>
      </c>
      <c r="DF12">
        <v>0.10496481236815453</v>
      </c>
      <c r="DG12">
        <v>12.680059302353657</v>
      </c>
      <c r="DH12">
        <v>130362166.34201169</v>
      </c>
      <c r="DI12">
        <v>9.5422556698322294E-2</v>
      </c>
      <c r="DJ12">
        <v>6.0132303586191229</v>
      </c>
      <c r="DK12">
        <v>274893842.64659947</v>
      </c>
      <c r="DL12">
        <v>8.3494737111032002E-2</v>
      </c>
      <c r="DM12">
        <v>10831800</v>
      </c>
      <c r="DN12">
        <v>0.11927819587290286</v>
      </c>
      <c r="DO12">
        <v>1653000000</v>
      </c>
      <c r="DP12">
        <v>182400270</v>
      </c>
      <c r="DQ12">
        <v>2384</v>
      </c>
      <c r="DR12">
        <v>0.53212219165572139</v>
      </c>
      <c r="DS12">
        <v>4.6700276723476524</v>
      </c>
      <c r="DT12" s="9">
        <v>-0.28999999999999998</v>
      </c>
      <c r="DU12">
        <v>-0.10000000000000002</v>
      </c>
      <c r="DV12">
        <v>-0.39</v>
      </c>
      <c r="DW12">
        <v>-7.3919276576973978</v>
      </c>
      <c r="DX12">
        <v>0.38408505154639216</v>
      </c>
      <c r="DY12">
        <v>-7.0956636825315256</v>
      </c>
      <c r="DZ12">
        <v>4490</v>
      </c>
      <c r="EA12">
        <v>-7.011606943868796</v>
      </c>
      <c r="EB12">
        <v>7</v>
      </c>
      <c r="EC12">
        <v>0.47352499999999997</v>
      </c>
      <c r="ED12">
        <v>1.94</v>
      </c>
      <c r="EE12" s="10">
        <v>-1.06551</v>
      </c>
      <c r="EF12">
        <v>-1.0803100000000001</v>
      </c>
      <c r="EG12">
        <v>14.244085051546392</v>
      </c>
      <c r="EH12" t="s">
        <v>608</v>
      </c>
      <c r="EI12">
        <v>0</v>
      </c>
      <c r="EJ12">
        <v>0</v>
      </c>
      <c r="EK12" s="12">
        <v>45470</v>
      </c>
      <c r="EL12" s="14">
        <v>0.4</v>
      </c>
      <c r="EM12" s="14">
        <v>-5.38</v>
      </c>
      <c r="EN12" s="14">
        <v>1.1399999999999999</v>
      </c>
      <c r="EO12" s="14">
        <v>4.07</v>
      </c>
      <c r="EP12" s="14">
        <v>-1.48</v>
      </c>
    </row>
    <row r="13" spans="1:146" ht="216" x14ac:dyDescent="0.25">
      <c r="A13" s="6" t="s">
        <v>285</v>
      </c>
      <c r="B13" s="6" t="s">
        <v>286</v>
      </c>
      <c r="C13" s="6" t="str">
        <f>"公司的主营业务为耐腐蚀、耐高温、耐磨损、抗冲击的高温耐蚀合金材料及制品的研发、生产和销售。公司的主要产品为铸造高温耐蚀合金、变形高温耐蚀合金、特种合金焊材、焊材贸易、表面堆焊服务。"&amp;CHAR(10)&amp;Basic_Fundamental_Information_Constructure(F13)&amp;CHAR(10)&amp;Basic_Fundamental_Information_Concatenate("变形高温耐蚀合金 3.00亿 43.78% 46.10% 18.44%
铸造高温耐蚀合金 1.93亿 28.21% 20.23% 12.55%
特种合金焊材 1.71亿 24.90% 27.17% 19.11%
其他业务 1088.53万 1.59% 4.35% 47.89%
表面堆焊服务 640.26万 0.93% 1.64% 30.75%
特种合金焊材贸易 402.38万 0.59% 0.51% 15.10%")</f>
        <v>公司的主营业务为耐腐蚀、耐高温、耐磨损、抗冲击的高温耐蚀合金材料及制品的研发、生产和销售。公司的主要产品为铸造高温耐蚀合金、变形高温耐蚀合金、特种合金焊材、焊材贸易、表面堆焊服务。
市值24.1722亿, 利润482.69万; PE31.48; 平均PE45.75; 平均PEG163.29, PB2.4; ROIC7.32%; ROE7.74%; 股利率.7454%; 毛利18.28%; 净利7.8333%; 上一年度营收增-41.4%, 利润增-93.97%; 当季营收增92.19%, 利润增108.39%; 过往5年营收增.28%, 利润增-8.92%
Income profile:
变形高温耐蚀合金 3.00亿 43.78% 46.10% 18.44%
铸造高温耐蚀合金 1.93亿 28.21% 20.23% 12.55%
特种合金焊材 1.71亿 24.90% 27.17% 19.11%
其他业务 1088.53万 1.59% 4.35% 47.89%
表面堆焊服务 640.26万 0.93% 1.64% 30.75%
特种合金焊材贸易 402.38万 0.59% 0.51% 15.10%</v>
      </c>
      <c r="D13" t="s">
        <v>145</v>
      </c>
      <c r="E13" t="s">
        <v>146</v>
      </c>
      <c r="F13">
        <v>10.33</v>
      </c>
      <c r="G13">
        <v>2.38</v>
      </c>
      <c r="H13" t="s">
        <v>794</v>
      </c>
      <c r="I13">
        <v>2417220000</v>
      </c>
      <c r="J13">
        <v>31.48</v>
      </c>
      <c r="K13">
        <v>2.4</v>
      </c>
      <c r="L13" t="s">
        <v>184</v>
      </c>
      <c r="M13" t="s">
        <v>795</v>
      </c>
      <c r="N13" t="s">
        <v>796</v>
      </c>
      <c r="O13" t="s">
        <v>797</v>
      </c>
      <c r="P13">
        <v>10.26</v>
      </c>
      <c r="Q13" t="s">
        <v>798</v>
      </c>
      <c r="R13">
        <v>15290472</v>
      </c>
      <c r="S13" s="5">
        <v>-0.27260000000000001</v>
      </c>
      <c r="T13" t="s">
        <v>799</v>
      </c>
      <c r="U13">
        <v>205608490</v>
      </c>
      <c r="V13">
        <v>234000000</v>
      </c>
      <c r="W13">
        <v>1.72</v>
      </c>
      <c r="X13">
        <v>0.15</v>
      </c>
      <c r="Y13">
        <v>6.23</v>
      </c>
      <c r="Z13" t="s">
        <v>458</v>
      </c>
      <c r="AA13" t="s">
        <v>501</v>
      </c>
      <c r="AB13" t="s">
        <v>800</v>
      </c>
      <c r="AC13" t="s">
        <v>801</v>
      </c>
      <c r="AD13" t="s">
        <v>5</v>
      </c>
      <c r="AE13">
        <v>215056</v>
      </c>
      <c r="AF13" t="s">
        <v>49</v>
      </c>
      <c r="AG13" t="s">
        <v>802</v>
      </c>
      <c r="AH13" t="s">
        <v>803</v>
      </c>
      <c r="AI13" t="s">
        <v>804</v>
      </c>
      <c r="AJ13" t="s">
        <v>805</v>
      </c>
      <c r="AK13" t="s">
        <v>163</v>
      </c>
      <c r="AL13" t="s">
        <v>806</v>
      </c>
      <c r="AM13" t="s">
        <v>5</v>
      </c>
      <c r="AN13" t="s">
        <v>494</v>
      </c>
      <c r="AO13" t="s">
        <v>807</v>
      </c>
      <c r="AP13" t="s">
        <v>808</v>
      </c>
      <c r="AQ13" t="s">
        <v>597</v>
      </c>
      <c r="AR13" t="s">
        <v>5</v>
      </c>
      <c r="AS13" t="s">
        <v>809</v>
      </c>
      <c r="AT13" t="s">
        <v>810</v>
      </c>
      <c r="AU13" t="s">
        <v>811</v>
      </c>
      <c r="AV13" t="s">
        <v>812</v>
      </c>
      <c r="AW13" t="s">
        <v>813</v>
      </c>
      <c r="AX13" t="s">
        <v>328</v>
      </c>
      <c r="AY13" t="s">
        <v>229</v>
      </c>
      <c r="AZ13" t="s">
        <v>115</v>
      </c>
      <c r="BA13" t="s">
        <v>114</v>
      </c>
      <c r="BB13" t="s">
        <v>148</v>
      </c>
      <c r="BC13" t="s">
        <v>429</v>
      </c>
      <c r="BD13" t="s">
        <v>230</v>
      </c>
      <c r="BE13" t="s">
        <v>147</v>
      </c>
      <c r="BF13" t="s">
        <v>149</v>
      </c>
      <c r="BG13" t="s">
        <v>150</v>
      </c>
      <c r="BH13" t="s">
        <v>814</v>
      </c>
      <c r="BI13" t="s">
        <v>415</v>
      </c>
      <c r="BJ13" t="s">
        <v>328</v>
      </c>
      <c r="BK13" t="s">
        <v>815</v>
      </c>
      <c r="BL13" t="s">
        <v>816</v>
      </c>
      <c r="BM13" t="s">
        <v>429</v>
      </c>
      <c r="BN13">
        <v>7.35</v>
      </c>
      <c r="BO13">
        <v>8.3800000000000008</v>
      </c>
      <c r="BP13">
        <v>6.23</v>
      </c>
      <c r="BQ13">
        <v>8.08</v>
      </c>
      <c r="BR13">
        <v>8.9600000000000009</v>
      </c>
      <c r="BS13">
        <v>6.18</v>
      </c>
      <c r="BT13" t="s">
        <v>817</v>
      </c>
      <c r="BU13" t="s">
        <v>291</v>
      </c>
      <c r="BV13">
        <v>17.350000000000001</v>
      </c>
      <c r="BW13">
        <v>19.98</v>
      </c>
      <c r="BX13">
        <v>17.510000000000002</v>
      </c>
      <c r="BY13">
        <v>7.6</v>
      </c>
      <c r="BZ13">
        <v>9.17</v>
      </c>
      <c r="CA13">
        <v>6.73</v>
      </c>
      <c r="CB13">
        <v>-4</v>
      </c>
      <c r="CC13">
        <v>0.88</v>
      </c>
      <c r="CD13" t="s">
        <v>818</v>
      </c>
      <c r="CE13" t="s">
        <v>218</v>
      </c>
      <c r="CF13" s="7">
        <v>0.921875</v>
      </c>
      <c r="CG13" s="8">
        <v>1.0838519406890537</v>
      </c>
      <c r="CH13" s="7">
        <v>-0.41399082541465759</v>
      </c>
      <c r="CI13" s="7">
        <v>0.27299270033836365</v>
      </c>
      <c r="CJ13" s="7">
        <v>0.14166666567325592</v>
      </c>
      <c r="CK13" s="7">
        <v>-5.0632912665605545E-2</v>
      </c>
      <c r="CL13" s="7">
        <v>6.3973061740398407E-2</v>
      </c>
      <c r="CM13" s="8">
        <v>-0.93966829776763916</v>
      </c>
      <c r="CN13" s="8">
        <v>0.7351568341255188</v>
      </c>
      <c r="CO13" s="8">
        <v>-0.24517849087715149</v>
      </c>
      <c r="CP13" s="8">
        <v>-4.5152507722377777E-2</v>
      </c>
      <c r="CQ13" s="8">
        <v>4.8630084842443466E-2</v>
      </c>
      <c r="CR13">
        <v>45.750470333353107</v>
      </c>
      <c r="CS13">
        <v>163.29318232239078</v>
      </c>
      <c r="CT13">
        <v>0.74540174249757984</v>
      </c>
      <c r="CU13" s="7">
        <v>2.8017379343509676E-3</v>
      </c>
      <c r="CV13" s="8">
        <v>-8.9242475479841238E-2</v>
      </c>
      <c r="CW13">
        <v>0.06</v>
      </c>
      <c r="CX13">
        <v>443.28210278027137</v>
      </c>
      <c r="CY13">
        <v>4566437.4611653946</v>
      </c>
      <c r="CZ13">
        <v>2.8017379343509676E-3</v>
      </c>
      <c r="DA13">
        <v>156.07146166387417</v>
      </c>
      <c r="DB13">
        <v>12969827.913571374</v>
      </c>
      <c r="DC13">
        <v>2.6616510376334191E-3</v>
      </c>
      <c r="DD13">
        <v>84.585329557496806</v>
      </c>
      <c r="DE13">
        <v>23931100.234397482</v>
      </c>
      <c r="DF13">
        <v>2.4655293822288516E-3</v>
      </c>
      <c r="DG13">
        <v>56.339703648908056</v>
      </c>
      <c r="DH13">
        <v>35928836.484734192</v>
      </c>
      <c r="DI13">
        <v>2.241390347480774E-3</v>
      </c>
      <c r="DJ13">
        <v>35.948501515815991</v>
      </c>
      <c r="DK13">
        <v>56308883.949152067</v>
      </c>
      <c r="DL13">
        <v>1.9612165540456774E-3</v>
      </c>
      <c r="DM13">
        <v>4826900</v>
      </c>
      <c r="DN13">
        <v>2.8017379343509676E-3</v>
      </c>
      <c r="DO13">
        <v>2024220000</v>
      </c>
      <c r="DP13">
        <v>450536890</v>
      </c>
      <c r="DQ13">
        <v>2414</v>
      </c>
      <c r="DR13">
        <v>0.91907326206564899</v>
      </c>
      <c r="DS13">
        <v>1.173094416168895</v>
      </c>
      <c r="DT13" s="9">
        <v>-0.45666666666666672</v>
      </c>
      <c r="DU13">
        <v>-0.16666666666666666</v>
      </c>
      <c r="DV13">
        <v>-0.62333333333333341</v>
      </c>
      <c r="DW13">
        <v>-4.22</v>
      </c>
      <c r="DX13">
        <v>0.24664675324675345</v>
      </c>
      <c r="DY13">
        <v>-4.0234622857142854</v>
      </c>
      <c r="DZ13">
        <v>1754</v>
      </c>
      <c r="EA13">
        <v>-4.0154088905786969</v>
      </c>
      <c r="EB13">
        <v>4</v>
      </c>
      <c r="EC13">
        <v>7.0186324786324777E-2</v>
      </c>
      <c r="ED13">
        <v>0.65811965811965811</v>
      </c>
      <c r="EE13" s="10">
        <v>1.1344000000000001</v>
      </c>
      <c r="EF13">
        <v>1.1391</v>
      </c>
      <c r="EG13">
        <v>14.106646753246753</v>
      </c>
      <c r="EH13" t="s">
        <v>424</v>
      </c>
      <c r="EI13">
        <v>0</v>
      </c>
      <c r="EJ13">
        <v>0</v>
      </c>
      <c r="EK13" s="12">
        <v>45470</v>
      </c>
      <c r="EL13" s="14">
        <v>1.24</v>
      </c>
      <c r="EM13" s="14">
        <v>-3.52</v>
      </c>
      <c r="EN13" s="14">
        <v>0.16</v>
      </c>
      <c r="EO13" s="14">
        <v>1.82</v>
      </c>
      <c r="EP13" s="14">
        <v>0.47</v>
      </c>
    </row>
    <row r="14" spans="1:146" ht="108" hidden="1" x14ac:dyDescent="0.25">
      <c r="C14" s="6" t="str">
        <f>""&amp;CHAR(10)&amp;Basic_Fundamental_Information_Constructure(F14)&amp;CHAR(10)&amp;Basic_Fundamental_Information_Concatenate("")</f>
        <v xml:space="preserve">
市值40.620678亿, 利润5806.94万; PE104; 平均PE73.69; 平均PEG3.56, PB3.19; ROIC15.7933%; ROE13.305%; 股利率.916%; 毛利21.5433%; 净利13.3233%; 上一年度营收增-10.34%, 利润增-35.03%; 当季营收增-14.93%, 利润增-78.91%; 过往5年营收增20.69%, 利润增45.72%
Income profile:
</v>
      </c>
      <c r="D14" s="5" t="s">
        <v>431</v>
      </c>
      <c r="E14" t="s">
        <v>432</v>
      </c>
      <c r="F14">
        <v>32.75</v>
      </c>
      <c r="G14">
        <v>0.49</v>
      </c>
      <c r="H14" t="s">
        <v>819</v>
      </c>
      <c r="I14">
        <v>4062067800</v>
      </c>
      <c r="J14">
        <v>104</v>
      </c>
      <c r="K14">
        <v>3.19</v>
      </c>
      <c r="L14" t="s">
        <v>184</v>
      </c>
      <c r="M14" t="s">
        <v>510</v>
      </c>
      <c r="N14" t="s">
        <v>820</v>
      </c>
      <c r="O14" t="s">
        <v>821</v>
      </c>
      <c r="P14" s="5">
        <v>0.34</v>
      </c>
      <c r="Q14" t="s">
        <v>822</v>
      </c>
      <c r="R14">
        <v>4044476</v>
      </c>
      <c r="S14">
        <v>-0.69130000000000003</v>
      </c>
      <c r="T14" t="s">
        <v>823</v>
      </c>
      <c r="U14">
        <v>39243788</v>
      </c>
      <c r="V14">
        <v>124032605</v>
      </c>
      <c r="W14">
        <v>1.1200000000000001</v>
      </c>
      <c r="X14">
        <v>0.08</v>
      </c>
      <c r="Y14">
        <v>3.55</v>
      </c>
      <c r="Z14" t="s">
        <v>100</v>
      </c>
      <c r="AA14" t="s">
        <v>48</v>
      </c>
      <c r="AB14" t="s">
        <v>824</v>
      </c>
      <c r="AC14" t="s">
        <v>825</v>
      </c>
      <c r="AD14" t="s">
        <v>5</v>
      </c>
      <c r="AE14">
        <v>-6492739</v>
      </c>
      <c r="AF14" t="s">
        <v>49</v>
      </c>
      <c r="AG14" t="s">
        <v>5</v>
      </c>
      <c r="AH14" t="s">
        <v>826</v>
      </c>
      <c r="AI14" t="s">
        <v>827</v>
      </c>
      <c r="AJ14" t="s">
        <v>828</v>
      </c>
      <c r="AK14" t="s">
        <v>829</v>
      </c>
      <c r="AL14" t="s">
        <v>830</v>
      </c>
      <c r="AM14" t="s">
        <v>5</v>
      </c>
      <c r="AN14" t="s">
        <v>831</v>
      </c>
      <c r="AO14" t="s">
        <v>832</v>
      </c>
      <c r="AP14" t="s">
        <v>833</v>
      </c>
      <c r="AQ14" t="s">
        <v>834</v>
      </c>
      <c r="AR14" t="s">
        <v>5</v>
      </c>
      <c r="AS14" t="s">
        <v>64</v>
      </c>
      <c r="AT14" t="s">
        <v>5</v>
      </c>
      <c r="AU14" t="s">
        <v>835</v>
      </c>
      <c r="AV14" t="s">
        <v>836</v>
      </c>
      <c r="AW14" t="s">
        <v>837</v>
      </c>
      <c r="AX14" t="s">
        <v>433</v>
      </c>
      <c r="AY14" t="s">
        <v>436</v>
      </c>
      <c r="AZ14" t="s">
        <v>437</v>
      </c>
      <c r="BA14" t="s">
        <v>438</v>
      </c>
      <c r="BB14" t="s">
        <v>439</v>
      </c>
      <c r="BC14" t="s">
        <v>434</v>
      </c>
      <c r="BD14" t="s">
        <v>440</v>
      </c>
      <c r="BE14" t="s">
        <v>441</v>
      </c>
      <c r="BF14" t="s">
        <v>442</v>
      </c>
      <c r="BG14" t="s">
        <v>443</v>
      </c>
      <c r="BH14" t="s">
        <v>512</v>
      </c>
      <c r="BI14" t="s">
        <v>430</v>
      </c>
      <c r="BJ14" t="s">
        <v>433</v>
      </c>
      <c r="BK14" t="s">
        <v>838</v>
      </c>
      <c r="BL14" t="s">
        <v>839</v>
      </c>
      <c r="BM14" t="s">
        <v>434</v>
      </c>
      <c r="BN14">
        <v>2.81</v>
      </c>
      <c r="BO14">
        <v>20.78</v>
      </c>
      <c r="BP14">
        <v>23.79</v>
      </c>
      <c r="BQ14">
        <v>2.33</v>
      </c>
      <c r="BR14">
        <v>24.28</v>
      </c>
      <c r="BS14" t="s">
        <v>5</v>
      </c>
      <c r="BT14" t="s">
        <v>840</v>
      </c>
      <c r="BU14" t="s">
        <v>292</v>
      </c>
      <c r="BV14">
        <v>15.74</v>
      </c>
      <c r="BW14">
        <v>22.2</v>
      </c>
      <c r="BX14">
        <v>26.69</v>
      </c>
      <c r="BY14">
        <v>9.93</v>
      </c>
      <c r="BZ14">
        <v>14.43</v>
      </c>
      <c r="CA14">
        <v>15.61</v>
      </c>
      <c r="CB14">
        <v>1.55</v>
      </c>
      <c r="CC14" s="7">
        <v>7.13</v>
      </c>
      <c r="CD14" s="8" t="s">
        <v>841</v>
      </c>
      <c r="CE14" s="7" t="s">
        <v>322</v>
      </c>
      <c r="CF14" s="7">
        <v>-0.14925373134328379</v>
      </c>
      <c r="CG14" s="7">
        <v>-0.78907336712768839</v>
      </c>
      <c r="CH14" s="7">
        <v>-0.10339257121086121</v>
      </c>
      <c r="CI14" s="7">
        <v>0.13577981293201447</v>
      </c>
      <c r="CJ14" s="8">
        <v>0.44179895520210266</v>
      </c>
      <c r="CK14" s="8">
        <v>0.45384615659713745</v>
      </c>
      <c r="CL14" s="8">
        <v>0.10638298094272614</v>
      </c>
      <c r="CM14" s="8">
        <v>-0.35032477974891663</v>
      </c>
      <c r="CN14" s="8">
        <v>4.9749724566936493E-2</v>
      </c>
      <c r="CO14">
        <v>0.50869464874267578</v>
      </c>
      <c r="CP14">
        <v>1.0075340270996094</v>
      </c>
      <c r="CQ14">
        <v>1.0703150033950806</v>
      </c>
      <c r="CR14" s="7">
        <v>73.693585299989749</v>
      </c>
      <c r="CS14" s="8">
        <v>3.5620887879740333</v>
      </c>
      <c r="CT14">
        <v>0.91603053435114501</v>
      </c>
      <c r="CU14">
        <v>0.2068830668926239</v>
      </c>
      <c r="CV14">
        <v>0.45719372481107712</v>
      </c>
      <c r="CW14">
        <v>0.06</v>
      </c>
      <c r="CX14">
        <v>45.02793784905068</v>
      </c>
      <c r="CY14">
        <v>66116014.6835986</v>
      </c>
      <c r="CZ14">
        <v>0.2068830668926239</v>
      </c>
      <c r="DA14">
        <v>13.346135904408595</v>
      </c>
      <c r="DB14">
        <v>223065898.7232846</v>
      </c>
      <c r="DC14">
        <v>0.19653891354799269</v>
      </c>
      <c r="DD14">
        <v>5.7349601358701765</v>
      </c>
      <c r="DE14">
        <v>519108717.31775063</v>
      </c>
      <c r="DF14">
        <v>0.18205709886550903</v>
      </c>
      <c r="DG14">
        <v>2.9321348339221283</v>
      </c>
      <c r="DH14">
        <v>1015324317.8171884</v>
      </c>
      <c r="DI14">
        <v>0.16550645351409912</v>
      </c>
      <c r="DJ14">
        <v>1.0371073967925655</v>
      </c>
      <c r="DK14">
        <v>2870549192.1155887</v>
      </c>
      <c r="DL14">
        <v>0.14481814682483671</v>
      </c>
      <c r="DM14">
        <v>58069399.999999993</v>
      </c>
      <c r="DN14">
        <v>0.2068830668926239</v>
      </c>
      <c r="DO14">
        <v>2977067800</v>
      </c>
      <c r="DP14">
        <v>1010776340</v>
      </c>
      <c r="DQ14" s="9">
        <v>2578</v>
      </c>
      <c r="DR14">
        <v>-0.35613679823590771</v>
      </c>
      <c r="DS14">
        <v>-1.2462670919387655</v>
      </c>
      <c r="DT14">
        <v>-0.19000000000000003</v>
      </c>
      <c r="DU14">
        <v>-4.0000000000000112E-2</v>
      </c>
      <c r="DV14">
        <v>-0.23000000000000015</v>
      </c>
      <c r="DW14">
        <v>2.0712999999999999</v>
      </c>
      <c r="DX14">
        <v>0.49693178807947092</v>
      </c>
      <c r="DY14">
        <v>2.0268752364900662</v>
      </c>
      <c r="DZ14">
        <v>651</v>
      </c>
      <c r="EA14">
        <v>2.0234514049920165</v>
      </c>
      <c r="EB14" s="10">
        <v>2</v>
      </c>
      <c r="EC14" s="10">
        <v>0.45888498431521291</v>
      </c>
      <c r="ED14">
        <v>1.2174218222700395</v>
      </c>
      <c r="EE14">
        <v>1.04871</v>
      </c>
      <c r="EF14">
        <v>1.0661099999999999</v>
      </c>
      <c r="EG14">
        <v>12.376931788079471</v>
      </c>
      <c r="EH14" s="12" t="s">
        <v>464</v>
      </c>
      <c r="EI14" s="14">
        <v>1</v>
      </c>
      <c r="EJ14" s="14">
        <v>1</v>
      </c>
      <c r="EK14" s="14">
        <v>45470</v>
      </c>
      <c r="EL14" s="14">
        <v>2.63</v>
      </c>
      <c r="EM14" s="14">
        <v>-8.9700000000000006</v>
      </c>
      <c r="EN14" s="14">
        <v>-2.39</v>
      </c>
      <c r="EO14" s="14">
        <v>4.8600000000000003</v>
      </c>
      <c r="EP14" s="14">
        <v>-1.74</v>
      </c>
    </row>
    <row r="15" spans="1:146" ht="108" x14ac:dyDescent="0.25">
      <c r="A15" s="6"/>
      <c r="B15" s="6"/>
      <c r="C15" s="6" t="str">
        <f>""&amp;CHAR(10)&amp;Basic_Fundamental_Information_Constructure(F15)&amp;CHAR(10)&amp;Basic_Fundamental_Information_Concatenate("")</f>
        <v xml:space="preserve">
市值32.149416亿, 利润51.73亿; PE; 平均PE1.22; 平均PEG0, PB2.34; ROIC5.63%; ROE3.2433%; 股利率0%; 毛利10.0533%; 净利1.3367%; 上一年度营收增1887.55%, 利润增5193.36%; 当季营收增-95.47%, 利润增-99.72%; 过往5年营收增607.11%, 利润增5193.36%
Income profile:
</v>
      </c>
      <c r="D15" t="s">
        <v>188</v>
      </c>
      <c r="E15" t="s">
        <v>189</v>
      </c>
      <c r="F15">
        <v>1.78</v>
      </c>
      <c r="G15">
        <v>2.2999999999999998</v>
      </c>
      <c r="H15" t="s">
        <v>842</v>
      </c>
      <c r="I15">
        <v>3214941600</v>
      </c>
      <c r="K15">
        <v>2.34</v>
      </c>
      <c r="L15" t="s">
        <v>184</v>
      </c>
      <c r="M15" t="s">
        <v>843</v>
      </c>
      <c r="N15" t="s">
        <v>844</v>
      </c>
      <c r="O15" t="s">
        <v>845</v>
      </c>
      <c r="P15">
        <v>9.57</v>
      </c>
      <c r="Q15" t="s">
        <v>846</v>
      </c>
      <c r="R15">
        <v>8472747</v>
      </c>
      <c r="S15" s="5">
        <v>1.978</v>
      </c>
      <c r="T15" t="s">
        <v>847</v>
      </c>
      <c r="U15">
        <v>1806147000</v>
      </c>
      <c r="V15">
        <v>1806147000</v>
      </c>
      <c r="W15">
        <v>2.33</v>
      </c>
      <c r="X15" t="s">
        <v>5</v>
      </c>
      <c r="Y15">
        <v>1.35</v>
      </c>
      <c r="Z15" t="s">
        <v>5</v>
      </c>
      <c r="AA15" t="s">
        <v>5</v>
      </c>
      <c r="AB15" t="s">
        <v>5</v>
      </c>
      <c r="AC15" t="s">
        <v>5</v>
      </c>
      <c r="AD15" t="s">
        <v>5</v>
      </c>
      <c r="AE15">
        <v>9341927</v>
      </c>
      <c r="AF15" t="s">
        <v>848</v>
      </c>
      <c r="AG15" t="s">
        <v>849</v>
      </c>
      <c r="AH15" t="s">
        <v>850</v>
      </c>
      <c r="AI15" t="s">
        <v>851</v>
      </c>
      <c r="AJ15" t="s">
        <v>852</v>
      </c>
      <c r="AK15" t="s">
        <v>5</v>
      </c>
      <c r="AL15" t="s">
        <v>853</v>
      </c>
      <c r="AM15" t="s">
        <v>5</v>
      </c>
      <c r="AN15" t="s">
        <v>501</v>
      </c>
      <c r="AO15" t="s">
        <v>5</v>
      </c>
      <c r="AP15" t="s">
        <v>854</v>
      </c>
      <c r="AQ15" t="s">
        <v>87</v>
      </c>
      <c r="AR15" t="s">
        <v>5</v>
      </c>
      <c r="AS15" t="s">
        <v>5</v>
      </c>
      <c r="AT15" t="s">
        <v>5</v>
      </c>
      <c r="AU15" t="s">
        <v>46</v>
      </c>
      <c r="AV15" t="s">
        <v>855</v>
      </c>
      <c r="AW15" t="s">
        <v>856</v>
      </c>
      <c r="AX15" t="s">
        <v>444</v>
      </c>
      <c r="AY15" t="s">
        <v>5</v>
      </c>
      <c r="AZ15" t="s">
        <v>190</v>
      </c>
      <c r="BA15" t="s">
        <v>191</v>
      </c>
      <c r="BB15" t="s">
        <v>192</v>
      </c>
      <c r="BC15" t="s">
        <v>857</v>
      </c>
      <c r="BD15" t="s">
        <v>5</v>
      </c>
      <c r="BE15" t="s">
        <v>5</v>
      </c>
      <c r="BF15" t="s">
        <v>5</v>
      </c>
      <c r="BG15" t="s">
        <v>5</v>
      </c>
      <c r="BH15" t="s">
        <v>858</v>
      </c>
      <c r="BI15" t="s">
        <v>859</v>
      </c>
      <c r="BJ15" t="s">
        <v>444</v>
      </c>
      <c r="BK15" t="s">
        <v>860</v>
      </c>
      <c r="BL15" t="s">
        <v>861</v>
      </c>
      <c r="BM15" t="s">
        <v>857</v>
      </c>
      <c r="BN15" t="s">
        <v>5</v>
      </c>
      <c r="BO15">
        <v>5.95</v>
      </c>
      <c r="BP15">
        <v>5.31</v>
      </c>
      <c r="BQ15">
        <v>-2.52</v>
      </c>
      <c r="BR15">
        <v>7.44</v>
      </c>
      <c r="BS15">
        <v>4.8099999999999996</v>
      </c>
      <c r="BT15" t="s">
        <v>321</v>
      </c>
      <c r="BU15" t="s">
        <v>291</v>
      </c>
      <c r="BV15">
        <v>7.17</v>
      </c>
      <c r="BW15">
        <v>10.69</v>
      </c>
      <c r="BX15">
        <v>12.3</v>
      </c>
      <c r="BY15">
        <v>-2.02</v>
      </c>
      <c r="BZ15">
        <v>3.62</v>
      </c>
      <c r="CA15">
        <v>2.41</v>
      </c>
      <c r="CB15">
        <v>2.89</v>
      </c>
      <c r="CC15">
        <v>-5.82</v>
      </c>
      <c r="CD15" t="s">
        <v>862</v>
      </c>
      <c r="CE15" t="s">
        <v>863</v>
      </c>
      <c r="CF15" s="7">
        <v>-0.95468734266438426</v>
      </c>
      <c r="CG15" s="8">
        <v>-0.99718232557366149</v>
      </c>
      <c r="CH15" s="7">
        <v>18.875526428222656</v>
      </c>
      <c r="CI15" s="7" t="s">
        <v>5</v>
      </c>
      <c r="CJ15" s="7" t="s">
        <v>5</v>
      </c>
      <c r="CK15" s="7">
        <v>-0.36868825554847717</v>
      </c>
      <c r="CL15" s="7">
        <v>-0.2936839759349823</v>
      </c>
      <c r="CM15" s="8">
        <v>51.933551788330078</v>
      </c>
      <c r="CN15" s="8" t="s">
        <v>5</v>
      </c>
      <c r="CO15" s="8" t="s">
        <v>5</v>
      </c>
      <c r="CP15" s="8" t="s">
        <v>5</v>
      </c>
      <c r="CQ15" s="8" t="s">
        <v>5</v>
      </c>
      <c r="CR15">
        <v>1.2199235615782211</v>
      </c>
      <c r="CS15">
        <v>2.0094106958090173E-3</v>
      </c>
      <c r="CT15">
        <v>0</v>
      </c>
      <c r="CU15" s="7">
        <v>6.0710513989130659</v>
      </c>
      <c r="CV15" s="8">
        <v>51.933551788330078</v>
      </c>
      <c r="CW15">
        <v>0.06</v>
      </c>
      <c r="CX15">
        <v>0.10513315079623543</v>
      </c>
      <c r="CY15">
        <v>34508064987.337067</v>
      </c>
      <c r="CZ15">
        <v>6.0710513989130659</v>
      </c>
      <c r="DA15">
        <v>2.2816054394390185E-3</v>
      </c>
      <c r="DB15">
        <v>1590082815060.2617</v>
      </c>
      <c r="DC15">
        <v>5.7674988289674127</v>
      </c>
      <c r="DD15">
        <v>1.2728247728064866E-5</v>
      </c>
      <c r="DE15">
        <v>285030718878974.31</v>
      </c>
      <c r="DF15">
        <v>5.3425252310434983</v>
      </c>
      <c r="DG15">
        <v>2.1658777514932237E-8</v>
      </c>
      <c r="DH15">
        <v>1.6750444929307686E+17</v>
      </c>
      <c r="DI15">
        <v>4.8568411191304532</v>
      </c>
      <c r="DJ15">
        <v>7.1012542418542168E-15</v>
      </c>
      <c r="DK15">
        <v>5.1088743994225787E+23</v>
      </c>
      <c r="DL15">
        <v>4.249735979239146</v>
      </c>
      <c r="DM15">
        <v>5173000000</v>
      </c>
      <c r="DN15">
        <v>6.0710513989130659</v>
      </c>
      <c r="DO15">
        <v>3627941600</v>
      </c>
      <c r="DP15">
        <v>2000125600</v>
      </c>
      <c r="DQ15">
        <v>3044</v>
      </c>
      <c r="DR15">
        <v>-7.0257387415774506</v>
      </c>
      <c r="DS15">
        <v>-52.930734113903739</v>
      </c>
      <c r="DT15" s="9">
        <v>-0.21000000000000008</v>
      </c>
      <c r="DU15">
        <v>-0.42000000000000015</v>
      </c>
      <c r="DV15">
        <v>-0.63000000000000023</v>
      </c>
      <c r="DW15">
        <v>6.3318025258323765</v>
      </c>
      <c r="DX15">
        <v>0.36521770532915254</v>
      </c>
      <c r="DY15">
        <v>6.041547550907147</v>
      </c>
      <c r="DZ15">
        <v>2574</v>
      </c>
      <c r="EA15">
        <v>6.0206192933660514</v>
      </c>
      <c r="EB15">
        <v>6</v>
      </c>
      <c r="EC15">
        <v>4.4231671065533426E-2</v>
      </c>
      <c r="ED15">
        <v>0.35323813620928973</v>
      </c>
      <c r="EE15" s="10">
        <v>-1.0444100000000001</v>
      </c>
      <c r="EF15">
        <v>-1.0580099999999999</v>
      </c>
      <c r="EG15">
        <v>24.125217705329153</v>
      </c>
      <c r="EH15" t="s">
        <v>608</v>
      </c>
      <c r="EI15">
        <v>0</v>
      </c>
      <c r="EJ15">
        <v>0</v>
      </c>
      <c r="EK15" s="12">
        <v>45470</v>
      </c>
      <c r="EL15" s="14">
        <v>-0.46</v>
      </c>
      <c r="EM15" s="14">
        <v>-2.2999999999999998</v>
      </c>
      <c r="EN15" s="14">
        <v>0</v>
      </c>
      <c r="EO15" s="14">
        <v>4.25</v>
      </c>
      <c r="EP15" s="14">
        <v>-1.36</v>
      </c>
    </row>
    <row r="16" spans="1:146" ht="156" hidden="1" x14ac:dyDescent="0.25">
      <c r="A16" s="6"/>
      <c r="B16" s="6"/>
      <c r="C16" s="16" t="str">
        <f>"公司专业从事稀土永磁材料的研发、制造和销售。公司的主要产品为钕铁硼成品、伺服电机。公司已掌握了调控重稀土元素在磁体中的分布的晶界扩散技术,产品综合性能达到国际同类产品先进水平。"&amp;CHAR(10)&amp;Basic_Fundamental_Information_Constructure(F16)&amp;CHAR(10)&amp;Basic_Fundamental_Information_Concatenate("钕铁硼 33.62亿 89.56% 90.83% 26.26%
其他业务 3.92亿 10.44% 9.17% 22.72%")</f>
        <v>公司专业从事稀土永磁材料的研发、制造和销售。公司的主要产品为钕铁硼成品、伺服电机。公司已掌握了调控重稀土元素在磁体中的分布的晶界扩散技术,产品综合性能达到国际同类产品先进水平。
市值57.589067亿, 利润2645.15万; PE; 平均PE28.94; 平均PEG1.79, PB.975; ROIC7.67%; ROE4.7067%; 股利率.9653%; 毛利17.25%; 净利4.9767%; 上一年度营收增-65.72%, 利润增-92.57%; 当季营收增113.75%, 利润增93.27%; 过往5年营收增16.16%, 利润增114.67%
Income profile:
钕铁硼 33.62亿 89.56% 90.83% 26.26%
其他业务 3.92亿 10.44% 9.17% 22.72%</v>
      </c>
      <c r="D16" t="s">
        <v>21</v>
      </c>
      <c r="E16" t="s">
        <v>194</v>
      </c>
      <c r="F16">
        <v>5.18</v>
      </c>
      <c r="G16">
        <v>1.17</v>
      </c>
      <c r="H16" t="s">
        <v>864</v>
      </c>
      <c r="I16">
        <v>5758906700</v>
      </c>
      <c r="K16">
        <v>0.97499999999999998</v>
      </c>
      <c r="L16" t="s">
        <v>184</v>
      </c>
      <c r="M16" t="s">
        <v>865</v>
      </c>
      <c r="N16" t="s">
        <v>866</v>
      </c>
      <c r="O16" t="s">
        <v>867</v>
      </c>
      <c r="P16">
        <v>-28.25</v>
      </c>
      <c r="Q16" t="s">
        <v>868</v>
      </c>
      <c r="R16">
        <v>-431534</v>
      </c>
      <c r="S16" s="5">
        <v>-1.0229999999999999</v>
      </c>
      <c r="T16" t="s">
        <v>869</v>
      </c>
      <c r="U16">
        <v>1063885040</v>
      </c>
      <c r="V16">
        <v>1111758050</v>
      </c>
      <c r="W16">
        <v>1.49</v>
      </c>
      <c r="X16">
        <v>0.12</v>
      </c>
      <c r="Y16">
        <v>-0.22</v>
      </c>
      <c r="Z16" t="s">
        <v>422</v>
      </c>
      <c r="AA16" t="s">
        <v>870</v>
      </c>
      <c r="AB16" t="s">
        <v>871</v>
      </c>
      <c r="AC16" t="s">
        <v>872</v>
      </c>
      <c r="AD16" t="s">
        <v>5</v>
      </c>
      <c r="AE16">
        <v>2157761</v>
      </c>
      <c r="AF16" t="s">
        <v>873</v>
      </c>
      <c r="AG16" t="s">
        <v>874</v>
      </c>
      <c r="AH16" t="s">
        <v>875</v>
      </c>
      <c r="AI16" t="s">
        <v>876</v>
      </c>
      <c r="AJ16" t="s">
        <v>877</v>
      </c>
      <c r="AK16" t="s">
        <v>510</v>
      </c>
      <c r="AL16" t="s">
        <v>878</v>
      </c>
      <c r="AM16" t="s">
        <v>5</v>
      </c>
      <c r="AN16" t="s">
        <v>879</v>
      </c>
      <c r="AO16" t="s">
        <v>74</v>
      </c>
      <c r="AP16" t="s">
        <v>773</v>
      </c>
      <c r="AQ16" t="s">
        <v>880</v>
      </c>
      <c r="AR16" t="s">
        <v>881</v>
      </c>
      <c r="AS16" t="s">
        <v>882</v>
      </c>
      <c r="AT16" t="s">
        <v>883</v>
      </c>
      <c r="AU16" t="s">
        <v>884</v>
      </c>
      <c r="AV16" t="s">
        <v>885</v>
      </c>
      <c r="AW16" t="s">
        <v>886</v>
      </c>
      <c r="AX16" t="s">
        <v>445</v>
      </c>
      <c r="AY16" t="s">
        <v>231</v>
      </c>
      <c r="AZ16" t="s">
        <v>151</v>
      </c>
      <c r="BA16" t="s">
        <v>153</v>
      </c>
      <c r="BB16" t="s">
        <v>154</v>
      </c>
      <c r="BC16" t="s">
        <v>446</v>
      </c>
      <c r="BD16" t="s">
        <v>232</v>
      </c>
      <c r="BE16" t="s">
        <v>152</v>
      </c>
      <c r="BF16" t="s">
        <v>155</v>
      </c>
      <c r="BG16" t="s">
        <v>156</v>
      </c>
      <c r="BH16" t="s">
        <v>887</v>
      </c>
      <c r="BI16" t="s">
        <v>167</v>
      </c>
      <c r="BJ16" t="s">
        <v>445</v>
      </c>
      <c r="BK16" t="s">
        <v>888</v>
      </c>
      <c r="BL16" t="s">
        <v>889</v>
      </c>
      <c r="BM16" t="s">
        <v>446</v>
      </c>
      <c r="BN16" t="s">
        <v>5</v>
      </c>
      <c r="BO16">
        <v>5.88</v>
      </c>
      <c r="BP16">
        <v>9.4600000000000009</v>
      </c>
      <c r="BQ16">
        <v>-4.0999999999999996</v>
      </c>
      <c r="BR16">
        <v>6.97</v>
      </c>
      <c r="BS16">
        <v>11.25</v>
      </c>
      <c r="BT16" t="s">
        <v>630</v>
      </c>
      <c r="BU16" t="s">
        <v>292</v>
      </c>
      <c r="BV16">
        <v>6.18</v>
      </c>
      <c r="BW16">
        <v>19.68</v>
      </c>
      <c r="BX16">
        <v>25.89</v>
      </c>
      <c r="BY16">
        <v>-4.2300000000000004</v>
      </c>
      <c r="BZ16">
        <v>5.57</v>
      </c>
      <c r="CA16">
        <v>13.59</v>
      </c>
      <c r="CB16">
        <v>-0.77</v>
      </c>
      <c r="CC16">
        <v>-12.05</v>
      </c>
      <c r="CD16" t="s">
        <v>890</v>
      </c>
      <c r="CE16" t="s">
        <v>425</v>
      </c>
      <c r="CF16" s="7">
        <v>1.1375</v>
      </c>
      <c r="CG16" s="8">
        <v>0.9327210364665347</v>
      </c>
      <c r="CH16" s="7">
        <v>-0.65720081329345703</v>
      </c>
      <c r="CI16" s="7">
        <v>0.70724564790725708</v>
      </c>
      <c r="CJ16" s="7">
        <v>0.56481856107711792</v>
      </c>
      <c r="CK16" s="7">
        <v>0.23151953518390656</v>
      </c>
      <c r="CL16" s="7">
        <v>-3.8499508053064346E-2</v>
      </c>
      <c r="CM16" s="8">
        <v>-0.92569804191589355</v>
      </c>
      <c r="CN16" s="8">
        <v>-0.31274130940437317</v>
      </c>
      <c r="CO16" s="8">
        <v>1.9101123809814453</v>
      </c>
      <c r="CP16" s="8">
        <v>5.7674942016601562</v>
      </c>
      <c r="CQ16" s="8">
        <v>-0.70555710792541504</v>
      </c>
      <c r="CR16">
        <v>28.937232639891516</v>
      </c>
      <c r="CS16">
        <v>1.7909287294706511</v>
      </c>
      <c r="CT16">
        <v>0.96525096525096532</v>
      </c>
      <c r="CU16" s="7">
        <v>0.16157668456435204</v>
      </c>
      <c r="CV16" s="8">
        <v>1.146722024679184</v>
      </c>
      <c r="CW16">
        <v>0.06</v>
      </c>
      <c r="CX16">
        <v>83.864075708715532</v>
      </c>
      <c r="CY16">
        <v>28986269.501654677</v>
      </c>
      <c r="CZ16">
        <v>0.16157668456435204</v>
      </c>
      <c r="DA16">
        <v>25.807212986239811</v>
      </c>
      <c r="DB16">
        <v>94194855.573755249</v>
      </c>
      <c r="DC16">
        <v>0.15349785033613442</v>
      </c>
      <c r="DD16">
        <v>11.69850967455449</v>
      </c>
      <c r="DE16">
        <v>207796272.14289373</v>
      </c>
      <c r="DF16">
        <v>0.14218748241662979</v>
      </c>
      <c r="DG16">
        <v>6.3823073242843682</v>
      </c>
      <c r="DH16">
        <v>380882113.08009541</v>
      </c>
      <c r="DI16">
        <v>0.12926134765148165</v>
      </c>
      <c r="DJ16">
        <v>2.6439801843639037</v>
      </c>
      <c r="DK16">
        <v>919411845.20822513</v>
      </c>
      <c r="DL16">
        <v>0.11310367919504642</v>
      </c>
      <c r="DM16">
        <v>26451500</v>
      </c>
      <c r="DN16">
        <v>0.16157668456435204</v>
      </c>
      <c r="DO16">
        <v>2430906700</v>
      </c>
      <c r="DP16">
        <v>4062834900</v>
      </c>
      <c r="DQ16">
        <v>3130</v>
      </c>
      <c r="DR16">
        <v>0.97592331543564792</v>
      </c>
      <c r="DS16">
        <v>-0.21400098821264935</v>
      </c>
      <c r="DT16" s="9">
        <v>-0.22333333333333338</v>
      </c>
      <c r="DU16">
        <v>4.6833333333333206E-2</v>
      </c>
      <c r="DV16">
        <v>-0.17650000000000018</v>
      </c>
      <c r="DW16">
        <v>-2.1204999999999998</v>
      </c>
      <c r="DX16">
        <v>0.34461607843137243</v>
      </c>
      <c r="DY16">
        <v>-2.0282712374509804</v>
      </c>
      <c r="DZ16">
        <v>4558</v>
      </c>
      <c r="EA16">
        <v>-2.0030539575485209</v>
      </c>
      <c r="EB16">
        <v>2</v>
      </c>
      <c r="EC16">
        <v>5.3813057616268214E-2</v>
      </c>
      <c r="ED16">
        <v>0.22936645252984672</v>
      </c>
      <c r="EE16" s="10">
        <v>1.8200000000000001E-2</v>
      </c>
      <c r="EF16">
        <v>3.5000000000000003E-2</v>
      </c>
      <c r="EG16">
        <v>11.234616078431372</v>
      </c>
      <c r="EH16" t="s">
        <v>255</v>
      </c>
      <c r="EI16">
        <v>0</v>
      </c>
      <c r="EJ16">
        <v>0</v>
      </c>
      <c r="EK16" s="12">
        <v>45470</v>
      </c>
      <c r="EL16" s="14">
        <v>0</v>
      </c>
      <c r="EM16" s="14">
        <v>-4.53</v>
      </c>
      <c r="EN16" s="14">
        <v>0.86</v>
      </c>
      <c r="EO16" s="14">
        <v>1.71</v>
      </c>
      <c r="EP16" s="14">
        <v>1.68</v>
      </c>
    </row>
    <row r="17" spans="1:146" ht="180" x14ac:dyDescent="0.25">
      <c r="A17" s="6" t="s">
        <v>283</v>
      </c>
      <c r="B17" s="6" t="s">
        <v>284</v>
      </c>
      <c r="C17" s="6" t="str">
        <f>"公司主营业务为高性能、高精度有色合金材料的研发、生产和销售；太阳能电池、组件的研发、生产和销售及太阳能电站的运营。公司主要产品有功能合金材料、环保合金材料、节能合金材料和替代合金材料；多晶硅、单晶硅电池及组件；"&amp;CHAR(10)&amp;Basic_Fundamental_Information_Constructure(F17)&amp;CHAR(10)&amp;Basic_Fundamental_Information_Concatenate("合金材料 90.73亿 90.39% 92.45% 12.56%
光伏组件 7.67亿 7.64% 3.49% 5.61%
其他业务 1.97亿 1.96% 4.06% 25.37%")</f>
        <v>公司主营业务为高性能、高精度有色合金材料的研发、生产和销售；太阳能电池、组件的研发、生产和销售及太阳能电站的运营。公司主要产品有功能合金材料、环保合金材料、节能合金材料和替代合金材料；多晶硅、单晶硅电池及组件；
市值118.921928亿, 利润210.40亿; PE9.94; 平均PE3.08; 平均PEG0, PB1.66; ROIC6.3567%; ROE9.2267%; 股利率2.9586%; 毛利14.1533%; 净利4.47%; 上一年度营收增3442.09%, 利润增3818.06%; 当季营收增-95.76%, 利润增-91.61%; 过往5年营收增702.47%, 利润增774.38%
Income profile:
合金材料 90.73亿 90.39% 92.45% 12.56%
光伏组件 7.67亿 7.64% 3.49% 5.61%
其他业务 1.97亿 1.96% 4.06% 25.37%</v>
      </c>
      <c r="D17" t="s">
        <v>195</v>
      </c>
      <c r="E17" t="s">
        <v>196</v>
      </c>
      <c r="F17">
        <v>15.21</v>
      </c>
      <c r="G17">
        <v>0.53</v>
      </c>
      <c r="H17" t="s">
        <v>891</v>
      </c>
      <c r="I17">
        <v>11892192800</v>
      </c>
      <c r="J17">
        <v>9.94</v>
      </c>
      <c r="K17">
        <v>1.66</v>
      </c>
      <c r="L17" t="s">
        <v>184</v>
      </c>
      <c r="M17" t="s">
        <v>892</v>
      </c>
      <c r="N17" t="s">
        <v>893</v>
      </c>
      <c r="O17" t="s">
        <v>894</v>
      </c>
      <c r="P17">
        <v>32.67</v>
      </c>
      <c r="Q17" t="s">
        <v>895</v>
      </c>
      <c r="R17">
        <v>262585740</v>
      </c>
      <c r="S17" s="5">
        <v>0.3851</v>
      </c>
      <c r="T17" t="s">
        <v>896</v>
      </c>
      <c r="U17">
        <v>779466720</v>
      </c>
      <c r="V17">
        <v>781866720</v>
      </c>
      <c r="W17">
        <v>2.09</v>
      </c>
      <c r="X17">
        <v>0.28000000000000003</v>
      </c>
      <c r="Y17">
        <v>5.85</v>
      </c>
      <c r="Z17" t="s">
        <v>897</v>
      </c>
      <c r="AA17" t="s">
        <v>898</v>
      </c>
      <c r="AB17" t="s">
        <v>899</v>
      </c>
      <c r="AC17" t="s">
        <v>486</v>
      </c>
      <c r="AD17" t="s">
        <v>5</v>
      </c>
      <c r="AE17">
        <v>49913580</v>
      </c>
      <c r="AF17" t="s">
        <v>900</v>
      </c>
      <c r="AG17" t="s">
        <v>901</v>
      </c>
      <c r="AH17" t="s">
        <v>902</v>
      </c>
      <c r="AI17" t="s">
        <v>903</v>
      </c>
      <c r="AJ17" t="s">
        <v>904</v>
      </c>
      <c r="AK17" t="s">
        <v>5</v>
      </c>
      <c r="AL17" t="s">
        <v>905</v>
      </c>
      <c r="AM17" t="s">
        <v>5</v>
      </c>
      <c r="AN17" t="s">
        <v>906</v>
      </c>
      <c r="AO17" t="s">
        <v>907</v>
      </c>
      <c r="AP17" t="s">
        <v>908</v>
      </c>
      <c r="AQ17" t="s">
        <v>909</v>
      </c>
      <c r="AR17" t="s">
        <v>5</v>
      </c>
      <c r="AS17" t="s">
        <v>910</v>
      </c>
      <c r="AT17" t="s">
        <v>911</v>
      </c>
      <c r="AU17" t="s">
        <v>912</v>
      </c>
      <c r="AV17" t="s">
        <v>913</v>
      </c>
      <c r="AW17" t="s">
        <v>914</v>
      </c>
      <c r="AX17" t="s">
        <v>448</v>
      </c>
      <c r="AY17" t="s">
        <v>493</v>
      </c>
      <c r="AZ17" t="s">
        <v>197</v>
      </c>
      <c r="BA17" t="s">
        <v>198</v>
      </c>
      <c r="BB17" t="s">
        <v>199</v>
      </c>
      <c r="BC17" t="s">
        <v>449</v>
      </c>
      <c r="BD17" t="s">
        <v>234</v>
      </c>
      <c r="BE17" t="s">
        <v>134</v>
      </c>
      <c r="BF17" t="s">
        <v>200</v>
      </c>
      <c r="BG17" t="s">
        <v>201</v>
      </c>
      <c r="BH17" t="s">
        <v>915</v>
      </c>
      <c r="BI17" t="s">
        <v>916</v>
      </c>
      <c r="BJ17" t="s">
        <v>448</v>
      </c>
      <c r="BK17" t="s">
        <v>917</v>
      </c>
      <c r="BL17" t="s">
        <v>918</v>
      </c>
      <c r="BM17" t="s">
        <v>449</v>
      </c>
      <c r="BN17">
        <v>7.34</v>
      </c>
      <c r="BO17">
        <v>6.82</v>
      </c>
      <c r="BP17">
        <v>4.91</v>
      </c>
      <c r="BQ17">
        <v>12.44</v>
      </c>
      <c r="BR17">
        <v>9.41</v>
      </c>
      <c r="BS17">
        <v>5.83</v>
      </c>
      <c r="BT17" t="s">
        <v>919</v>
      </c>
      <c r="BU17" t="s">
        <v>291</v>
      </c>
      <c r="BV17">
        <v>17.25</v>
      </c>
      <c r="BW17">
        <v>12.94</v>
      </c>
      <c r="BX17">
        <v>12.27</v>
      </c>
      <c r="BY17">
        <v>6.33</v>
      </c>
      <c r="BZ17">
        <v>3.99</v>
      </c>
      <c r="CA17">
        <v>3.09</v>
      </c>
      <c r="CB17">
        <v>-0.2</v>
      </c>
      <c r="CC17">
        <v>-14.07</v>
      </c>
      <c r="CD17" t="s">
        <v>920</v>
      </c>
      <c r="CE17" t="s">
        <v>675</v>
      </c>
      <c r="CF17" s="7">
        <v>-0.95760655025545616</v>
      </c>
      <c r="CG17" s="8">
        <v>-0.91605315217391303</v>
      </c>
      <c r="CH17" s="7">
        <v>34.420883178710937</v>
      </c>
      <c r="CI17" s="7">
        <v>0.33890870213508606</v>
      </c>
      <c r="CJ17" s="7">
        <v>0.32349452376365662</v>
      </c>
      <c r="CK17" s="7">
        <v>-3.9512751391157508E-4</v>
      </c>
      <c r="CL17" s="7">
        <v>4.042758047580719E-2</v>
      </c>
      <c r="CM17" s="8">
        <v>38.180633544921875</v>
      </c>
      <c r="CN17" s="8">
        <v>0.73225808143615723</v>
      </c>
      <c r="CO17" s="8">
        <v>-0.2773892879486084</v>
      </c>
      <c r="CP17" s="8">
        <v>-2.500000037252903E-2</v>
      </c>
      <c r="CQ17" s="8">
        <v>0.10831234604120255</v>
      </c>
      <c r="CR17">
        <v>3.0818104262946484</v>
      </c>
      <c r="CS17">
        <v>4.3871287317575041E-3</v>
      </c>
      <c r="CT17">
        <v>2.9585798816568047</v>
      </c>
      <c r="CU17" s="7">
        <v>7.024663771514315</v>
      </c>
      <c r="CV17" s="8">
        <v>7.7437629368156191</v>
      </c>
      <c r="CW17">
        <v>0.06</v>
      </c>
      <c r="CX17">
        <v>8.6891125980578354E-2</v>
      </c>
      <c r="CY17">
        <v>159282005427.03888</v>
      </c>
      <c r="CZ17">
        <v>7.024663771514315</v>
      </c>
      <c r="DA17">
        <v>1.4984037321761196E-3</v>
      </c>
      <c r="DB17">
        <v>9236624617785.7559</v>
      </c>
      <c r="DC17">
        <v>6.6734305829385985</v>
      </c>
      <c r="DD17">
        <v>5.7971676693620165E-6</v>
      </c>
      <c r="DE17">
        <v>2387405986745097</v>
      </c>
      <c r="DF17">
        <v>6.181704118932597</v>
      </c>
      <c r="DG17">
        <v>6.1230114403476302E-9</v>
      </c>
      <c r="DH17">
        <v>2.2603571681738081E+18</v>
      </c>
      <c r="DI17">
        <v>5.6197310172114525</v>
      </c>
      <c r="DJ17">
        <v>6.2526573033656374E-16</v>
      </c>
      <c r="DK17">
        <v>2.2134897418014891E+25</v>
      </c>
      <c r="DL17">
        <v>4.9172646400600204</v>
      </c>
      <c r="DM17">
        <v>21040000000</v>
      </c>
      <c r="DN17">
        <v>7.024663771514315</v>
      </c>
      <c r="DO17">
        <v>13840192800</v>
      </c>
      <c r="DP17">
        <v>4047141600</v>
      </c>
      <c r="DQ17">
        <v>3672</v>
      </c>
      <c r="DR17">
        <v>-7.9822703217697715</v>
      </c>
      <c r="DS17">
        <v>-8.6598160889895315</v>
      </c>
      <c r="DT17" s="9">
        <v>0.14333333333333331</v>
      </c>
      <c r="DU17">
        <v>2.6666666666666616E-2</v>
      </c>
      <c r="DV17">
        <v>0.16999999999999993</v>
      </c>
      <c r="DW17">
        <v>-2.1406999999999998</v>
      </c>
      <c r="DX17">
        <v>0.29285159574467939</v>
      </c>
      <c r="DY17">
        <v>-2.0158782195212765</v>
      </c>
      <c r="DZ17">
        <v>446</v>
      </c>
      <c r="EA17">
        <v>-2.0144923710072864</v>
      </c>
      <c r="EB17">
        <v>2</v>
      </c>
      <c r="EC17">
        <v>8.1405562318856595E-2</v>
      </c>
      <c r="ED17">
        <v>0.72135056471005699</v>
      </c>
      <c r="EE17" s="10">
        <v>13.0311</v>
      </c>
      <c r="EF17">
        <v>13.01351</v>
      </c>
      <c r="EG17">
        <v>18.112851595744679</v>
      </c>
      <c r="EH17" t="s">
        <v>921</v>
      </c>
      <c r="EI17">
        <v>0</v>
      </c>
      <c r="EJ17">
        <v>1</v>
      </c>
      <c r="EK17" s="12">
        <v>45470</v>
      </c>
      <c r="EL17" s="14">
        <v>-0.73</v>
      </c>
      <c r="EM17" s="14">
        <v>0</v>
      </c>
      <c r="EN17" s="14">
        <v>1.56</v>
      </c>
      <c r="EO17" s="14">
        <v>0.14000000000000001</v>
      </c>
      <c r="EP17" s="14">
        <v>-4.46</v>
      </c>
    </row>
    <row r="18" spans="1:146" ht="108" x14ac:dyDescent="0.25">
      <c r="A18" s="6"/>
      <c r="B18" s="6"/>
      <c r="C18" s="6" t="str">
        <f>""&amp;CHAR(10)&amp;Basic_Fundamental_Information_Constructure(F18)&amp;CHAR(10)&amp;Basic_Fundamental_Information_Concatenate("")</f>
        <v xml:space="preserve">
市值13.0569129亿, 利润4586.09万; PE32.16; 平均PE25.44; 平均PEG27.34, PB1.39; ROIC5.1033%; ROE4.5667%; 股利率.6328%; 毛利10.61%; 净利1.59%; 上一年度营收增-72.05%, 利润增54.05%; 当季营收增403.08%, 利润增4.16%; 过往5年营收增-.93%, 利润增4.46%
Income profile:
</v>
      </c>
      <c r="D18" t="s">
        <v>28</v>
      </c>
      <c r="E18" t="s">
        <v>7</v>
      </c>
      <c r="F18">
        <v>9.64</v>
      </c>
      <c r="G18">
        <v>0.73</v>
      </c>
      <c r="H18" t="s">
        <v>922</v>
      </c>
      <c r="I18">
        <v>1305691290</v>
      </c>
      <c r="J18">
        <v>32.159999999999997</v>
      </c>
      <c r="K18">
        <v>1.39</v>
      </c>
      <c r="L18" t="s">
        <v>184</v>
      </c>
      <c r="M18" t="s">
        <v>923</v>
      </c>
      <c r="N18" t="s">
        <v>924</v>
      </c>
      <c r="O18" t="s">
        <v>925</v>
      </c>
      <c r="P18">
        <v>25.5</v>
      </c>
      <c r="Q18" t="s">
        <v>926</v>
      </c>
      <c r="R18">
        <v>6889541</v>
      </c>
      <c r="S18" s="5">
        <v>-3.6400000000000002E-2</v>
      </c>
      <c r="T18" t="s">
        <v>927</v>
      </c>
      <c r="U18">
        <v>135445160</v>
      </c>
      <c r="V18">
        <v>135445160</v>
      </c>
      <c r="W18">
        <v>2.42</v>
      </c>
      <c r="X18">
        <v>0.28999999999999998</v>
      </c>
      <c r="Y18">
        <v>1.05</v>
      </c>
      <c r="Z18" t="s">
        <v>664</v>
      </c>
      <c r="AA18" t="s">
        <v>148</v>
      </c>
      <c r="AB18" t="s">
        <v>928</v>
      </c>
      <c r="AC18" t="s">
        <v>929</v>
      </c>
      <c r="AD18" t="s">
        <v>5</v>
      </c>
      <c r="AE18">
        <v>14055810</v>
      </c>
      <c r="AF18" t="s">
        <v>930</v>
      </c>
      <c r="AG18" t="s">
        <v>931</v>
      </c>
      <c r="AH18" t="s">
        <v>932</v>
      </c>
      <c r="AI18" t="s">
        <v>933</v>
      </c>
      <c r="AJ18" t="s">
        <v>934</v>
      </c>
      <c r="AK18" t="s">
        <v>5</v>
      </c>
      <c r="AL18" t="s">
        <v>935</v>
      </c>
      <c r="AM18" t="s">
        <v>5</v>
      </c>
      <c r="AN18" t="s">
        <v>807</v>
      </c>
      <c r="AO18" t="s">
        <v>936</v>
      </c>
      <c r="AP18" t="s">
        <v>937</v>
      </c>
      <c r="AQ18" t="s">
        <v>938</v>
      </c>
      <c r="AR18" t="s">
        <v>939</v>
      </c>
      <c r="AS18" t="s">
        <v>940</v>
      </c>
      <c r="AT18" t="s">
        <v>322</v>
      </c>
      <c r="AU18" t="s">
        <v>941</v>
      </c>
      <c r="AV18" t="s">
        <v>942</v>
      </c>
      <c r="AW18" t="s">
        <v>943</v>
      </c>
      <c r="AX18" t="s">
        <v>450</v>
      </c>
      <c r="AY18" t="s">
        <v>235</v>
      </c>
      <c r="AZ18" t="s">
        <v>157</v>
      </c>
      <c r="BA18" t="s">
        <v>58</v>
      </c>
      <c r="BB18" t="s">
        <v>159</v>
      </c>
      <c r="BC18" t="s">
        <v>451</v>
      </c>
      <c r="BD18" t="s">
        <v>236</v>
      </c>
      <c r="BE18" t="s">
        <v>158</v>
      </c>
      <c r="BF18" t="s">
        <v>59</v>
      </c>
      <c r="BG18" t="s">
        <v>160</v>
      </c>
      <c r="BH18" t="s">
        <v>944</v>
      </c>
      <c r="BI18" t="s">
        <v>807</v>
      </c>
      <c r="BJ18" t="s">
        <v>450</v>
      </c>
      <c r="BK18" t="s">
        <v>945</v>
      </c>
      <c r="BL18" t="s">
        <v>946</v>
      </c>
      <c r="BM18" t="s">
        <v>451</v>
      </c>
      <c r="BN18">
        <v>4.2</v>
      </c>
      <c r="BO18">
        <v>4.51</v>
      </c>
      <c r="BP18">
        <v>6.6</v>
      </c>
      <c r="BQ18">
        <v>3.67</v>
      </c>
      <c r="BR18">
        <v>3.37</v>
      </c>
      <c r="BS18">
        <v>6.66</v>
      </c>
      <c r="BT18" t="s">
        <v>947</v>
      </c>
      <c r="BU18" t="s">
        <v>291</v>
      </c>
      <c r="BV18">
        <v>10.01</v>
      </c>
      <c r="BW18">
        <v>10.97</v>
      </c>
      <c r="BX18">
        <v>10.85</v>
      </c>
      <c r="BY18">
        <v>1.46</v>
      </c>
      <c r="BZ18">
        <v>1.36</v>
      </c>
      <c r="CA18">
        <v>1.95</v>
      </c>
      <c r="CB18">
        <v>-2.92</v>
      </c>
      <c r="CC18">
        <v>-12.83</v>
      </c>
      <c r="CD18" t="s">
        <v>948</v>
      </c>
      <c r="CE18" t="s">
        <v>949</v>
      </c>
      <c r="CF18" s="7">
        <v>4.0307692307692307</v>
      </c>
      <c r="CG18" s="8">
        <v>4.1644517016676492E-2</v>
      </c>
      <c r="CH18" s="7">
        <v>-0.7204742431640625</v>
      </c>
      <c r="CI18" s="7">
        <v>-0.25179123878479004</v>
      </c>
      <c r="CJ18" s="7">
        <v>0.27158358693122864</v>
      </c>
      <c r="CK18" s="7">
        <v>0.47378513216972351</v>
      </c>
      <c r="CL18" s="7">
        <v>0.18037740886211395</v>
      </c>
      <c r="CM18" s="8">
        <v>0.54051238298416138</v>
      </c>
      <c r="CN18" s="8">
        <v>-0.47856724262237549</v>
      </c>
      <c r="CO18" s="8">
        <v>0.29157447814941406</v>
      </c>
      <c r="CP18" s="8">
        <v>-0.39594799280166626</v>
      </c>
      <c r="CQ18" s="8">
        <v>0.2653948962688446</v>
      </c>
      <c r="CR18">
        <v>25.44077318487858</v>
      </c>
      <c r="CS18">
        <v>27.344288994911427</v>
      </c>
      <c r="CT18">
        <v>0.63278008298755184</v>
      </c>
      <c r="CU18" s="7">
        <v>-9.3038707971572869E-3</v>
      </c>
      <c r="CV18" s="8">
        <v>4.4593304395675659E-2</v>
      </c>
      <c r="CW18">
        <v>0.06</v>
      </c>
      <c r="CX18">
        <v>37.040077495208337</v>
      </c>
      <c r="CY18" t="s">
        <v>950</v>
      </c>
      <c r="CZ18">
        <v>-9.3038707971572869E-3</v>
      </c>
      <c r="DA18">
        <v>12.346692498402779</v>
      </c>
      <c r="DB18" t="s">
        <v>951</v>
      </c>
      <c r="DC18">
        <v>-8.8386772572994227E-3</v>
      </c>
      <c r="DD18">
        <v>6.1733462492013897</v>
      </c>
      <c r="DE18" t="s">
        <v>952</v>
      </c>
      <c r="DF18">
        <v>-8.1874063014984125E-3</v>
      </c>
      <c r="DG18">
        <v>3.7040077495208337</v>
      </c>
      <c r="DH18" t="s">
        <v>953</v>
      </c>
      <c r="DI18">
        <v>-7.4430966377258302E-3</v>
      </c>
      <c r="DJ18">
        <v>1.8520038747604168</v>
      </c>
      <c r="DK18" t="s">
        <v>954</v>
      </c>
      <c r="DL18">
        <v>-6.5127095580101001E-3</v>
      </c>
      <c r="DM18">
        <v>45860900</v>
      </c>
      <c r="DN18">
        <v>-9.3038707971572869E-3</v>
      </c>
      <c r="DO18">
        <v>1698691290</v>
      </c>
      <c r="DP18">
        <v>391253200</v>
      </c>
      <c r="DQ18">
        <v>3885</v>
      </c>
      <c r="DR18">
        <v>4.0400731015663878</v>
      </c>
      <c r="DS18">
        <v>-2.9487873789991667E-3</v>
      </c>
      <c r="DT18" s="9">
        <v>-0.57333333333333336</v>
      </c>
      <c r="DU18">
        <v>0.13333333333333333</v>
      </c>
      <c r="DV18">
        <v>-0.44000000000000006</v>
      </c>
      <c r="DW18">
        <v>-8.2275915822291505</v>
      </c>
      <c r="DX18">
        <v>0.34804138028585441</v>
      </c>
      <c r="DY18">
        <v>-8.0245893086854796</v>
      </c>
      <c r="DZ18">
        <v>1246</v>
      </c>
      <c r="EA18">
        <v>-8.018593559444362</v>
      </c>
      <c r="EB18">
        <v>8</v>
      </c>
      <c r="EC18">
        <v>7.4438983275592868E-2</v>
      </c>
      <c r="ED18">
        <v>0.68898585966453141</v>
      </c>
      <c r="EE18" s="10">
        <v>3.7010000000000008E-2</v>
      </c>
      <c r="EF18">
        <v>4.7410000000000001E-2</v>
      </c>
      <c r="EG18">
        <v>24.108041380285854</v>
      </c>
      <c r="EH18">
        <v>-1</v>
      </c>
      <c r="EI18">
        <v>0</v>
      </c>
      <c r="EJ18">
        <v>1</v>
      </c>
      <c r="EK18" s="12">
        <v>45470</v>
      </c>
      <c r="EL18" s="14">
        <v>-0.06</v>
      </c>
      <c r="EM18" s="14">
        <v>-2.0499999999999998</v>
      </c>
      <c r="EN18" s="14">
        <v>0.7</v>
      </c>
      <c r="EO18" s="14">
        <v>2.39</v>
      </c>
      <c r="EP18" s="14">
        <v>-1.04</v>
      </c>
    </row>
    <row r="19" spans="1:146" ht="108" x14ac:dyDescent="0.25">
      <c r="A19" s="6"/>
      <c r="B19" s="6"/>
      <c r="C19" s="6" t="str">
        <f>""&amp;CHAR(10)&amp;Basic_Fundamental_Information_Constructure(F19)&amp;CHAR(10)&amp;Basic_Fundamental_Information_Concatenate("")</f>
        <v xml:space="preserve">
市值14.736813亿, 利润10.31亿; PE; 平均PE7.02; 平均PEG.08, PB1.03; ROIC2.72%; ROE-1.6133%; 股利率0%; 毛利8.6333%; 净利-3.3433%; 上一年度营收增385.5%, 利润增2244.15%; 当季营收增-65.99%, 利润增-121.71%; 过往5年营收增85.03%, 利润增376.93%
Income profile:
</v>
      </c>
      <c r="D19" t="s">
        <v>25</v>
      </c>
      <c r="E19" t="s">
        <v>10</v>
      </c>
      <c r="F19">
        <v>8.8800000000000008</v>
      </c>
      <c r="G19">
        <v>3.02</v>
      </c>
      <c r="H19" t="s">
        <v>955</v>
      </c>
      <c r="I19">
        <v>1473681300</v>
      </c>
      <c r="K19">
        <v>1.03</v>
      </c>
      <c r="L19" t="s">
        <v>184</v>
      </c>
      <c r="M19" t="s">
        <v>956</v>
      </c>
      <c r="N19" t="s">
        <v>555</v>
      </c>
      <c r="O19" t="s">
        <v>957</v>
      </c>
      <c r="P19">
        <v>87.74</v>
      </c>
      <c r="Q19" t="s">
        <v>958</v>
      </c>
      <c r="R19">
        <v>-40161870</v>
      </c>
      <c r="S19" s="5">
        <v>-1.9810000000000001</v>
      </c>
      <c r="T19" t="s">
        <v>497</v>
      </c>
      <c r="U19">
        <v>165955100</v>
      </c>
      <c r="V19">
        <v>165955100</v>
      </c>
      <c r="W19">
        <v>2.41</v>
      </c>
      <c r="X19">
        <v>0.14000000000000001</v>
      </c>
      <c r="Y19">
        <v>-8.0399999999999991</v>
      </c>
      <c r="Z19" t="s">
        <v>133</v>
      </c>
      <c r="AA19" t="s">
        <v>476</v>
      </c>
      <c r="AB19" t="s">
        <v>959</v>
      </c>
      <c r="AC19" t="s">
        <v>960</v>
      </c>
      <c r="AD19" t="s">
        <v>5</v>
      </c>
      <c r="AE19">
        <v>19342660</v>
      </c>
      <c r="AF19" t="s">
        <v>961</v>
      </c>
      <c r="AG19" t="s">
        <v>962</v>
      </c>
      <c r="AH19" t="s">
        <v>963</v>
      </c>
      <c r="AI19" t="s">
        <v>964</v>
      </c>
      <c r="AJ19" t="s">
        <v>965</v>
      </c>
      <c r="AK19" t="s">
        <v>966</v>
      </c>
      <c r="AL19" t="s">
        <v>967</v>
      </c>
      <c r="AM19" t="s">
        <v>5</v>
      </c>
      <c r="AN19" t="s">
        <v>968</v>
      </c>
      <c r="AO19" t="s">
        <v>969</v>
      </c>
      <c r="AP19" t="s">
        <v>970</v>
      </c>
      <c r="AQ19" t="s">
        <v>47</v>
      </c>
      <c r="AR19" t="s">
        <v>5</v>
      </c>
      <c r="AS19" t="s">
        <v>971</v>
      </c>
      <c r="AT19" t="s">
        <v>795</v>
      </c>
      <c r="AU19" t="s">
        <v>972</v>
      </c>
      <c r="AV19" t="s">
        <v>973</v>
      </c>
      <c r="AW19" t="s">
        <v>120</v>
      </c>
      <c r="AX19" t="s">
        <v>452</v>
      </c>
      <c r="AY19" t="s">
        <v>237</v>
      </c>
      <c r="AZ19" t="s">
        <v>161</v>
      </c>
      <c r="BA19" t="s">
        <v>61</v>
      </c>
      <c r="BB19" t="s">
        <v>110</v>
      </c>
      <c r="BC19" t="s">
        <v>974</v>
      </c>
      <c r="BD19" t="s">
        <v>238</v>
      </c>
      <c r="BE19" t="s">
        <v>162</v>
      </c>
      <c r="BF19" t="s">
        <v>62</v>
      </c>
      <c r="BG19" t="s">
        <v>163</v>
      </c>
      <c r="BH19" t="s">
        <v>975</v>
      </c>
      <c r="BI19" t="s">
        <v>976</v>
      </c>
      <c r="BJ19" t="s">
        <v>452</v>
      </c>
      <c r="BK19" t="s">
        <v>977</v>
      </c>
      <c r="BL19" t="s">
        <v>479</v>
      </c>
      <c r="BM19" t="s">
        <v>974</v>
      </c>
      <c r="BN19" t="s">
        <v>5</v>
      </c>
      <c r="BO19" t="s">
        <v>5</v>
      </c>
      <c r="BP19">
        <v>2.72</v>
      </c>
      <c r="BQ19">
        <v>-3.82</v>
      </c>
      <c r="BR19">
        <v>-2.73</v>
      </c>
      <c r="BS19">
        <v>1.71</v>
      </c>
      <c r="BT19" t="s">
        <v>321</v>
      </c>
      <c r="BU19" t="s">
        <v>291</v>
      </c>
      <c r="BV19">
        <v>4.68</v>
      </c>
      <c r="BW19">
        <v>10.08</v>
      </c>
      <c r="BX19">
        <v>11.14</v>
      </c>
      <c r="BY19">
        <v>-8.9700000000000006</v>
      </c>
      <c r="BZ19">
        <v>-3.15</v>
      </c>
      <c r="CA19">
        <v>2.09</v>
      </c>
      <c r="CB19">
        <v>-0.78</v>
      </c>
      <c r="CC19">
        <v>-18.829999999999998</v>
      </c>
      <c r="CD19" t="s">
        <v>978</v>
      </c>
      <c r="CE19" t="s">
        <v>979</v>
      </c>
      <c r="CF19" s="7">
        <v>-0.65989159891598914</v>
      </c>
      <c r="CG19" s="8">
        <v>-1.2170911891891891</v>
      </c>
      <c r="CH19" s="7">
        <v>3.8549871444702148</v>
      </c>
      <c r="CI19" s="7">
        <v>0.10755813866853714</v>
      </c>
      <c r="CJ19" s="7">
        <v>0.39553752541542053</v>
      </c>
      <c r="CK19" s="7">
        <v>-4.6421661972999573E-2</v>
      </c>
      <c r="CL19" s="7">
        <v>-5.9999998658895493E-2</v>
      </c>
      <c r="CM19" s="8">
        <v>22.441509246826172</v>
      </c>
      <c r="CN19" s="8">
        <v>-2.670626163482666</v>
      </c>
      <c r="CO19" s="8">
        <v>2.3279791697859764E-2</v>
      </c>
      <c r="CP19" s="8">
        <v>-0.70162588357925415</v>
      </c>
      <c r="CQ19" s="8">
        <v>-0.24584883451461792</v>
      </c>
      <c r="CR19">
        <v>7.0225784536216587</v>
      </c>
      <c r="CS19">
        <v>8.2586290502636675E-2</v>
      </c>
      <c r="CT19">
        <v>0</v>
      </c>
      <c r="CU19" s="7">
        <v>0.85033222958445553</v>
      </c>
      <c r="CV19" s="8">
        <v>3.7693376313894986</v>
      </c>
      <c r="CW19">
        <v>0.06</v>
      </c>
      <c r="CX19">
        <v>1.0561042451486005</v>
      </c>
      <c r="CY19">
        <v>1799709932.7373335</v>
      </c>
      <c r="CZ19">
        <v>0.85033222958445553</v>
      </c>
      <c r="DA19">
        <v>0.19253814244442344</v>
      </c>
      <c r="DB19">
        <v>9871713084.3237247</v>
      </c>
      <c r="DC19">
        <v>0.80781561810523272</v>
      </c>
      <c r="DD19">
        <v>3.793926209216085E-2</v>
      </c>
      <c r="DE19">
        <v>50098003893.247192</v>
      </c>
      <c r="DF19">
        <v>0.74829236203432092</v>
      </c>
      <c r="DG19">
        <v>6.8625705187630006E-3</v>
      </c>
      <c r="DH19">
        <v>276963463588.94739</v>
      </c>
      <c r="DI19">
        <v>0.68026578366756452</v>
      </c>
      <c r="DJ19">
        <v>1.7423229884022128E-4</v>
      </c>
      <c r="DK19">
        <v>10908891822307.922</v>
      </c>
      <c r="DL19">
        <v>0.59523256070911879</v>
      </c>
      <c r="DM19">
        <v>1031000000</v>
      </c>
      <c r="DN19">
        <v>0.85033222958445553</v>
      </c>
      <c r="DO19">
        <v>1900681300</v>
      </c>
      <c r="DP19">
        <v>655926300</v>
      </c>
      <c r="DQ19">
        <v>4409</v>
      </c>
      <c r="DR19">
        <v>-1.5102238285004446</v>
      </c>
      <c r="DS19">
        <v>-4.9864288205786877</v>
      </c>
      <c r="DT19" s="9">
        <v>-6.6666666666666714E-3</v>
      </c>
      <c r="DU19">
        <v>-1.6483333333333334</v>
      </c>
      <c r="DV19">
        <v>-1.655</v>
      </c>
      <c r="DW19">
        <v>-3.0320059523809522</v>
      </c>
      <c r="DX19">
        <v>0.35238419387392894</v>
      </c>
      <c r="DY19">
        <v>-3.0035969631575008</v>
      </c>
      <c r="DZ19">
        <v>223</v>
      </c>
      <c r="EA19">
        <v>-3.0034399919668702</v>
      </c>
      <c r="EB19">
        <v>3</v>
      </c>
      <c r="EC19">
        <v>3.8718906499408567E-2</v>
      </c>
      <c r="ED19">
        <v>0.34452270523774203</v>
      </c>
      <c r="EE19" s="10">
        <v>3.0975100000000002</v>
      </c>
      <c r="EF19">
        <v>3.10541</v>
      </c>
      <c r="EG19">
        <v>24.112384193873929</v>
      </c>
      <c r="EH19" t="s">
        <v>980</v>
      </c>
      <c r="EI19">
        <v>0</v>
      </c>
      <c r="EJ19">
        <v>1</v>
      </c>
      <c r="EK19" s="12">
        <v>45470</v>
      </c>
      <c r="EL19" s="14">
        <v>-1.08</v>
      </c>
      <c r="EM19" s="14">
        <v>-1.5</v>
      </c>
      <c r="EN19" s="14">
        <v>-0.99</v>
      </c>
      <c r="EO19" s="14">
        <v>-1.67</v>
      </c>
      <c r="EP19" s="14">
        <v>-0.79</v>
      </c>
    </row>
    <row r="20" spans="1:146" ht="108" x14ac:dyDescent="0.25">
      <c r="C20" s="6" t="str">
        <f>""&amp;CHAR(10)&amp;Basic_Fundamental_Information_Constructure(F20)&amp;CHAR(10)&amp;Basic_Fundamental_Information_Concatenate("")</f>
        <v xml:space="preserve">
市值30.582916亿, 利润1.49亿; PE9.14; 平均PE16.85; 平均PEG2.23, PB1.22; ROIC7.38%; ROE9.08%; 股利率3.3445%; 毛利6.8733%; 净利2.88%; 上一年度营收增-88.21%, 利润增-26.24%; 当季营收增719.07%, 利润增596.24%; 过往5年营收增-7.55%, 利润增12.42%
Income profile:
</v>
      </c>
      <c r="D20" s="5" t="s">
        <v>498</v>
      </c>
      <c r="E20" t="s">
        <v>499</v>
      </c>
      <c r="F20">
        <v>5.98</v>
      </c>
      <c r="G20">
        <v>0.5</v>
      </c>
      <c r="H20" t="s">
        <v>981</v>
      </c>
      <c r="I20">
        <v>3058291600</v>
      </c>
      <c r="J20">
        <v>9.14</v>
      </c>
      <c r="K20">
        <v>1.22</v>
      </c>
      <c r="L20" t="s">
        <v>184</v>
      </c>
      <c r="M20" t="s">
        <v>982</v>
      </c>
      <c r="N20" t="s">
        <v>983</v>
      </c>
      <c r="O20" t="s">
        <v>984</v>
      </c>
      <c r="P20" s="5">
        <v>-5.81</v>
      </c>
      <c r="Q20" t="s">
        <v>985</v>
      </c>
      <c r="R20">
        <v>71083805</v>
      </c>
      <c r="S20">
        <v>1.7899999999999999E-3</v>
      </c>
      <c r="T20" t="s">
        <v>478</v>
      </c>
      <c r="U20">
        <v>511420000</v>
      </c>
      <c r="V20">
        <v>511420000</v>
      </c>
      <c r="W20">
        <v>2.65</v>
      </c>
      <c r="X20">
        <v>0.25</v>
      </c>
      <c r="Y20">
        <v>4.47</v>
      </c>
      <c r="Z20" t="s">
        <v>986</v>
      </c>
      <c r="AA20" t="s">
        <v>634</v>
      </c>
      <c r="AB20" t="s">
        <v>987</v>
      </c>
      <c r="AC20" t="s">
        <v>988</v>
      </c>
      <c r="AD20" t="s">
        <v>5</v>
      </c>
      <c r="AE20">
        <v>-18145111</v>
      </c>
      <c r="AF20" t="s">
        <v>989</v>
      </c>
      <c r="AG20" t="s">
        <v>990</v>
      </c>
      <c r="AH20" t="s">
        <v>991</v>
      </c>
      <c r="AI20" t="s">
        <v>992</v>
      </c>
      <c r="AJ20" t="s">
        <v>993</v>
      </c>
      <c r="AK20" t="s">
        <v>5</v>
      </c>
      <c r="AL20" t="s">
        <v>994</v>
      </c>
      <c r="AM20" t="s">
        <v>5</v>
      </c>
      <c r="AN20" t="s">
        <v>329</v>
      </c>
      <c r="AO20" t="s">
        <v>299</v>
      </c>
      <c r="AP20" t="s">
        <v>995</v>
      </c>
      <c r="AQ20" t="s">
        <v>996</v>
      </c>
      <c r="AR20" t="s">
        <v>5</v>
      </c>
      <c r="AS20" t="s">
        <v>997</v>
      </c>
      <c r="AT20" t="s">
        <v>467</v>
      </c>
      <c r="AU20" t="s">
        <v>888</v>
      </c>
      <c r="AV20" t="s">
        <v>998</v>
      </c>
      <c r="AW20" t="s">
        <v>999</v>
      </c>
      <c r="AX20" t="s">
        <v>500</v>
      </c>
      <c r="AY20" t="s">
        <v>502</v>
      </c>
      <c r="AZ20" t="s">
        <v>503</v>
      </c>
      <c r="BA20" t="s">
        <v>504</v>
      </c>
      <c r="BB20" t="s">
        <v>505</v>
      </c>
      <c r="BC20" t="s">
        <v>501</v>
      </c>
      <c r="BD20" t="s">
        <v>81</v>
      </c>
      <c r="BE20" t="s">
        <v>475</v>
      </c>
      <c r="BF20" t="s">
        <v>506</v>
      </c>
      <c r="BG20" t="s">
        <v>323</v>
      </c>
      <c r="BH20" t="s">
        <v>1000</v>
      </c>
      <c r="BI20" t="s">
        <v>186</v>
      </c>
      <c r="BJ20" t="s">
        <v>500</v>
      </c>
      <c r="BK20" t="s">
        <v>1001</v>
      </c>
      <c r="BL20" t="s">
        <v>1002</v>
      </c>
      <c r="BM20" t="s">
        <v>501</v>
      </c>
      <c r="BN20">
        <v>7.04</v>
      </c>
      <c r="BO20">
        <v>7.78</v>
      </c>
      <c r="BP20">
        <v>7.32</v>
      </c>
      <c r="BQ20">
        <v>10.08</v>
      </c>
      <c r="BR20">
        <v>9.6999999999999993</v>
      </c>
      <c r="BS20">
        <v>7.46</v>
      </c>
      <c r="BT20" t="s">
        <v>1003</v>
      </c>
      <c r="BU20" t="s">
        <v>291</v>
      </c>
      <c r="BV20">
        <v>8.06</v>
      </c>
      <c r="BW20">
        <v>6.04</v>
      </c>
      <c r="BX20">
        <v>6.52</v>
      </c>
      <c r="BY20">
        <v>4.41</v>
      </c>
      <c r="BZ20">
        <v>2.4900000000000002</v>
      </c>
      <c r="CA20">
        <v>1.74</v>
      </c>
      <c r="CB20">
        <v>-7</v>
      </c>
      <c r="CC20" s="7">
        <v>-11.01</v>
      </c>
      <c r="CD20" s="8" t="s">
        <v>1004</v>
      </c>
      <c r="CE20" s="7" t="s">
        <v>1005</v>
      </c>
      <c r="CF20" s="7">
        <v>7.1907216494845363</v>
      </c>
      <c r="CG20" s="7">
        <v>5.9624475983388185</v>
      </c>
      <c r="CH20" s="7">
        <v>-0.88214987516403198</v>
      </c>
      <c r="CI20" s="7">
        <v>-4.6320229768753052E-2</v>
      </c>
      <c r="CJ20" s="8">
        <v>0.39419761300086975</v>
      </c>
      <c r="CK20" s="8">
        <v>0.1125091016292572</v>
      </c>
      <c r="CL20" s="8">
        <v>4.4372588396072388E-2</v>
      </c>
      <c r="CM20" s="8">
        <v>-0.26237624883651733</v>
      </c>
      <c r="CN20" s="8">
        <v>0.36486485600471497</v>
      </c>
      <c r="CO20">
        <v>-0.46181818842887878</v>
      </c>
      <c r="CP20">
        <v>0.43979057669639587</v>
      </c>
      <c r="CQ20">
        <v>0.54032260179519653</v>
      </c>
      <c r="CR20" s="7">
        <v>16.850091460055097</v>
      </c>
      <c r="CS20" s="8">
        <v>2.2324459651544379</v>
      </c>
      <c r="CT20">
        <v>3.3444816053511701</v>
      </c>
      <c r="CU20">
        <v>-7.5478160381317133E-2</v>
      </c>
      <c r="CV20">
        <v>0.12415671944618226</v>
      </c>
      <c r="CW20">
        <v>0.06</v>
      </c>
      <c r="CX20">
        <v>27.820748993288589</v>
      </c>
      <c r="CY20" t="s">
        <v>1006</v>
      </c>
      <c r="CZ20">
        <v>-7.5478160381317133E-2</v>
      </c>
      <c r="DA20">
        <v>9.2735829977628637</v>
      </c>
      <c r="DB20" t="s">
        <v>1007</v>
      </c>
      <c r="DC20">
        <v>-7.1704252362251267E-2</v>
      </c>
      <c r="DD20">
        <v>4.6367914988814318</v>
      </c>
      <c r="DE20" t="s">
        <v>1008</v>
      </c>
      <c r="DF20">
        <v>-6.6420781135559076E-2</v>
      </c>
      <c r="DG20">
        <v>2.7820748993288591</v>
      </c>
      <c r="DH20" t="s">
        <v>1009</v>
      </c>
      <c r="DI20">
        <v>-6.0382528305053709E-2</v>
      </c>
      <c r="DJ20">
        <v>1.3910374496644295</v>
      </c>
      <c r="DK20" t="s">
        <v>1010</v>
      </c>
      <c r="DL20">
        <v>-5.283471226692199E-2</v>
      </c>
      <c r="DM20">
        <v>149000000</v>
      </c>
      <c r="DN20">
        <v>-7.5478160381317133E-2</v>
      </c>
      <c r="DO20">
        <v>4145291600</v>
      </c>
      <c r="DP20">
        <v>1903885800</v>
      </c>
      <c r="DQ20" s="9">
        <v>4471</v>
      </c>
      <c r="DR20">
        <v>7.2661998098658538</v>
      </c>
      <c r="DS20">
        <v>5.8382908788926366</v>
      </c>
      <c r="DT20">
        <v>-0.64</v>
      </c>
      <c r="DU20">
        <v>6.6666666666666652E-2</v>
      </c>
      <c r="DV20">
        <v>-0.57333333333333336</v>
      </c>
      <c r="DW20">
        <v>-9.6357856494096268</v>
      </c>
      <c r="DX20">
        <v>0.36280401785714311</v>
      </c>
      <c r="DY20">
        <v>-9.148013453678475</v>
      </c>
      <c r="DZ20">
        <v>1761</v>
      </c>
      <c r="EA20">
        <v>-9.0970052947884952</v>
      </c>
      <c r="EB20" s="10">
        <v>9</v>
      </c>
      <c r="EC20" s="10">
        <v>0.10196726760783702</v>
      </c>
      <c r="ED20">
        <v>0.43799616753353415</v>
      </c>
      <c r="EE20">
        <v>1.1311100000000001</v>
      </c>
      <c r="EF20">
        <v>1.1452100000000001</v>
      </c>
      <c r="EG20">
        <v>13.232804017857143</v>
      </c>
      <c r="EH20" s="12" t="s">
        <v>464</v>
      </c>
      <c r="EI20">
        <v>0</v>
      </c>
      <c r="EJ20">
        <v>0</v>
      </c>
      <c r="EK20">
        <v>45470</v>
      </c>
      <c r="EL20">
        <v>0.28000000000000003</v>
      </c>
      <c r="EM20">
        <v>-0.41</v>
      </c>
      <c r="EN20" s="14">
        <v>-3.61</v>
      </c>
      <c r="EO20" s="14">
        <v>1.87</v>
      </c>
      <c r="EP20" s="14">
        <v>-1.41</v>
      </c>
    </row>
    <row r="21" spans="1:146" ht="180" hidden="1" x14ac:dyDescent="0.25">
      <c r="A21" s="6" t="s">
        <v>262</v>
      </c>
      <c r="B21" s="6"/>
      <c r="C21" s="6" t="str">
        <f>"公司致力于烧结钕铁硼永磁材料的研发、生产和销售,主要产品是“大地熊”牌烧结钕铁硼永磁材料。"&amp;CHAR(10)&amp;Basic_Fundamental_Information_Constructure(F21)&amp;CHAR(10)&amp;Basic_Fundamental_Information_Concatenate("工业电机 6.71亿 40.53% 50.02% 25.32%
汽车工业 3.07亿 18.56% 16.41% 18.14%
消费类电子 3.01亿 18.18% 13.13% 14.81%
其他业务 2.39亿 14.43% 12.08% 17.18%
其他 1.37亿 8.30% 8.35% 20.64%")</f>
        <v>公司致力于烧结钕铁硼永磁材料的研发、生产和销售,主要产品是“大地熊”牌烧结钕铁硼永磁材料。
市值17.238495亿, 利润8431.98万; PE247.1; 平均PE19.23; 平均PEG1.07, PB1.58; ROIC11.375%; ROE9.38%; 股利率1.1889%; 毛利17.0033%; 净利4.21%; 上一年度营收增-81.31%, 利润增-43.79%; 当季营收增458.68%, 利润增-36.68%; 过往5年营收增17.99%, 利润增35.18%
Income profile:
工业电机 6.71亿 40.53% 50.02% 25.32%
汽车工业 3.07亿 18.56% 16.41% 18.14%
消费类电子 3.01亿 18.18% 13.13% 14.81%
其他业务 2.39亿 14.43% 12.08% 17.18%
其他 1.37亿 8.30% 8.35% 20.64%</v>
      </c>
      <c r="D21" t="s">
        <v>82</v>
      </c>
      <c r="E21" t="s">
        <v>83</v>
      </c>
      <c r="F21">
        <v>15.14</v>
      </c>
      <c r="G21">
        <v>2.09</v>
      </c>
      <c r="H21" t="s">
        <v>1011</v>
      </c>
      <c r="I21">
        <v>1723849500</v>
      </c>
      <c r="J21">
        <v>247.1</v>
      </c>
      <c r="K21">
        <v>1.58</v>
      </c>
      <c r="L21" t="s">
        <v>184</v>
      </c>
      <c r="M21" t="s">
        <v>1012</v>
      </c>
      <c r="N21" t="s">
        <v>1013</v>
      </c>
      <c r="O21" t="s">
        <v>1014</v>
      </c>
      <c r="P21">
        <v>-15.12</v>
      </c>
      <c r="Q21" t="s">
        <v>1015</v>
      </c>
      <c r="R21">
        <v>8178089</v>
      </c>
      <c r="S21" s="5">
        <v>1.1970000000000001</v>
      </c>
      <c r="T21" t="s">
        <v>1016</v>
      </c>
      <c r="U21">
        <v>113860600</v>
      </c>
      <c r="V21">
        <v>113860600</v>
      </c>
      <c r="W21">
        <v>2.1800000000000002</v>
      </c>
      <c r="X21">
        <v>0.13</v>
      </c>
      <c r="Y21">
        <v>2.5</v>
      </c>
      <c r="Z21" t="s">
        <v>1017</v>
      </c>
      <c r="AA21" t="s">
        <v>724</v>
      </c>
      <c r="AB21" t="s">
        <v>1018</v>
      </c>
      <c r="AC21" t="s">
        <v>1019</v>
      </c>
      <c r="AD21" t="s">
        <v>5</v>
      </c>
      <c r="AE21">
        <v>4197008</v>
      </c>
      <c r="AF21" t="s">
        <v>1020</v>
      </c>
      <c r="AG21" t="s">
        <v>1021</v>
      </c>
      <c r="AH21" t="s">
        <v>1022</v>
      </c>
      <c r="AI21" t="s">
        <v>696</v>
      </c>
      <c r="AJ21" t="s">
        <v>1023</v>
      </c>
      <c r="AK21" t="s">
        <v>1024</v>
      </c>
      <c r="AL21" t="s">
        <v>1025</v>
      </c>
      <c r="AM21" t="s">
        <v>5</v>
      </c>
      <c r="AN21" t="s">
        <v>759</v>
      </c>
      <c r="AO21" t="s">
        <v>1026</v>
      </c>
      <c r="AP21" t="s">
        <v>1027</v>
      </c>
      <c r="AQ21" t="s">
        <v>116</v>
      </c>
      <c r="AR21" t="s">
        <v>1028</v>
      </c>
      <c r="AS21" t="s">
        <v>497</v>
      </c>
      <c r="AT21" t="s">
        <v>1029</v>
      </c>
      <c r="AU21" t="s">
        <v>1030</v>
      </c>
      <c r="AV21" t="s">
        <v>1031</v>
      </c>
      <c r="AW21" t="s">
        <v>64</v>
      </c>
      <c r="AX21" t="s">
        <v>454</v>
      </c>
      <c r="AY21" t="s">
        <v>239</v>
      </c>
      <c r="AZ21" t="s">
        <v>164</v>
      </c>
      <c r="BA21" t="s">
        <v>57</v>
      </c>
      <c r="BB21" t="s">
        <v>166</v>
      </c>
      <c r="BC21" t="s">
        <v>193</v>
      </c>
      <c r="BD21" t="s">
        <v>240</v>
      </c>
      <c r="BE21" t="s">
        <v>165</v>
      </c>
      <c r="BF21" t="s">
        <v>84</v>
      </c>
      <c r="BG21" t="s">
        <v>168</v>
      </c>
      <c r="BH21" t="s">
        <v>1032</v>
      </c>
      <c r="BI21" t="s">
        <v>1033</v>
      </c>
      <c r="BJ21" t="s">
        <v>454</v>
      </c>
      <c r="BK21" t="s">
        <v>1034</v>
      </c>
      <c r="BL21" t="s">
        <v>1035</v>
      </c>
      <c r="BM21" t="s">
        <v>193</v>
      </c>
      <c r="BN21" t="s">
        <v>5</v>
      </c>
      <c r="BO21">
        <v>9.7799999999999994</v>
      </c>
      <c r="BP21">
        <v>12.97</v>
      </c>
      <c r="BQ21">
        <v>-1.22</v>
      </c>
      <c r="BR21">
        <v>13.68</v>
      </c>
      <c r="BS21">
        <v>15.68</v>
      </c>
      <c r="BT21" t="s">
        <v>1036</v>
      </c>
      <c r="BU21" t="s">
        <v>292</v>
      </c>
      <c r="BV21">
        <v>11.8</v>
      </c>
      <c r="BW21">
        <v>18.7</v>
      </c>
      <c r="BX21">
        <v>20.51</v>
      </c>
      <c r="BY21">
        <v>-3.67</v>
      </c>
      <c r="BZ21">
        <v>7.08</v>
      </c>
      <c r="CA21">
        <v>9.2200000000000006</v>
      </c>
      <c r="CB21">
        <v>-4.3600000000000003</v>
      </c>
      <c r="CC21">
        <v>-10.57</v>
      </c>
      <c r="CD21" t="s">
        <v>1037</v>
      </c>
      <c r="CE21" t="s">
        <v>1038</v>
      </c>
      <c r="CF21" s="7">
        <v>4.586780701984619</v>
      </c>
      <c r="CG21" s="8">
        <v>-0.36678082244814209</v>
      </c>
      <c r="CH21" s="7">
        <v>-0.81311941146850586</v>
      </c>
      <c r="CI21" s="7">
        <v>0.28036251664161682</v>
      </c>
      <c r="CJ21" s="7">
        <v>1.1163684129714966</v>
      </c>
      <c r="CK21" s="7">
        <v>0.23930269479751587</v>
      </c>
      <c r="CL21" s="7">
        <v>7.6791808009147644E-2</v>
      </c>
      <c r="CM21" s="8">
        <v>-0.43786799907684326</v>
      </c>
      <c r="CN21" s="8">
        <v>-1.315789483487606E-2</v>
      </c>
      <c r="CO21" s="8">
        <v>1.91179358959198</v>
      </c>
      <c r="CP21" s="8">
        <v>-9.9898092448711395E-2</v>
      </c>
      <c r="CQ21" s="8">
        <v>0.39824047684669495</v>
      </c>
      <c r="CR21">
        <v>19.225316063239415</v>
      </c>
      <c r="CS21">
        <v>1.0684221076409066</v>
      </c>
      <c r="CT21">
        <v>1.1889035667107002</v>
      </c>
      <c r="CU21" s="7">
        <v>0.17994120419025422</v>
      </c>
      <c r="CV21" s="8">
        <v>0.35182201601564883</v>
      </c>
      <c r="CW21">
        <v>0.06</v>
      </c>
      <c r="CX21">
        <v>19.015928344942161</v>
      </c>
      <c r="CY21">
        <v>93860760.706680551</v>
      </c>
      <c r="CZ21">
        <v>0.17994120419025422</v>
      </c>
      <c r="DA21">
        <v>5.7631103003009638</v>
      </c>
      <c r="DB21">
        <v>309702470.88742876</v>
      </c>
      <c r="DC21">
        <v>0.17094414398074151</v>
      </c>
      <c r="DD21">
        <v>2.5567038299315188</v>
      </c>
      <c r="DE21">
        <v>698105693.39500189</v>
      </c>
      <c r="DF21">
        <v>0.15834825968742372</v>
      </c>
      <c r="DG21">
        <v>1.3591020494910571</v>
      </c>
      <c r="DH21">
        <v>1313256425.9382675</v>
      </c>
      <c r="DI21">
        <v>0.14395296335220339</v>
      </c>
      <c r="DJ21">
        <v>0.52889531367417708</v>
      </c>
      <c r="DK21">
        <v>3374674446.6326399</v>
      </c>
      <c r="DL21">
        <v>0.12595884293317794</v>
      </c>
      <c r="DM21">
        <v>84319800</v>
      </c>
      <c r="DN21">
        <v>0.17994120419025422</v>
      </c>
      <c r="DO21">
        <v>1784849500</v>
      </c>
      <c r="DP21">
        <v>245241350</v>
      </c>
      <c r="DQ21">
        <v>4606</v>
      </c>
      <c r="DR21">
        <v>4.4068394977943646</v>
      </c>
      <c r="DS21">
        <v>-0.71860283846379092</v>
      </c>
      <c r="DT21" s="9">
        <v>-0.24000000000000007</v>
      </c>
      <c r="DU21">
        <v>9.6666666666666637E-2</v>
      </c>
      <c r="DV21">
        <v>-0.14333333333333342</v>
      </c>
      <c r="DW21">
        <v>-8.4124881740775788</v>
      </c>
      <c r="DX21">
        <v>0.43926736978540676</v>
      </c>
      <c r="DY21">
        <v>-8.1481935413684354</v>
      </c>
      <c r="DZ21">
        <v>802</v>
      </c>
      <c r="EA21">
        <v>-8.1249349855607083</v>
      </c>
      <c r="EB21">
        <v>8</v>
      </c>
      <c r="EC21">
        <v>0.12074677280815313</v>
      </c>
      <c r="ED21">
        <v>0.33609167701557868</v>
      </c>
      <c r="EE21" s="10">
        <v>-2.0329100000000002</v>
      </c>
      <c r="EF21">
        <v>-2.0606100000000001</v>
      </c>
      <c r="EG21">
        <v>8.3592673697854067</v>
      </c>
      <c r="EH21" t="s">
        <v>1039</v>
      </c>
      <c r="EI21">
        <v>0</v>
      </c>
      <c r="EJ21">
        <v>1</v>
      </c>
      <c r="EK21" s="12">
        <v>45470</v>
      </c>
      <c r="EL21" s="14">
        <v>-1.75</v>
      </c>
      <c r="EM21" s="14">
        <v>-7.13</v>
      </c>
      <c r="EN21" s="14">
        <v>0.45</v>
      </c>
      <c r="EO21" s="14">
        <v>5.91</v>
      </c>
      <c r="EP21" s="14">
        <v>-2.77</v>
      </c>
    </row>
    <row r="22" spans="1:146" ht="240" x14ac:dyDescent="0.25">
      <c r="A22" s="15"/>
      <c r="B22" s="15"/>
      <c r="C22" s="15" t="str">
        <f>"公司是一家以轨道交通、电力电子、航空航天、医疗影像等高端应用领域为目标市场，向客户提供高强高导铜合金材料及制品,中高压电接触材料及制品,高性能金属铬粉,CT和DR球管零组件等产品的关键基础材料和零组件制造商。公司主要产品是高强高导铜合金材料及制品、中高压电接触材料及制品、高性能金属铬粉、医疗影像零组件。"&amp;CHAR(10)&amp;Basic_Fundamental_Information_Constructure(F22)&amp;CHAR(10)&amp;Basic_Fundamental_Information_Concatenate("高强高导铜合金材料及制品 4.83亿 49.90% 44.99% 17.21%
中高压电接触材料及制品 2.32亿 23.91% 32.12% 25.64%
其他 1.11亿 11.48% 12.46% 20.71%
其他业务 8438.51万 8.71% 4.23% 9.26%")</f>
        <v>公司是一家以轨道交通、电力电子、航空航天、医疗影像等高端应用领域为目标市场，向客户提供高强高导铜合金材料及制品,中高压电接触材料及制品,高性能金属铬粉,CT和DR球管零组件等产品的关键基础材料和零组件制造商。公司主要产品是高强高导铜合金材料及制品、中高压电接触材料及制品、高性能金属铬粉、医疗影像零组件。
市值61.969188亿, 利润6419.00万; PE61.2; 平均PE121.74; 平均PEG12.22, PB5.85; ROIC7.1133%; ROE9.02%; 股利率.939%; 毛利19.65%; 净利7.5867%; 上一年度营收增-30.38%, 利润增-17.73%; 当季营收增122.48%, 利润增114.98%; 过往5年营收增9.96%, 利润增34.98%
Income profile:
高强高导铜合金材料及制品 4.83亿 49.90% 44.99% 17.21%
中高压电接触材料及制品 2.32亿 23.91% 32.12% 25.64%
其他 1.11亿 11.48% 12.46% 20.71%
其他业务 8438.51万 8.71% 4.23% 9.26%</v>
      </c>
      <c r="D22" t="s">
        <v>296</v>
      </c>
      <c r="E22" t="s">
        <v>297</v>
      </c>
      <c r="F22">
        <v>8.52</v>
      </c>
      <c r="G22">
        <v>5.32</v>
      </c>
      <c r="H22" t="s">
        <v>1040</v>
      </c>
      <c r="I22">
        <v>6196918800</v>
      </c>
      <c r="J22">
        <v>61.2</v>
      </c>
      <c r="K22">
        <v>5.85</v>
      </c>
      <c r="L22" t="s">
        <v>184</v>
      </c>
      <c r="M22" t="s">
        <v>1041</v>
      </c>
      <c r="N22" t="s">
        <v>1042</v>
      </c>
      <c r="O22" t="s">
        <v>1043</v>
      </c>
      <c r="P22">
        <v>14.26</v>
      </c>
      <c r="Q22" t="s">
        <v>1044</v>
      </c>
      <c r="R22">
        <v>24562633</v>
      </c>
      <c r="S22" s="5">
        <v>0.13489999999999999</v>
      </c>
      <c r="T22" t="s">
        <v>1045</v>
      </c>
      <c r="U22">
        <v>418285650</v>
      </c>
      <c r="V22">
        <v>727337890</v>
      </c>
      <c r="W22">
        <v>1.71</v>
      </c>
      <c r="X22">
        <v>0.16</v>
      </c>
      <c r="Y22">
        <v>8.61</v>
      </c>
      <c r="Z22" t="s">
        <v>1046</v>
      </c>
      <c r="AA22" t="s">
        <v>474</v>
      </c>
      <c r="AB22" t="s">
        <v>1047</v>
      </c>
      <c r="AC22" t="s">
        <v>1048</v>
      </c>
      <c r="AD22" t="s">
        <v>5</v>
      </c>
      <c r="AE22">
        <v>5113643</v>
      </c>
      <c r="AF22" t="s">
        <v>1049</v>
      </c>
      <c r="AG22">
        <v>960.95</v>
      </c>
      <c r="AH22" t="s">
        <v>1050</v>
      </c>
      <c r="AI22" t="s">
        <v>45</v>
      </c>
      <c r="AJ22" t="s">
        <v>1051</v>
      </c>
      <c r="AK22" t="s">
        <v>1052</v>
      </c>
      <c r="AL22" t="s">
        <v>1053</v>
      </c>
      <c r="AM22" t="s">
        <v>5</v>
      </c>
      <c r="AN22" t="s">
        <v>46</v>
      </c>
      <c r="AO22" t="s">
        <v>1054</v>
      </c>
      <c r="AP22" t="s">
        <v>1055</v>
      </c>
      <c r="AQ22" t="s">
        <v>1056</v>
      </c>
      <c r="AR22" t="s">
        <v>5</v>
      </c>
      <c r="AS22" t="s">
        <v>1057</v>
      </c>
      <c r="AT22" t="s">
        <v>125</v>
      </c>
      <c r="AU22" t="s">
        <v>1058</v>
      </c>
      <c r="AV22" t="s">
        <v>1059</v>
      </c>
      <c r="AW22" t="s">
        <v>47</v>
      </c>
      <c r="AX22" t="s">
        <v>456</v>
      </c>
      <c r="AY22" t="s">
        <v>293</v>
      </c>
      <c r="AZ22" t="s">
        <v>299</v>
      </c>
      <c r="BA22" t="s">
        <v>300</v>
      </c>
      <c r="BB22" t="s">
        <v>301</v>
      </c>
      <c r="BC22" t="s">
        <v>1060</v>
      </c>
      <c r="BD22" t="s">
        <v>298</v>
      </c>
      <c r="BE22" t="s">
        <v>303</v>
      </c>
      <c r="BF22" t="s">
        <v>304</v>
      </c>
      <c r="BG22" t="s">
        <v>305</v>
      </c>
      <c r="BH22" t="s">
        <v>470</v>
      </c>
      <c r="BI22" t="s">
        <v>47</v>
      </c>
      <c r="BJ22" t="s">
        <v>456</v>
      </c>
      <c r="BK22" t="s">
        <v>1061</v>
      </c>
      <c r="BL22" t="s">
        <v>1062</v>
      </c>
      <c r="BM22" t="s">
        <v>1060</v>
      </c>
      <c r="BN22">
        <v>5.62</v>
      </c>
      <c r="BO22">
        <v>7.65</v>
      </c>
      <c r="BP22">
        <v>8.07</v>
      </c>
      <c r="BQ22">
        <v>6.73</v>
      </c>
      <c r="BR22">
        <v>8.92</v>
      </c>
      <c r="BS22">
        <v>11.41</v>
      </c>
      <c r="BT22" t="s">
        <v>1063</v>
      </c>
      <c r="BU22" t="s">
        <v>291</v>
      </c>
      <c r="BV22">
        <v>20.99</v>
      </c>
      <c r="BW22">
        <v>18.88</v>
      </c>
      <c r="BX22">
        <v>19.079999999999998</v>
      </c>
      <c r="BY22">
        <v>8.57</v>
      </c>
      <c r="BZ22">
        <v>7.77</v>
      </c>
      <c r="CA22">
        <v>6.42</v>
      </c>
      <c r="CB22">
        <v>-2.33</v>
      </c>
      <c r="CC22">
        <v>1.43</v>
      </c>
      <c r="CD22" t="s">
        <v>1064</v>
      </c>
      <c r="CE22" t="s">
        <v>1065</v>
      </c>
      <c r="CF22" s="7">
        <v>1.2248062015503876</v>
      </c>
      <c r="CG22" s="8">
        <v>1.1497705173424824</v>
      </c>
      <c r="CH22" s="7">
        <v>-0.30382293462753296</v>
      </c>
      <c r="CI22" s="7">
        <v>2.6859503239393234E-2</v>
      </c>
      <c r="CJ22" s="7">
        <v>0.42143905162811279</v>
      </c>
      <c r="CK22" s="7">
        <v>0.20318020880222321</v>
      </c>
      <c r="CL22" s="7">
        <v>0.15040650963783264</v>
      </c>
      <c r="CM22" s="8">
        <v>-0.1773318350315094</v>
      </c>
      <c r="CN22" s="8">
        <v>0.23143766820430756</v>
      </c>
      <c r="CO22" s="8">
        <v>0.21604135632514954</v>
      </c>
      <c r="CP22" s="8">
        <v>0.7083929181098938</v>
      </c>
      <c r="CQ22" s="8">
        <v>0.77035057544708252</v>
      </c>
      <c r="CR22">
        <v>121.74226724123535</v>
      </c>
      <c r="CS22">
        <v>12.221589325934405</v>
      </c>
      <c r="CT22">
        <v>0.93896713615023486</v>
      </c>
      <c r="CU22" s="7">
        <v>9.961246773600578E-2</v>
      </c>
      <c r="CV22" s="8">
        <v>0.34977813661098478</v>
      </c>
      <c r="CW22">
        <v>0.06</v>
      </c>
      <c r="CX22">
        <v>86.019256991166515</v>
      </c>
      <c r="CY22">
        <v>66588796.513183214</v>
      </c>
      <c r="CZ22">
        <v>9.961246773600578E-2</v>
      </c>
      <c r="DA22">
        <v>27.882658825080139</v>
      </c>
      <c r="DB22">
        <v>205429433.25217614</v>
      </c>
      <c r="DC22">
        <v>9.4631844349205491E-2</v>
      </c>
      <c r="DD22">
        <v>13.577005529833187</v>
      </c>
      <c r="DE22">
        <v>421883808.42991197</v>
      </c>
      <c r="DF22">
        <v>8.7658971607685085E-2</v>
      </c>
      <c r="DG22">
        <v>8.0530460315308794</v>
      </c>
      <c r="DH22">
        <v>711273569.97251952</v>
      </c>
      <c r="DI22">
        <v>7.9689974188804635E-2</v>
      </c>
      <c r="DJ22">
        <v>4.0479501174829968</v>
      </c>
      <c r="DK22">
        <v>1415017140.4685202</v>
      </c>
      <c r="DL22">
        <v>6.9728727415204042E-2</v>
      </c>
      <c r="DM22">
        <v>64190000</v>
      </c>
      <c r="DN22">
        <v>9.961246773600578E-2</v>
      </c>
      <c r="DO22">
        <v>5727918800</v>
      </c>
      <c r="DP22">
        <v>323818139.99999994</v>
      </c>
      <c r="DQ22">
        <v>4629</v>
      </c>
      <c r="DR22">
        <v>1.1251937338143818</v>
      </c>
      <c r="DS22">
        <v>0.79999238073149759</v>
      </c>
      <c r="DT22" s="9">
        <v>-0.25666666666666677</v>
      </c>
      <c r="DU22">
        <v>0.77</v>
      </c>
      <c r="DV22">
        <v>0.5133333333333332</v>
      </c>
      <c r="DW22">
        <v>1.43E-2</v>
      </c>
      <c r="DX22">
        <v>0.48395504322766814</v>
      </c>
      <c r="DY22">
        <v>1.2005571181556197E-3</v>
      </c>
      <c r="DZ22">
        <v>1077</v>
      </c>
      <c r="EA22">
        <v>9.4752384687311442E-4</v>
      </c>
      <c r="EB22">
        <v>0</v>
      </c>
      <c r="EC22">
        <v>4.0053461259937931E-2</v>
      </c>
      <c r="ED22">
        <v>0.47708225402639204</v>
      </c>
      <c r="EE22" s="10">
        <v>-2.1253000000000002</v>
      </c>
      <c r="EF22">
        <v>-2.0985999999999998</v>
      </c>
      <c r="EG22">
        <v>40.083955043227668</v>
      </c>
      <c r="EH22" t="s">
        <v>1066</v>
      </c>
      <c r="EI22">
        <v>0</v>
      </c>
      <c r="EJ22">
        <v>1</v>
      </c>
      <c r="EK22" s="12">
        <v>45470</v>
      </c>
      <c r="EL22" s="14">
        <v>1.55</v>
      </c>
      <c r="EM22" s="14">
        <v>-5.43</v>
      </c>
      <c r="EN22" s="14">
        <v>3.01</v>
      </c>
      <c r="EO22" s="14">
        <v>3.66</v>
      </c>
      <c r="EP22" s="14">
        <v>-2.67</v>
      </c>
    </row>
    <row r="23" spans="1:146" ht="192" x14ac:dyDescent="0.25">
      <c r="A23" s="15"/>
      <c r="B23" s="15"/>
      <c r="C23" s="15" t="str">
        <f>"公司的主营业务是先进磁性金属材料的设计、研发、生产和销售；公司主要产品是非晶合金、纳米晶合金、磁性粉末三大材料及其制品系列，包括非晶合金薄带及铁心、纳米晶超薄带、雾化和破碎粉末及磁粉芯等产品。"&amp;CHAR(10)&amp;Basic_Fundamental_Information_Constructure(F23)&amp;CHAR(10)&amp;Basic_Fundamental_Information_Concatenate("非晶合金薄带及其制品 6.36亿 68.02% 64.77% 22.26%
纳米晶产品 2.12亿 22.61% 31.87% 32.96%
磁性粉末及其制品 8380.95万 8.96% 2.50% 6.52%")</f>
        <v>公司的主营业务是先进磁性金属材料的设计、研发、生产和销售；公司主要产品是非晶合金、纳米晶合金、磁性粉末三大材料及其制品系列，包括非晶合金薄带及铁心、纳米晶超薄带、雾化和破碎粉末及磁粉芯等产品。
市值83.88亿, 利润4153.35万; PE25.1; 平均PE79.8; 平均PEG10.49, PB3.56; ROIC11.0667%; ROE14.4067%; 股利率1.216%; 毛利26.89%; 净利15.7333%; 上一年度营收增-44.85%, 利润增-81.62%; 当季营收增393.8%, 利润增1693.5%; 过往5年营收增7.61%, 利润增15.05%
Income profile:
非晶合金薄带及其制品 6.36亿 68.02% 64.77% 22.26%
纳米晶产品 2.12亿 22.61% 31.87% 32.96%
磁性粉末及其制品 8380.95万 8.96% 2.50% 6.52%</v>
      </c>
      <c r="D23" t="s">
        <v>241</v>
      </c>
      <c r="E23" t="s">
        <v>242</v>
      </c>
      <c r="F23">
        <v>69.900000000000006</v>
      </c>
      <c r="G23">
        <v>2.21</v>
      </c>
      <c r="H23" t="s">
        <v>1067</v>
      </c>
      <c r="I23">
        <v>8388000000</v>
      </c>
      <c r="J23">
        <v>25.1</v>
      </c>
      <c r="K23">
        <v>3.56</v>
      </c>
      <c r="L23" t="s">
        <v>184</v>
      </c>
      <c r="M23" t="s">
        <v>1068</v>
      </c>
      <c r="N23" t="s">
        <v>1069</v>
      </c>
      <c r="O23" t="s">
        <v>1070</v>
      </c>
      <c r="P23">
        <v>15.08</v>
      </c>
      <c r="Q23" t="s">
        <v>1071</v>
      </c>
      <c r="R23">
        <v>75627498</v>
      </c>
      <c r="S23" s="5">
        <v>2.9600000000000001E-2</v>
      </c>
      <c r="T23" t="s">
        <v>1072</v>
      </c>
      <c r="U23">
        <v>60816000</v>
      </c>
      <c r="V23">
        <v>120000000</v>
      </c>
      <c r="W23">
        <v>1.25</v>
      </c>
      <c r="X23">
        <v>0.15</v>
      </c>
      <c r="Y23">
        <v>17.09</v>
      </c>
      <c r="Z23" t="s">
        <v>1073</v>
      </c>
      <c r="AA23" t="s">
        <v>50</v>
      </c>
      <c r="AB23" t="s">
        <v>1074</v>
      </c>
      <c r="AC23" t="s">
        <v>1075</v>
      </c>
      <c r="AD23" t="s">
        <v>5</v>
      </c>
      <c r="AE23">
        <v>-756003</v>
      </c>
      <c r="AF23" t="s">
        <v>1076</v>
      </c>
      <c r="AG23" t="s">
        <v>1077</v>
      </c>
      <c r="AH23" t="s">
        <v>1078</v>
      </c>
      <c r="AI23" t="s">
        <v>1079</v>
      </c>
      <c r="AJ23" t="s">
        <v>1080</v>
      </c>
      <c r="AK23" t="s">
        <v>707</v>
      </c>
      <c r="AL23" t="s">
        <v>1081</v>
      </c>
      <c r="AM23" t="s">
        <v>5</v>
      </c>
      <c r="AN23" t="s">
        <v>1082</v>
      </c>
      <c r="AO23" t="s">
        <v>5</v>
      </c>
      <c r="AP23" t="s">
        <v>56</v>
      </c>
      <c r="AQ23" t="s">
        <v>485</v>
      </c>
      <c r="AR23" t="s">
        <v>5</v>
      </c>
      <c r="AS23" t="s">
        <v>1083</v>
      </c>
      <c r="AT23" t="s">
        <v>5</v>
      </c>
      <c r="AU23" t="s">
        <v>1084</v>
      </c>
      <c r="AV23" t="s">
        <v>1085</v>
      </c>
      <c r="AW23" t="s">
        <v>1086</v>
      </c>
      <c r="AX23" t="s">
        <v>457</v>
      </c>
      <c r="AY23" t="s">
        <v>89</v>
      </c>
      <c r="AZ23" t="s">
        <v>243</v>
      </c>
      <c r="BA23" t="s">
        <v>233</v>
      </c>
      <c r="BB23" t="s">
        <v>244</v>
      </c>
      <c r="BC23" t="s">
        <v>707</v>
      </c>
      <c r="BD23" t="s">
        <v>187</v>
      </c>
      <c r="BE23" t="s">
        <v>245</v>
      </c>
      <c r="BF23" t="s">
        <v>246</v>
      </c>
      <c r="BG23" t="s">
        <v>247</v>
      </c>
      <c r="BH23" t="s">
        <v>1087</v>
      </c>
      <c r="BI23" t="s">
        <v>1088</v>
      </c>
      <c r="BJ23" t="s">
        <v>457</v>
      </c>
      <c r="BK23" t="s">
        <v>490</v>
      </c>
      <c r="BL23" t="s">
        <v>1089</v>
      </c>
      <c r="BM23" t="s">
        <v>707</v>
      </c>
      <c r="BN23">
        <v>11.16</v>
      </c>
      <c r="BO23">
        <v>11.72</v>
      </c>
      <c r="BP23">
        <v>10.32</v>
      </c>
      <c r="BQ23">
        <v>11.3</v>
      </c>
      <c r="BR23">
        <v>11.82</v>
      </c>
      <c r="BS23">
        <v>20.100000000000001</v>
      </c>
      <c r="BT23" t="s">
        <v>1090</v>
      </c>
      <c r="BU23" t="s">
        <v>291</v>
      </c>
      <c r="BV23">
        <v>30.49</v>
      </c>
      <c r="BW23">
        <v>26.81</v>
      </c>
      <c r="BX23">
        <v>23.37</v>
      </c>
      <c r="BY23">
        <v>18.739999999999998</v>
      </c>
      <c r="BZ23">
        <v>15.66</v>
      </c>
      <c r="CA23">
        <v>12.8</v>
      </c>
      <c r="CB23">
        <v>-6.44</v>
      </c>
      <c r="CC23">
        <v>-7.76</v>
      </c>
      <c r="CD23" t="s">
        <v>1091</v>
      </c>
      <c r="CE23" t="s">
        <v>1092</v>
      </c>
      <c r="CF23" s="7">
        <v>3.9380183943971891</v>
      </c>
      <c r="CG23" s="8">
        <v>16.934997471554993</v>
      </c>
      <c r="CH23" s="7">
        <v>-0.4485141932964325</v>
      </c>
      <c r="CI23" s="7">
        <v>0.54594022035598755</v>
      </c>
      <c r="CJ23" s="7">
        <v>0.30909091234207153</v>
      </c>
      <c r="CK23" s="7">
        <v>2.142857201397419E-2</v>
      </c>
      <c r="CL23" s="7">
        <v>-4.76190485060215E-2</v>
      </c>
      <c r="CM23" s="8">
        <v>-0.81622344255447388</v>
      </c>
      <c r="CN23" s="8">
        <v>0.88333332538604736</v>
      </c>
      <c r="CO23" s="8">
        <v>0.2519875168800354</v>
      </c>
      <c r="CP23" s="8">
        <v>0.16253739595413208</v>
      </c>
      <c r="CQ23" s="8">
        <v>0.27100467681884766</v>
      </c>
      <c r="CR23">
        <v>79.797620246220234</v>
      </c>
      <c r="CS23">
        <v>10.490674200757853</v>
      </c>
      <c r="CT23">
        <v>1.2160228898426322</v>
      </c>
      <c r="CU23" s="7">
        <v>7.6065292581915855E-2</v>
      </c>
      <c r="CV23" s="8">
        <v>0.15052789449691772</v>
      </c>
      <c r="CW23">
        <v>0.06</v>
      </c>
      <c r="CX23">
        <v>155.08866171226703</v>
      </c>
      <c r="CY23">
        <v>42162979.084387735</v>
      </c>
      <c r="CZ23">
        <v>7.6065292581915855E-2</v>
      </c>
      <c r="DA23">
        <v>51.284045821770725</v>
      </c>
      <c r="DB23">
        <v>127505540.86011896</v>
      </c>
      <c r="DC23">
        <v>7.2262027952820065E-2</v>
      </c>
      <c r="DD23">
        <v>25.645948440696063</v>
      </c>
      <c r="DE23">
        <v>254972048.12373564</v>
      </c>
      <c r="DF23">
        <v>6.6937457472085959E-2</v>
      </c>
      <c r="DG23">
        <v>15.674438229099323</v>
      </c>
      <c r="DH23">
        <v>417176035.55708045</v>
      </c>
      <c r="DI23">
        <v>6.0852234065532688E-2</v>
      </c>
      <c r="DJ23">
        <v>8.4127423696064394</v>
      </c>
      <c r="DK23">
        <v>777273297.18595719</v>
      </c>
      <c r="DL23">
        <v>5.3245704807341095E-2</v>
      </c>
      <c r="DM23">
        <v>41533500</v>
      </c>
      <c r="DN23">
        <v>7.6065292581915855E-2</v>
      </c>
      <c r="DO23">
        <v>6539000000</v>
      </c>
      <c r="DP23">
        <v>1021813500</v>
      </c>
      <c r="DQ23">
        <v>4706</v>
      </c>
      <c r="DR23">
        <v>3.8619531018152733</v>
      </c>
      <c r="DS23">
        <v>16.784469577058076</v>
      </c>
      <c r="DT23" s="9">
        <v>-0.32333333333333331</v>
      </c>
      <c r="DU23">
        <v>0.53666666666666651</v>
      </c>
      <c r="DV23">
        <v>0.21333333333333321</v>
      </c>
      <c r="DW23">
        <v>-9.8298969072164954</v>
      </c>
      <c r="DX23">
        <v>0.29926848395239214</v>
      </c>
      <c r="DY23">
        <v>-9.123877453176986</v>
      </c>
      <c r="DZ23">
        <v>2276</v>
      </c>
      <c r="EA23">
        <v>-9.0687022900789778</v>
      </c>
      <c r="EB23">
        <v>9</v>
      </c>
      <c r="EC23">
        <v>1.52275E-2</v>
      </c>
      <c r="ED23">
        <v>0.10201416666666667</v>
      </c>
      <c r="EE23" s="10">
        <v>4.0125099999999998</v>
      </c>
      <c r="EF23">
        <v>4.0273099999999999</v>
      </c>
      <c r="EG23">
        <v>15.149268483952392</v>
      </c>
      <c r="EH23" t="s">
        <v>1093</v>
      </c>
      <c r="EI23">
        <v>0</v>
      </c>
      <c r="EJ23">
        <v>0</v>
      </c>
      <c r="EK23" s="12">
        <v>45470</v>
      </c>
      <c r="EL23" s="14">
        <v>-1.5</v>
      </c>
      <c r="EM23" s="14">
        <v>-3.22</v>
      </c>
      <c r="EN23" s="14">
        <v>-1.1499999999999999</v>
      </c>
      <c r="EO23" s="14">
        <v>3.37</v>
      </c>
      <c r="EP23" s="14">
        <v>-1.48</v>
      </c>
    </row>
    <row r="24" spans="1:146" ht="108" x14ac:dyDescent="0.25">
      <c r="C24" s="15" t="str">
        <f>""&amp;CHAR(10)&amp;Basic_Fundamental_Information_Constructure(F24)&amp;CHAR(10)&amp;Basic_Fundamental_Information_Concatenate("")</f>
        <v xml:space="preserve">
市值28.55833亿, 利润3015.35万; PE52.67; 平均PE40.67; 平均PEG7.76, PB2.44; ROIC5.52%; ROE5.5533%; 股利率.726%; 毛利8.0767%; 净利2.3767%; 上一年度营收增-83.03%, 利润增-45.61%; 当季营收增725.7%, 利润增316.68%; 过往5年营收增-5.24%, 利润增.02%
Income profile:
</v>
      </c>
      <c r="D24" s="5" t="s">
        <v>513</v>
      </c>
      <c r="E24" t="s">
        <v>514</v>
      </c>
      <c r="F24">
        <v>27.55</v>
      </c>
      <c r="G24">
        <v>6.17</v>
      </c>
      <c r="H24" t="s">
        <v>1094</v>
      </c>
      <c r="I24">
        <v>2855833000</v>
      </c>
      <c r="J24">
        <v>52.67</v>
      </c>
      <c r="K24">
        <v>2.44</v>
      </c>
      <c r="L24" t="s">
        <v>184</v>
      </c>
      <c r="M24" t="s">
        <v>74</v>
      </c>
      <c r="N24" t="s">
        <v>1095</v>
      </c>
      <c r="O24" t="s">
        <v>1096</v>
      </c>
      <c r="P24" s="5">
        <v>8.76</v>
      </c>
      <c r="Q24" t="s">
        <v>476</v>
      </c>
      <c r="R24">
        <v>9778867</v>
      </c>
      <c r="S24">
        <v>-8.4400000000000003E-2</v>
      </c>
      <c r="T24" t="s">
        <v>1097</v>
      </c>
      <c r="U24">
        <v>103660000</v>
      </c>
      <c r="V24">
        <v>103660000</v>
      </c>
      <c r="W24">
        <v>1.35</v>
      </c>
      <c r="X24">
        <v>0.42</v>
      </c>
      <c r="Y24">
        <v>1.5</v>
      </c>
      <c r="Z24" t="s">
        <v>664</v>
      </c>
      <c r="AA24" t="s">
        <v>60</v>
      </c>
      <c r="AB24" t="s">
        <v>1098</v>
      </c>
      <c r="AC24" t="s">
        <v>1099</v>
      </c>
      <c r="AD24" t="s">
        <v>5</v>
      </c>
      <c r="AE24">
        <v>977620</v>
      </c>
      <c r="AF24" t="s">
        <v>1100</v>
      </c>
      <c r="AG24">
        <v>300.67</v>
      </c>
      <c r="AH24" t="s">
        <v>1101</v>
      </c>
      <c r="AI24" t="s">
        <v>218</v>
      </c>
      <c r="AJ24" t="s">
        <v>1102</v>
      </c>
      <c r="AK24" t="s">
        <v>215</v>
      </c>
      <c r="AL24" t="s">
        <v>1103</v>
      </c>
      <c r="AM24" t="s">
        <v>5</v>
      </c>
      <c r="AN24" t="s">
        <v>1104</v>
      </c>
      <c r="AO24" t="s">
        <v>326</v>
      </c>
      <c r="AP24" t="s">
        <v>5</v>
      </c>
      <c r="AQ24" t="s">
        <v>329</v>
      </c>
      <c r="AR24" t="s">
        <v>5</v>
      </c>
      <c r="AS24" t="s">
        <v>1105</v>
      </c>
      <c r="AT24" t="s">
        <v>5</v>
      </c>
      <c r="AU24" t="s">
        <v>1106</v>
      </c>
      <c r="AV24" t="s">
        <v>1107</v>
      </c>
      <c r="AW24" t="s">
        <v>1108</v>
      </c>
      <c r="AX24" t="s">
        <v>515</v>
      </c>
      <c r="AY24" t="s">
        <v>515</v>
      </c>
      <c r="AZ24" t="s">
        <v>517</v>
      </c>
      <c r="BA24" t="s">
        <v>518</v>
      </c>
      <c r="BB24" t="s">
        <v>519</v>
      </c>
      <c r="BC24" t="s">
        <v>516</v>
      </c>
      <c r="BD24" t="s">
        <v>520</v>
      </c>
      <c r="BE24" t="s">
        <v>426</v>
      </c>
      <c r="BF24" t="s">
        <v>521</v>
      </c>
      <c r="BG24" t="s">
        <v>522</v>
      </c>
      <c r="BH24" t="s">
        <v>447</v>
      </c>
      <c r="BI24" t="s">
        <v>1109</v>
      </c>
      <c r="BJ24" t="s">
        <v>515</v>
      </c>
      <c r="BK24" t="s">
        <v>1110</v>
      </c>
      <c r="BL24" t="s">
        <v>1111</v>
      </c>
      <c r="BM24" t="s">
        <v>516</v>
      </c>
      <c r="BN24">
        <v>3.26</v>
      </c>
      <c r="BO24">
        <v>4.91</v>
      </c>
      <c r="BP24">
        <v>8.39</v>
      </c>
      <c r="BQ24">
        <v>3.34</v>
      </c>
      <c r="BR24">
        <v>5.07</v>
      </c>
      <c r="BS24">
        <v>8.25</v>
      </c>
      <c r="BT24" t="s">
        <v>324</v>
      </c>
      <c r="BU24" t="s">
        <v>291</v>
      </c>
      <c r="BV24">
        <v>8.31</v>
      </c>
      <c r="BW24">
        <v>7.35</v>
      </c>
      <c r="BX24">
        <v>8.57</v>
      </c>
      <c r="BY24">
        <v>2.1800000000000002</v>
      </c>
      <c r="BZ24">
        <v>2.0299999999999998</v>
      </c>
      <c r="CA24">
        <v>2.92</v>
      </c>
      <c r="CB24">
        <v>3.3</v>
      </c>
      <c r="CC24" s="7">
        <v>-16.97</v>
      </c>
      <c r="CD24" s="8" t="s">
        <v>1112</v>
      </c>
      <c r="CE24" s="7" t="s">
        <v>1113</v>
      </c>
      <c r="CF24" s="7">
        <v>7.2569884602028143</v>
      </c>
      <c r="CG24" s="7">
        <v>3.1668218479946821</v>
      </c>
      <c r="CH24" s="7">
        <v>-0.83027684688568115</v>
      </c>
      <c r="CI24" s="7">
        <v>0</v>
      </c>
      <c r="CJ24" s="8">
        <v>0.6019585132598877</v>
      </c>
      <c r="CK24" s="8">
        <v>1.4018691144883633E-2</v>
      </c>
      <c r="CL24" s="8">
        <v>-4.7830924391746521E-2</v>
      </c>
      <c r="CM24" s="8">
        <v>-0.45614787936210632</v>
      </c>
      <c r="CN24" s="8">
        <v>-0.31744140386581421</v>
      </c>
      <c r="CO24">
        <v>-0.38462048768997192</v>
      </c>
      <c r="CP24">
        <v>1.1929714679718018</v>
      </c>
      <c r="CQ24">
        <v>-3.3682558685541153E-2</v>
      </c>
      <c r="CR24" s="7">
        <v>40.670702327451529</v>
      </c>
      <c r="CS24" s="8">
        <v>7.7577183791788489</v>
      </c>
      <c r="CT24">
        <v>0.72595281306715065</v>
      </c>
      <c r="CU24">
        <v>-5.242611337453127E-2</v>
      </c>
      <c r="CV24">
        <v>2.1582767367362977E-4</v>
      </c>
      <c r="CW24">
        <v>0.06</v>
      </c>
      <c r="CX24">
        <v>68.775863498433012</v>
      </c>
      <c r="CY24" t="s">
        <v>1114</v>
      </c>
      <c r="CZ24">
        <v>-5.242611337453127E-2</v>
      </c>
      <c r="DA24">
        <v>22.925287832811005</v>
      </c>
      <c r="DB24" t="s">
        <v>1115</v>
      </c>
      <c r="DC24">
        <v>-4.9804807705804706E-2</v>
      </c>
      <c r="DD24">
        <v>11.462643916405503</v>
      </c>
      <c r="DE24" t="s">
        <v>1116</v>
      </c>
      <c r="DF24">
        <v>-4.6134979769587518E-2</v>
      </c>
      <c r="DG24">
        <v>6.8775863498433019</v>
      </c>
      <c r="DH24" t="s">
        <v>1117</v>
      </c>
      <c r="DI24">
        <v>-4.1940890699625019E-2</v>
      </c>
      <c r="DJ24">
        <v>3.4387931749216509</v>
      </c>
      <c r="DK24" t="s">
        <v>1118</v>
      </c>
      <c r="DL24">
        <v>-3.669827936217189E-2</v>
      </c>
      <c r="DM24">
        <v>30153500</v>
      </c>
      <c r="DN24">
        <v>-5.242611337453127E-2</v>
      </c>
      <c r="DO24">
        <v>2073833000</v>
      </c>
      <c r="DP24">
        <v>717894810</v>
      </c>
      <c r="DQ24" s="9">
        <v>4909</v>
      </c>
      <c r="DR24">
        <v>7.3094145735773459</v>
      </c>
      <c r="DS24">
        <v>3.1666060203210087</v>
      </c>
      <c r="DT24">
        <v>-0.50666666666666671</v>
      </c>
      <c r="DU24">
        <v>-0.2166666666666667</v>
      </c>
      <c r="DV24">
        <v>-0.72333333333333338</v>
      </c>
      <c r="DW24">
        <v>6.1628021706956089</v>
      </c>
      <c r="DX24">
        <v>0.46622035283531404</v>
      </c>
      <c r="DY24">
        <v>6.0124088388927746</v>
      </c>
      <c r="DZ24">
        <v>3359</v>
      </c>
      <c r="EA24">
        <v>6.0042520307047456</v>
      </c>
      <c r="EB24" s="10">
        <v>6</v>
      </c>
      <c r="EC24" s="10">
        <v>4.453405363688983E-2</v>
      </c>
      <c r="ED24">
        <v>0.58428033957167669</v>
      </c>
      <c r="EE24">
        <v>-4.0934100000000004</v>
      </c>
      <c r="EF24">
        <v>-5.0144099999999998</v>
      </c>
      <c r="EG24">
        <v>39.076220352835314</v>
      </c>
      <c r="EH24" s="12" t="s">
        <v>480</v>
      </c>
      <c r="EI24">
        <v>0</v>
      </c>
      <c r="EJ24">
        <v>0</v>
      </c>
      <c r="EK24">
        <v>45470</v>
      </c>
      <c r="EL24">
        <v>-0.28000000000000003</v>
      </c>
      <c r="EM24">
        <v>-1.6</v>
      </c>
      <c r="EN24" s="14">
        <v>-6.79</v>
      </c>
      <c r="EO24" s="14">
        <v>0.38</v>
      </c>
      <c r="EP24" s="14">
        <v>-7.1</v>
      </c>
    </row>
    <row r="25" spans="1:146" ht="108" x14ac:dyDescent="0.25">
      <c r="A25" s="15"/>
      <c r="B25" s="15"/>
      <c r="C25" s="15" t="str">
        <f>""&amp;CHAR(10)&amp;Basic_Fundamental_Information_Constructure(F25)&amp;CHAR(10)&amp;Basic_Fundamental_Information_Concatenate("")</f>
        <v xml:space="preserve">
市值28.748017亿, 利润-3038.52万; PE35.81; 平均PE56.51; 平均PEG10.89, PB4; ROIC13.2833%; ROE14.8867%; 股利率2.501%; 毛利36.85%; 净利22.5033%; 上一年度营收增-60.28%, 利润增-130.76%; 当季营收增205.79%, 利润增223.26%; 过往5年营收增5.19%, 利润增-5.65%
Income profile:
</v>
      </c>
      <c r="D25" t="s">
        <v>203</v>
      </c>
      <c r="E25" t="s">
        <v>204</v>
      </c>
      <c r="F25">
        <v>23.99</v>
      </c>
      <c r="G25">
        <v>2.09</v>
      </c>
      <c r="H25" t="s">
        <v>1119</v>
      </c>
      <c r="I25">
        <v>2874801700</v>
      </c>
      <c r="J25">
        <v>35.81</v>
      </c>
      <c r="K25">
        <v>4</v>
      </c>
      <c r="L25" t="s">
        <v>184</v>
      </c>
      <c r="M25" t="s">
        <v>1029</v>
      </c>
      <c r="N25" t="s">
        <v>477</v>
      </c>
      <c r="O25" t="s">
        <v>1120</v>
      </c>
      <c r="P25">
        <v>11.31</v>
      </c>
      <c r="Q25" t="s">
        <v>472</v>
      </c>
      <c r="R25">
        <v>16782908</v>
      </c>
      <c r="S25" s="5">
        <v>2.4199999999999999E-2</v>
      </c>
      <c r="T25" t="s">
        <v>1121</v>
      </c>
      <c r="U25">
        <v>74954586</v>
      </c>
      <c r="V25">
        <v>119833336</v>
      </c>
      <c r="W25">
        <v>1.22</v>
      </c>
      <c r="X25">
        <v>0.1</v>
      </c>
      <c r="Y25">
        <v>18.72</v>
      </c>
      <c r="Z25" t="s">
        <v>1122</v>
      </c>
      <c r="AA25" t="s">
        <v>1123</v>
      </c>
      <c r="AB25" t="s">
        <v>1124</v>
      </c>
      <c r="AC25" t="s">
        <v>1125</v>
      </c>
      <c r="AD25" t="s">
        <v>5</v>
      </c>
      <c r="AE25">
        <v>-935794</v>
      </c>
      <c r="AF25" t="s">
        <v>1126</v>
      </c>
      <c r="AG25">
        <v>1428.85</v>
      </c>
      <c r="AH25" t="s">
        <v>1127</v>
      </c>
      <c r="AI25" t="s">
        <v>227</v>
      </c>
      <c r="AJ25" t="s">
        <v>1128</v>
      </c>
      <c r="AK25" t="s">
        <v>1129</v>
      </c>
      <c r="AL25" t="s">
        <v>1130</v>
      </c>
      <c r="AM25" t="s">
        <v>5</v>
      </c>
      <c r="AN25" t="s">
        <v>1131</v>
      </c>
      <c r="AO25" t="s">
        <v>509</v>
      </c>
      <c r="AP25" t="s">
        <v>1132</v>
      </c>
      <c r="AQ25" t="s">
        <v>1133</v>
      </c>
      <c r="AR25" t="s">
        <v>5</v>
      </c>
      <c r="AS25" t="s">
        <v>1134</v>
      </c>
      <c r="AT25" t="s">
        <v>1135</v>
      </c>
      <c r="AU25" t="s">
        <v>1136</v>
      </c>
      <c r="AV25" t="s">
        <v>1137</v>
      </c>
      <c r="AW25" t="s">
        <v>1138</v>
      </c>
      <c r="AX25" t="s">
        <v>459</v>
      </c>
      <c r="AY25" t="s">
        <v>74</v>
      </c>
      <c r="AZ25" t="s">
        <v>86</v>
      </c>
      <c r="BA25" t="s">
        <v>87</v>
      </c>
      <c r="BB25" t="s">
        <v>125</v>
      </c>
      <c r="BC25" t="s">
        <v>460</v>
      </c>
      <c r="BD25" t="s">
        <v>461</v>
      </c>
      <c r="BE25" t="s">
        <v>205</v>
      </c>
      <c r="BF25" t="s">
        <v>206</v>
      </c>
      <c r="BG25" t="s">
        <v>207</v>
      </c>
      <c r="BH25" t="s">
        <v>1139</v>
      </c>
      <c r="BI25" t="s">
        <v>1140</v>
      </c>
      <c r="BJ25" t="s">
        <v>459</v>
      </c>
      <c r="BK25" t="s">
        <v>1141</v>
      </c>
      <c r="BL25" t="s">
        <v>1142</v>
      </c>
      <c r="BM25" t="s">
        <v>460</v>
      </c>
      <c r="BN25">
        <v>7.29</v>
      </c>
      <c r="BO25">
        <v>14.06</v>
      </c>
      <c r="BP25">
        <v>18.5</v>
      </c>
      <c r="BQ25">
        <v>8.56</v>
      </c>
      <c r="BR25">
        <v>15.05</v>
      </c>
      <c r="BS25">
        <v>21.05</v>
      </c>
      <c r="BT25" t="s">
        <v>455</v>
      </c>
      <c r="BU25" t="s">
        <v>291</v>
      </c>
      <c r="BV25">
        <v>39.07</v>
      </c>
      <c r="BW25">
        <v>34.130000000000003</v>
      </c>
      <c r="BX25">
        <v>37.35</v>
      </c>
      <c r="BY25">
        <v>21.38</v>
      </c>
      <c r="BZ25">
        <v>23.23</v>
      </c>
      <c r="CA25">
        <v>22.9</v>
      </c>
      <c r="CB25">
        <v>-18.09</v>
      </c>
      <c r="CC25">
        <v>-7.65</v>
      </c>
      <c r="CD25" t="s">
        <v>1143</v>
      </c>
      <c r="CE25" t="s">
        <v>1144</v>
      </c>
      <c r="CF25" s="7">
        <v>2.057912927606238</v>
      </c>
      <c r="CG25" s="8">
        <v>2.2325600934174479</v>
      </c>
      <c r="CH25" s="7">
        <v>-0.60280376672744751</v>
      </c>
      <c r="CI25" s="7">
        <v>6.2034741044044495E-2</v>
      </c>
      <c r="CJ25" s="7">
        <v>0.57421875</v>
      </c>
      <c r="CK25" s="7">
        <v>0.20187793672084808</v>
      </c>
      <c r="CL25" s="7">
        <v>2.4038461968302727E-2</v>
      </c>
      <c r="CM25" s="8">
        <v>-1.3075571060180664</v>
      </c>
      <c r="CN25" s="8">
        <v>0.11402613669633865</v>
      </c>
      <c r="CO25" s="8">
        <v>0.71111732721328735</v>
      </c>
      <c r="CP25" s="8">
        <v>-2.1465322002768517E-2</v>
      </c>
      <c r="CQ25" s="8">
        <v>0.22138768434524536</v>
      </c>
      <c r="CR25">
        <v>56.507251281328884</v>
      </c>
      <c r="CS25">
        <v>10.893336922046029</v>
      </c>
      <c r="CT25">
        <v>2.5010421008753649</v>
      </c>
      <c r="CU25" s="7">
        <v>5.1873224601149556E-2</v>
      </c>
      <c r="CV25" s="8">
        <v>-5.6498255953192709E-2</v>
      </c>
      <c r="CW25">
        <v>0.06</v>
      </c>
      <c r="CX25" t="e">
        <v>#VALUE!</v>
      </c>
      <c r="CY25" t="s">
        <v>453</v>
      </c>
      <c r="CZ25">
        <v>5.1873224601149556E-2</v>
      </c>
      <c r="DA25" t="e">
        <v>#VALUE!</v>
      </c>
      <c r="DB25" t="s">
        <v>453</v>
      </c>
      <c r="DC25">
        <v>4.9279563371092079E-2</v>
      </c>
      <c r="DD25" t="e">
        <v>#VALUE!</v>
      </c>
      <c r="DE25" t="s">
        <v>453</v>
      </c>
      <c r="DF25">
        <v>4.5648437649011608E-2</v>
      </c>
      <c r="DG25" t="e">
        <v>#VALUE!</v>
      </c>
      <c r="DH25" t="s">
        <v>453</v>
      </c>
      <c r="DI25">
        <v>4.1498579680919648E-2</v>
      </c>
      <c r="DJ25" t="e">
        <v>#VALUE!</v>
      </c>
      <c r="DK25" t="s">
        <v>453</v>
      </c>
      <c r="DL25">
        <v>3.6311257220804687E-2</v>
      </c>
      <c r="DM25">
        <v>-30385200</v>
      </c>
      <c r="DN25">
        <v>5.1873224601149556E-2</v>
      </c>
      <c r="DO25">
        <v>2313801700</v>
      </c>
      <c r="DP25">
        <v>335632110</v>
      </c>
      <c r="DQ25">
        <v>5102</v>
      </c>
      <c r="DR25">
        <v>2.0060397030050883</v>
      </c>
      <c r="DS25">
        <v>2.2890583493706407</v>
      </c>
      <c r="DT25" s="9">
        <v>-0.52333333333333332</v>
      </c>
      <c r="DU25">
        <v>-0.3833333333333333</v>
      </c>
      <c r="DV25">
        <v>-0.90666666666666662</v>
      </c>
      <c r="DW25">
        <v>-5.4228855721393039</v>
      </c>
      <c r="DX25">
        <v>0.43400716464950884</v>
      </c>
      <c r="DY25">
        <v>-5.1243313880358619</v>
      </c>
      <c r="DZ25">
        <v>4352</v>
      </c>
      <c r="EA25">
        <v>-5.0184428947419146</v>
      </c>
      <c r="EB25">
        <v>5</v>
      </c>
      <c r="EC25">
        <v>0.13389429465603794</v>
      </c>
      <c r="ED25">
        <v>0.45541167275857197</v>
      </c>
      <c r="EE25" s="10">
        <v>8.0152000000000001</v>
      </c>
      <c r="EF25">
        <v>8.0402100000000001</v>
      </c>
      <c r="EG25">
        <v>14.294007164649509</v>
      </c>
      <c r="EH25" t="s">
        <v>1145</v>
      </c>
      <c r="EI25">
        <v>0</v>
      </c>
      <c r="EJ25">
        <v>0</v>
      </c>
      <c r="EK25" s="12">
        <v>45470</v>
      </c>
      <c r="EL25" s="14">
        <v>-1.62</v>
      </c>
      <c r="EM25" s="14">
        <v>-6.55</v>
      </c>
      <c r="EN25" s="14">
        <v>-3.07</v>
      </c>
      <c r="EO25" s="14">
        <v>15.65</v>
      </c>
      <c r="EP25" s="14">
        <v>-5.54</v>
      </c>
    </row>
    <row r="26" spans="1:146" hidden="1" x14ac:dyDescent="0.25">
      <c r="A26" s="6"/>
      <c r="B26" s="6"/>
      <c r="C26" s="6"/>
      <c r="Q26" s="5"/>
    </row>
    <row r="27" spans="1:146" hidden="1" x14ac:dyDescent="0.25">
      <c r="A27" s="6"/>
      <c r="B27" s="6"/>
      <c r="C27" s="6"/>
      <c r="Q27" s="5"/>
    </row>
    <row r="28" spans="1:146" hidden="1" x14ac:dyDescent="0.25">
      <c r="A28" s="6"/>
      <c r="B28" s="6"/>
      <c r="C28" s="6"/>
      <c r="Q28" s="5"/>
    </row>
    <row r="29" spans="1:146" hidden="1" x14ac:dyDescent="0.25">
      <c r="A29" s="6"/>
      <c r="B29" s="6"/>
      <c r="C29" s="6"/>
      <c r="Q29" s="5"/>
    </row>
    <row r="30" spans="1:146" hidden="1" x14ac:dyDescent="0.25">
      <c r="A30" s="6"/>
      <c r="B30" s="6"/>
      <c r="C30" s="6"/>
      <c r="Q30" s="5"/>
    </row>
    <row r="31" spans="1:146" hidden="1" x14ac:dyDescent="0.25">
      <c r="A31" s="6"/>
      <c r="B31" s="6"/>
      <c r="C31" s="6"/>
      <c r="Q31" s="5"/>
    </row>
    <row r="32" spans="1:146" hidden="1" x14ac:dyDescent="0.25">
      <c r="A32" s="6"/>
      <c r="B32" s="6"/>
      <c r="C32" s="6"/>
      <c r="Q32" s="5"/>
    </row>
    <row r="33" spans="1:17" hidden="1" x14ac:dyDescent="0.25">
      <c r="A33" s="6"/>
      <c r="B33" s="6"/>
      <c r="C33" s="6"/>
      <c r="Q33" s="5"/>
    </row>
    <row r="34" spans="1:17" hidden="1" x14ac:dyDescent="0.25">
      <c r="A34" s="6"/>
      <c r="B34" s="6"/>
      <c r="C34" s="6"/>
      <c r="Q34" s="5"/>
    </row>
    <row r="35" spans="1:17" hidden="1" x14ac:dyDescent="0.25">
      <c r="A35" s="6"/>
      <c r="B35" s="6"/>
      <c r="C35" s="6"/>
      <c r="Q35" s="5"/>
    </row>
    <row r="36" spans="1:17" hidden="1" x14ac:dyDescent="0.25">
      <c r="A36" s="6"/>
      <c r="B36" s="6"/>
      <c r="C36" s="6"/>
      <c r="Q36" s="5"/>
    </row>
    <row r="37" spans="1:17" hidden="1" x14ac:dyDescent="0.25">
      <c r="A37" s="6"/>
      <c r="B37" s="6"/>
      <c r="C37" s="6"/>
      <c r="Q37" s="5"/>
    </row>
    <row r="38" spans="1:17" hidden="1" x14ac:dyDescent="0.25">
      <c r="A38" s="6"/>
      <c r="B38" s="6"/>
      <c r="C38" s="6"/>
      <c r="Q38" s="5"/>
    </row>
    <row r="39" spans="1:17" hidden="1" x14ac:dyDescent="0.25">
      <c r="A39" s="6"/>
      <c r="B39" s="6"/>
      <c r="C39" s="6"/>
      <c r="Q39" s="5"/>
    </row>
    <row r="40" spans="1:17" hidden="1" x14ac:dyDescent="0.25">
      <c r="A40" s="6"/>
      <c r="B40" s="6"/>
      <c r="C40" s="6"/>
      <c r="Q40" s="5"/>
    </row>
    <row r="41" spans="1:17" hidden="1" x14ac:dyDescent="0.25">
      <c r="A41" s="6"/>
      <c r="B41" s="6"/>
      <c r="C41" s="6"/>
      <c r="Q41" s="5"/>
    </row>
    <row r="42" spans="1:17" hidden="1" x14ac:dyDescent="0.25">
      <c r="Q42" s="5"/>
    </row>
    <row r="43" spans="1:17" hidden="1" x14ac:dyDescent="0.25">
      <c r="A43" s="6"/>
      <c r="B43" s="6"/>
      <c r="C43" s="6"/>
      <c r="Q43" s="5"/>
    </row>
    <row r="44" spans="1:17" hidden="1" x14ac:dyDescent="0.25">
      <c r="A44" s="6"/>
      <c r="B44" s="6"/>
      <c r="C44" s="6"/>
      <c r="Q44" s="5"/>
    </row>
    <row r="45" spans="1:17" hidden="1" x14ac:dyDescent="0.25">
      <c r="A45" s="6"/>
      <c r="B45" s="6"/>
      <c r="C45" s="6"/>
      <c r="Q45" s="5"/>
    </row>
    <row r="46" spans="1:17" hidden="1" x14ac:dyDescent="0.25">
      <c r="Q46" s="5"/>
    </row>
    <row r="47" spans="1:17" hidden="1" x14ac:dyDescent="0.25">
      <c r="Q47" s="5"/>
    </row>
    <row r="48" spans="1:17" hidden="1" x14ac:dyDescent="0.25">
      <c r="Q48" s="5"/>
    </row>
    <row r="49" spans="17:17" hidden="1" x14ac:dyDescent="0.25">
      <c r="Q49" s="5"/>
    </row>
    <row r="50" spans="17:17" hidden="1" x14ac:dyDescent="0.25">
      <c r="Q50" s="5"/>
    </row>
  </sheetData>
  <autoFilter ref="BU1:BU50">
    <filterColumn colId="0">
      <filters>
        <filter val="其他金属新材料"/>
      </filters>
    </filterColumn>
  </autoFilter>
  <phoneticPr fontId="1" type="noConversion"/>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金属新材料&quot;,&quot;磁性材料&quot;'" altText="更新基本面按钮_x000a_">
                <anchor moveWithCells="1" sizeWithCells="1">
                  <from>
                    <xdr:col>147</xdr:col>
                    <xdr:colOff>273050</xdr:colOff>
                    <xdr:row>0</xdr:row>
                    <xdr:rowOff>114300</xdr:rowOff>
                  </from>
                  <to>
                    <xdr:col>147</xdr:col>
                    <xdr:colOff>1714500</xdr:colOff>
                    <xdr:row>0</xdr:row>
                    <xdr:rowOff>425450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
  <sheetViews>
    <sheetView workbookViewId="0">
      <selection sqref="A1:AG2"/>
    </sheetView>
  </sheetViews>
  <sheetFormatPr defaultRowHeight="14" x14ac:dyDescent="0.25"/>
  <cols>
    <col min="1" max="1" width="13.26953125" customWidth="1"/>
  </cols>
  <sheetData>
    <row r="1" spans="1:33" x14ac:dyDescent="0.25">
      <c r="A1" t="s">
        <v>264</v>
      </c>
      <c r="B1" t="s">
        <v>265</v>
      </c>
      <c r="C1" t="s">
        <v>266</v>
      </c>
      <c r="D1" t="s">
        <v>267</v>
      </c>
      <c r="E1" t="s">
        <v>268</v>
      </c>
      <c r="F1" t="s">
        <v>269</v>
      </c>
      <c r="G1" t="s">
        <v>270</v>
      </c>
      <c r="H1" t="s">
        <v>271</v>
      </c>
      <c r="I1" t="s">
        <v>272</v>
      </c>
      <c r="J1" t="s">
        <v>273</v>
      </c>
      <c r="K1" t="s">
        <v>274</v>
      </c>
      <c r="L1" t="s">
        <v>275</v>
      </c>
      <c r="M1" t="s">
        <v>276</v>
      </c>
      <c r="N1" s="1" t="s">
        <v>277</v>
      </c>
      <c r="O1" s="1" t="s">
        <v>278</v>
      </c>
      <c r="P1" s="1" t="s">
        <v>279</v>
      </c>
      <c r="S1" t="s">
        <v>265</v>
      </c>
      <c r="T1" t="s">
        <v>266</v>
      </c>
      <c r="U1" t="s">
        <v>267</v>
      </c>
      <c r="V1" t="s">
        <v>268</v>
      </c>
      <c r="W1" t="s">
        <v>269</v>
      </c>
      <c r="X1" t="s">
        <v>270</v>
      </c>
      <c r="Y1" t="s">
        <v>271</v>
      </c>
      <c r="Z1" t="s">
        <v>272</v>
      </c>
      <c r="AA1" t="s">
        <v>273</v>
      </c>
      <c r="AB1" t="s">
        <v>274</v>
      </c>
      <c r="AC1" t="s">
        <v>275</v>
      </c>
      <c r="AD1" t="s">
        <v>276</v>
      </c>
      <c r="AE1" t="s">
        <v>280</v>
      </c>
      <c r="AF1" t="s">
        <v>281</v>
      </c>
      <c r="AG1" t="s">
        <v>282</v>
      </c>
    </row>
    <row r="2" spans="1:33" x14ac:dyDescent="0.25">
      <c r="A2" t="e">
        <f>金属新材料!#REF!</f>
        <v>#REF!</v>
      </c>
      <c r="B2" t="e">
        <f>COUNTIFS(金属新材料!#REF!,$A$2,金属新材料!CF:CF,"&lt;-18%")</f>
        <v>#REF!</v>
      </c>
      <c r="C2" t="e">
        <f>COUNTIFS(金属新材料!#REF!,A2,金属新材料!CF:CF,"&lt;0%") - COUNTIFS(金属新材料!#REF!,A2,金属新材料!CF:CF,"&lt;-18%")</f>
        <v>#REF!</v>
      </c>
      <c r="D2" t="e">
        <f>COUNTIFS(金属新材料!#REF!,A2,金属新材料!CF:CF,"&lt;10%") - COUNTIFS(金属新材料!#REF!,A2,金属新材料!CF:CF,"&lt;=0%")</f>
        <v>#REF!</v>
      </c>
      <c r="E2" t="e">
        <f>COUNTIFS(金属新材料!#REF!,A2,金属新材料!CF:CF,"&lt;30%") - COUNTIFS(金属新材料!#REF!,A2,金属新材料!CF:CF,"&lt;10%")</f>
        <v>#REF!</v>
      </c>
      <c r="F2" t="e">
        <f>COUNTIFS(金属新材料!#REF!,A2,金属新材料!CF:CF,"&lt;80%") - COUNTIFS(金属新材料!#REF!,A2,金属新材料!CF:CF,"&lt;=30%")</f>
        <v>#REF!</v>
      </c>
      <c r="G2" t="e">
        <f>COUNTIFS(金属新材料!#REF!,A2,金属新材料!CF:CF,"&gt;=80%")</f>
        <v>#REF!</v>
      </c>
      <c r="H2" t="e">
        <f>COUNTIFS(金属新材料!#REF!,A2,金属新材料!CG:CG,"&lt;-18%")</f>
        <v>#REF!</v>
      </c>
      <c r="I2" t="e">
        <f>COUNTIFS(金属新材料!#REF!,A2,金属新材料!CG:CG,"&lt;0%") - COUNTIFS(金属新材料!#REF!,A2,金属新材料!CG:CG,"&lt;-18%")</f>
        <v>#REF!</v>
      </c>
      <c r="J2" t="e">
        <f>COUNTIFS(金属新材料!#REF!,A2,金属新材料!CG:CG,"&lt;10%") - COUNTIFS(金属新材料!#REF!,A2,金属新材料!CG:CG,"&lt;=0%")</f>
        <v>#REF!</v>
      </c>
      <c r="K2" t="e">
        <f>COUNTIFS(金属新材料!#REF!,A2,金属新材料!CG:CG,"&lt;30%") - COUNTIFS(金属新材料!#REF!,A2,金属新材料!CG:CG,"&lt;10%")</f>
        <v>#REF!</v>
      </c>
      <c r="L2" t="e">
        <f>COUNTIFS(金属新材料!#REF!,A2,金属新材料!CG:CG,"&lt;80%") - COUNTIFS(金属新材料!#REF!,A2,金属新材料!CG:CG,"&lt;=30%")</f>
        <v>#REF!</v>
      </c>
      <c r="M2" t="e">
        <f>COUNTIFS(金属新材料!#REF!,A2,金属新材料!CG:CG,"&gt;=80%")</f>
        <v>#REF!</v>
      </c>
      <c r="N2" s="1" t="e">
        <f>SUM(H2:M2)</f>
        <v>#REF!</v>
      </c>
      <c r="O2" t="e">
        <f>SUM(E2:G2)/N2</f>
        <v>#REF!</v>
      </c>
      <c r="P2" t="e">
        <f>SUM(K2:M2)/N2</f>
        <v>#REF!</v>
      </c>
      <c r="S2" t="e">
        <f>COUNTIFS(金属新材料!#REF!,$A$2,金属新材料!CH:CH,"&lt;-18%")</f>
        <v>#REF!</v>
      </c>
      <c r="T2" t="e">
        <f>COUNTIFS(金属新材料!#REF!,A2,金属新材料!CH:CH,"&lt;0%") - COUNTIFS(金属新材料!#REF!,A2,金属新材料!CH:CH,"&lt;-18%")</f>
        <v>#REF!</v>
      </c>
      <c r="U2" t="e">
        <f>COUNTIFS(金属新材料!#REF!,A2,金属新材料!CH:CH,"&lt;10%") - COUNTIFS(金属新材料!#REF!,A2,金属新材料!CH:CH,"&lt;=0%")</f>
        <v>#REF!</v>
      </c>
      <c r="V2" t="e">
        <f>COUNTIFS(金属新材料!#REF!,A2,金属新材料!CH:CH,"&lt;30%") - COUNTIFS(金属新材料!#REF!,A2,金属新材料!CH:CH,"&lt;10%")</f>
        <v>#REF!</v>
      </c>
      <c r="W2" t="e">
        <f>COUNTIFS(金属新材料!#REF!,A2,金属新材料!CH:CH,"&lt;80%") - COUNTIFS(金属新材料!#REF!,A2,金属新材料!CH:CH,"&lt;=30%")</f>
        <v>#REF!</v>
      </c>
      <c r="X2" t="e">
        <f>COUNTIFS(金属新材料!#REF!,A2,金属新材料!CH:CH,"&gt;=80%")</f>
        <v>#REF!</v>
      </c>
      <c r="Y2" t="e">
        <f>COUNTIFS(金属新材料!#REF!,A2,金属新材料!CM:CM,"&lt;-18%")</f>
        <v>#REF!</v>
      </c>
      <c r="Z2" t="e">
        <f>COUNTIFS(金属新材料!#REF!,A2,金属新材料!CM:CM,"&lt;0%") - COUNTIFS(金属新材料!#REF!,A2,金属新材料!CM:CM,"&lt;-18%")</f>
        <v>#REF!</v>
      </c>
      <c r="AA2" t="e">
        <f>COUNTIFS(金属新材料!#REF!,A2,金属新材料!CM:CM,"&lt;10%") - COUNTIFS(金属新材料!#REF!,A2,金属新材料!CM:CM,"&lt;=0%")</f>
        <v>#REF!</v>
      </c>
      <c r="AB2" t="e">
        <f>COUNTIFS(金属新材料!#REF!,A2,金属新材料!CM:CM,"&lt;30%") - COUNTIFS(金属新材料!#REF!,A2,金属新材料!CM:CM,"&lt;10%")</f>
        <v>#REF!</v>
      </c>
      <c r="AC2" t="e">
        <f>COUNTIFS(金属新材料!#REF!,A2,金属新材料!CM:CM,"&lt;80%") - COUNTIFS(金属新材料!#REF!,A2,金属新材料!CM:CM,"&lt;=30%")</f>
        <v>#REF!</v>
      </c>
      <c r="AD2" t="e">
        <f>COUNTIFS(金属新材料!#REF!,A2,金属新材料!CM:CM,"&gt;=80%")</f>
        <v>#REF!</v>
      </c>
      <c r="AE2" t="e">
        <f>SUM(Y2:AD2)</f>
        <v>#REF!</v>
      </c>
      <c r="AF2" t="e">
        <f>SUM(V2:X2)/AE2</f>
        <v>#REF!</v>
      </c>
      <c r="AG2" t="e">
        <f>SUM(AB2:AD2)/AE2</f>
        <v>#REF!</v>
      </c>
    </row>
  </sheetData>
  <phoneticPr fontId="1" type="noConversion"/>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8"/>
  <sheetViews>
    <sheetView workbookViewId="0">
      <selection activeCell="A3" sqref="A3"/>
    </sheetView>
  </sheetViews>
  <sheetFormatPr defaultRowHeight="14" x14ac:dyDescent="0.25"/>
  <cols>
    <col min="1" max="1" width="12.26953125" customWidth="1"/>
  </cols>
  <sheetData>
    <row r="1" spans="1:30" x14ac:dyDescent="0.25">
      <c r="A1">
        <v>1</v>
      </c>
      <c r="B1">
        <f>A1+A1*$A$2</f>
        <v>1.04</v>
      </c>
      <c r="C1">
        <f t="shared" ref="C1:AD1" si="0">B1+B1*$A$2</f>
        <v>1.0816000000000001</v>
      </c>
      <c r="D1">
        <f t="shared" si="0"/>
        <v>1.1248640000000001</v>
      </c>
      <c r="E1">
        <f t="shared" si="0"/>
        <v>1.16985856</v>
      </c>
      <c r="F1">
        <f t="shared" si="0"/>
        <v>1.2166529023999999</v>
      </c>
      <c r="G1">
        <f t="shared" si="0"/>
        <v>1.2653190184959999</v>
      </c>
      <c r="H1">
        <f t="shared" si="0"/>
        <v>1.3159317792358398</v>
      </c>
      <c r="I1">
        <f t="shared" si="0"/>
        <v>1.3685690504052734</v>
      </c>
      <c r="J1">
        <f t="shared" si="0"/>
        <v>1.4233118124214843</v>
      </c>
      <c r="K1">
        <f t="shared" si="0"/>
        <v>1.4802442849183437</v>
      </c>
      <c r="L1">
        <f t="shared" si="0"/>
        <v>1.5394540563150774</v>
      </c>
      <c r="M1">
        <f t="shared" si="0"/>
        <v>1.6010322185676804</v>
      </c>
      <c r="N1">
        <f t="shared" si="0"/>
        <v>1.6650735073103877</v>
      </c>
      <c r="O1">
        <f t="shared" si="0"/>
        <v>1.7316764476028033</v>
      </c>
      <c r="P1">
        <f t="shared" si="0"/>
        <v>1.8009435055069154</v>
      </c>
      <c r="Q1">
        <f t="shared" si="0"/>
        <v>1.8729812457271919</v>
      </c>
      <c r="R1">
        <f t="shared" si="0"/>
        <v>1.9479004955562795</v>
      </c>
      <c r="S1">
        <f t="shared" si="0"/>
        <v>2.0258165153785308</v>
      </c>
      <c r="T1">
        <f t="shared" si="0"/>
        <v>2.1068491759936721</v>
      </c>
      <c r="U1">
        <f t="shared" si="0"/>
        <v>2.191123143033419</v>
      </c>
      <c r="V1">
        <f t="shared" si="0"/>
        <v>2.278768068754756</v>
      </c>
      <c r="W1">
        <f t="shared" si="0"/>
        <v>2.3699187915049462</v>
      </c>
      <c r="X1">
        <f t="shared" si="0"/>
        <v>2.464715543165144</v>
      </c>
      <c r="Y1">
        <f t="shared" si="0"/>
        <v>2.5633041648917496</v>
      </c>
      <c r="Z1">
        <f t="shared" si="0"/>
        <v>2.6658363314874194</v>
      </c>
      <c r="AA1">
        <f t="shared" si="0"/>
        <v>2.772469784746916</v>
      </c>
      <c r="AB1">
        <f t="shared" si="0"/>
        <v>2.8833685761367924</v>
      </c>
      <c r="AC1">
        <f t="shared" si="0"/>
        <v>2.9987033191822641</v>
      </c>
      <c r="AD1">
        <f t="shared" si="0"/>
        <v>3.1186514519495545</v>
      </c>
    </row>
    <row r="2" spans="1:30" x14ac:dyDescent="0.25">
      <c r="A2">
        <v>0.04</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0.1</v>
      </c>
      <c r="B4" t="s">
        <v>0</v>
      </c>
    </row>
    <row r="5" spans="1:30" x14ac:dyDescent="0.25">
      <c r="A5" s="1">
        <v>1</v>
      </c>
      <c r="B5" s="1">
        <f>A5*$A$4+A5</f>
        <v>1.1000000000000001</v>
      </c>
      <c r="C5" s="1">
        <f t="shared" ref="C5:AD5" si="1">B5*$A$4+B5</f>
        <v>1.2100000000000002</v>
      </c>
      <c r="D5" s="1">
        <f t="shared" si="1"/>
        <v>1.3310000000000002</v>
      </c>
      <c r="E5" s="1">
        <f t="shared" si="1"/>
        <v>1.4641000000000002</v>
      </c>
      <c r="F5" s="1">
        <f t="shared" si="1"/>
        <v>1.6105100000000001</v>
      </c>
      <c r="G5" s="1">
        <f t="shared" si="1"/>
        <v>1.7715610000000002</v>
      </c>
      <c r="H5" s="1">
        <f t="shared" si="1"/>
        <v>1.9487171000000001</v>
      </c>
      <c r="I5" s="1">
        <f t="shared" si="1"/>
        <v>2.1435888100000002</v>
      </c>
      <c r="J5" s="1">
        <f t="shared" si="1"/>
        <v>2.3579476910000001</v>
      </c>
      <c r="K5" s="1">
        <f t="shared" si="1"/>
        <v>2.5937424601000001</v>
      </c>
      <c r="L5" s="1">
        <f t="shared" si="1"/>
        <v>2.8531167061100002</v>
      </c>
      <c r="M5" s="1">
        <f t="shared" si="1"/>
        <v>3.1384283767210004</v>
      </c>
      <c r="N5" s="1">
        <f t="shared" si="1"/>
        <v>3.4522712143931003</v>
      </c>
      <c r="O5" s="1">
        <f t="shared" si="1"/>
        <v>3.7974983358324104</v>
      </c>
      <c r="P5">
        <f t="shared" si="1"/>
        <v>4.1772481694156518</v>
      </c>
      <c r="Q5">
        <f t="shared" si="1"/>
        <v>4.5949729863572166</v>
      </c>
      <c r="R5">
        <f t="shared" si="1"/>
        <v>5.0544702849929379</v>
      </c>
      <c r="S5" s="1">
        <f t="shared" si="1"/>
        <v>5.5599173134922317</v>
      </c>
      <c r="T5">
        <f t="shared" si="1"/>
        <v>6.1159090448414553</v>
      </c>
      <c r="U5">
        <f t="shared" si="1"/>
        <v>6.7274999493256011</v>
      </c>
      <c r="V5">
        <f t="shared" si="1"/>
        <v>7.4002499442581611</v>
      </c>
      <c r="W5">
        <f t="shared" si="1"/>
        <v>8.1402749386839766</v>
      </c>
      <c r="X5">
        <f t="shared" si="1"/>
        <v>8.9543024325523746</v>
      </c>
      <c r="Y5">
        <f t="shared" si="1"/>
        <v>9.849732675807612</v>
      </c>
      <c r="Z5">
        <f t="shared" si="1"/>
        <v>10.834705943388373</v>
      </c>
      <c r="AA5">
        <f t="shared" si="1"/>
        <v>11.918176537727211</v>
      </c>
      <c r="AB5">
        <f t="shared" si="1"/>
        <v>13.109994191499933</v>
      </c>
      <c r="AC5">
        <f t="shared" si="1"/>
        <v>14.420993610649926</v>
      </c>
      <c r="AD5">
        <f t="shared" si="1"/>
        <v>15.86309297171492</v>
      </c>
    </row>
    <row r="6" spans="1:30" x14ac:dyDescent="0.25">
      <c r="A6">
        <v>10</v>
      </c>
      <c r="B6" t="s">
        <v>1</v>
      </c>
    </row>
    <row r="7" spans="1:30" x14ac:dyDescent="0.25">
      <c r="A7" t="s">
        <v>257</v>
      </c>
      <c r="B7">
        <f>SUM($B$5)</f>
        <v>1.1000000000000001</v>
      </c>
      <c r="C7">
        <f>SUM($B$5:C5)</f>
        <v>2.3100000000000005</v>
      </c>
      <c r="D7">
        <f>SUM($B$5:D5)</f>
        <v>3.6410000000000009</v>
      </c>
      <c r="E7">
        <f>SUM($B$5:E5)</f>
        <v>5.1051000000000011</v>
      </c>
      <c r="F7">
        <f>SUM($B$5:F5)</f>
        <v>6.7156100000000016</v>
      </c>
      <c r="G7">
        <f>SUM($B$5:G5)</f>
        <v>8.4871710000000018</v>
      </c>
      <c r="H7">
        <f>SUM($B$5:H5)</f>
        <v>10.435888100000001</v>
      </c>
      <c r="I7">
        <f>SUM($B$5:I5)</f>
        <v>12.579476910000002</v>
      </c>
      <c r="J7">
        <f>SUM($B$5:J5)</f>
        <v>14.937424601000002</v>
      </c>
      <c r="K7">
        <f>SUM($B$5:K5)</f>
        <v>17.531167061100003</v>
      </c>
      <c r="L7">
        <f>SUM($B$5:L5)</f>
        <v>20.384283767210004</v>
      </c>
      <c r="M7">
        <f>SUM($B$5:M5)</f>
        <v>23.522712143931003</v>
      </c>
      <c r="N7">
        <f>SUM($B$5:N5)</f>
        <v>26.974983358324103</v>
      </c>
      <c r="O7">
        <f>SUM($B$5:O5)</f>
        <v>30.772481694156514</v>
      </c>
      <c r="P7">
        <f>SUM($B$5:P5)</f>
        <v>34.949729863572166</v>
      </c>
      <c r="Q7">
        <f>SUM($B$5:Q5)</f>
        <v>39.544702849929379</v>
      </c>
      <c r="R7">
        <f>SUM($B$5:R5)</f>
        <v>44.599173134922317</v>
      </c>
      <c r="S7">
        <f>SUM($B$5:S5)</f>
        <v>50.159090448414545</v>
      </c>
      <c r="T7">
        <f>SUM($B$5:T5)</f>
        <v>56.274999493256004</v>
      </c>
      <c r="U7">
        <f>SUM($B$5:U5)</f>
        <v>63.002499442581609</v>
      </c>
      <c r="V7">
        <f>SUM($B$5:V5)</f>
        <v>70.402749386839773</v>
      </c>
      <c r="W7">
        <f>SUM($B$5:W5)</f>
        <v>78.543024325523746</v>
      </c>
      <c r="X7">
        <f>SUM($B$5:X5)</f>
        <v>87.497326758076127</v>
      </c>
      <c r="Y7">
        <f>SUM($B$5:Y5)</f>
        <v>97.347059433883743</v>
      </c>
      <c r="Z7">
        <f>SUM($B$5:Z5)</f>
        <v>108.18176537727211</v>
      </c>
      <c r="AA7">
        <f>SUM($B$5:AA5)</f>
        <v>120.09994191499932</v>
      </c>
      <c r="AB7">
        <f>SUM($B$5:AB5)</f>
        <v>133.20993610649924</v>
      </c>
      <c r="AC7">
        <f>SUM($B$5:AC5)</f>
        <v>147.63092971714917</v>
      </c>
      <c r="AD7">
        <f>SUM($B$5:AD5)</f>
        <v>163.49402268886411</v>
      </c>
    </row>
    <row r="8" spans="1:30" x14ac:dyDescent="0.25">
      <c r="A8" s="2" t="s">
        <v>256</v>
      </c>
      <c r="B8" s="2">
        <v>1</v>
      </c>
      <c r="C8" s="2">
        <v>2</v>
      </c>
      <c r="D8" s="2">
        <v>3</v>
      </c>
      <c r="E8" s="2">
        <v>4</v>
      </c>
      <c r="F8" s="2">
        <v>5</v>
      </c>
      <c r="G8" s="2">
        <v>6</v>
      </c>
      <c r="H8" s="2">
        <v>7</v>
      </c>
      <c r="I8" s="2">
        <v>8</v>
      </c>
      <c r="J8" s="2">
        <v>9</v>
      </c>
      <c r="K8" s="2">
        <v>10</v>
      </c>
      <c r="L8" s="2">
        <v>11</v>
      </c>
      <c r="M8" s="2">
        <v>12</v>
      </c>
      <c r="N8" s="2">
        <v>13</v>
      </c>
      <c r="O8" s="2">
        <v>14</v>
      </c>
      <c r="P8" s="2">
        <v>15</v>
      </c>
      <c r="Q8" s="2">
        <v>16</v>
      </c>
      <c r="R8" s="2">
        <v>17</v>
      </c>
      <c r="S8" s="2">
        <v>18</v>
      </c>
      <c r="T8" s="2">
        <v>19</v>
      </c>
      <c r="U8" s="2">
        <v>20</v>
      </c>
      <c r="V8" s="2">
        <v>21</v>
      </c>
      <c r="W8" s="2">
        <v>22</v>
      </c>
      <c r="X8" s="2">
        <v>23</v>
      </c>
      <c r="Y8" s="2">
        <v>24</v>
      </c>
      <c r="Z8" s="2">
        <v>25</v>
      </c>
      <c r="AA8" s="2">
        <v>26</v>
      </c>
      <c r="AB8" s="2">
        <v>27</v>
      </c>
      <c r="AC8" s="2">
        <v>28</v>
      </c>
      <c r="AD8" s="2">
        <v>29</v>
      </c>
    </row>
  </sheetData>
  <phoneticPr fontId="1"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金属新材料</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2024-07-10T15:32:38Z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