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001Xiaofeng\value-investment-backup\估值分析\SW1L有色金属\"/>
    </mc:Choice>
  </mc:AlternateContent>
  <bookViews>
    <workbookView xWindow="-110" yWindow="-110" windowWidth="23260" windowHeight="13180"/>
  </bookViews>
  <sheets>
    <sheet name="贵金属" sheetId="15" r:id="rId1"/>
    <sheet name="估值-增速与年化收益" sheetId="14" r:id="rId2"/>
  </sheets>
  <functionGroups builtInGroupCount="18"/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4" i="15" l="1"/>
  <c r="C12" i="15"/>
  <c r="C11" i="15"/>
  <c r="C9" i="15"/>
  <c r="C10" i="15"/>
  <c r="C3" i="15"/>
  <c r="B5" i="14" l="1"/>
  <c r="C5" i="14" s="1"/>
  <c r="D5" i="14" s="1"/>
  <c r="E5" i="14" s="1"/>
  <c r="F5" i="14" s="1"/>
  <c r="G5" i="14" s="1"/>
  <c r="H5" i="14" s="1"/>
  <c r="I5" i="14" s="1"/>
  <c r="J5" i="14" s="1"/>
  <c r="K5" i="14" s="1"/>
  <c r="L5" i="14" s="1"/>
  <c r="M5" i="14" s="1"/>
  <c r="N5" i="14" s="1"/>
  <c r="O5" i="14" s="1"/>
  <c r="P5" i="14" s="1"/>
  <c r="Q5" i="14" s="1"/>
  <c r="R5" i="14" s="1"/>
  <c r="S5" i="14" s="1"/>
  <c r="T5" i="14" s="1"/>
  <c r="U5" i="14" s="1"/>
  <c r="V5" i="14" s="1"/>
  <c r="W5" i="14" s="1"/>
  <c r="X5" i="14" s="1"/>
  <c r="Y5" i="14" s="1"/>
  <c r="Z5" i="14" s="1"/>
  <c r="AA5" i="14" s="1"/>
  <c r="AB5" i="14" s="1"/>
  <c r="AC5" i="14" s="1"/>
  <c r="AD5" i="14" s="1"/>
  <c r="B1" i="14"/>
  <c r="C1" i="14" s="1"/>
  <c r="D1" i="14" s="1"/>
  <c r="E1" i="14" s="1"/>
  <c r="F1" i="14" s="1"/>
  <c r="G1" i="14" s="1"/>
  <c r="H1" i="14" s="1"/>
  <c r="I1" i="14" s="1"/>
  <c r="J1" i="14" s="1"/>
  <c r="K1" i="14" s="1"/>
  <c r="L1" i="14" s="1"/>
  <c r="M1" i="14" s="1"/>
  <c r="N1" i="14" s="1"/>
  <c r="O1" i="14" s="1"/>
  <c r="P1" i="14" s="1"/>
  <c r="Q1" i="14" s="1"/>
  <c r="R1" i="14" s="1"/>
  <c r="S1" i="14" s="1"/>
  <c r="T1" i="14" s="1"/>
  <c r="U1" i="14" s="1"/>
  <c r="V1" i="14" s="1"/>
  <c r="W1" i="14" s="1"/>
  <c r="X1" i="14" s="1"/>
  <c r="Y1" i="14" s="1"/>
  <c r="Z1" i="14" s="1"/>
  <c r="AA1" i="14" s="1"/>
  <c r="AB1" i="14" s="1"/>
  <c r="AC1" i="14" s="1"/>
  <c r="AD1" i="14" s="1"/>
  <c r="C8" i="15"/>
  <c r="C7" i="15"/>
  <c r="C13" i="15"/>
  <c r="C6" i="15"/>
  <c r="C5" i="15"/>
  <c r="C2" i="15"/>
</calcChain>
</file>

<file path=xl/sharedStrings.xml><?xml version="1.0" encoding="utf-8"?>
<sst xmlns="http://schemas.openxmlformats.org/spreadsheetml/2006/main" count="798" uniqueCount="649">
  <si>
    <t>&lt;-增速</t>
    <phoneticPr fontId="1" type="noConversion"/>
  </si>
  <si>
    <t>&lt;-估值</t>
    <phoneticPr fontId="1" type="noConversion"/>
  </si>
  <si>
    <t>&lt;-折合年化收益</t>
    <phoneticPr fontId="1" type="noConversion"/>
  </si>
  <si>
    <t>现价</t>
  </si>
  <si>
    <t>市净率</t>
  </si>
  <si>
    <t>--</t>
  </si>
  <si>
    <t>代码</t>
  </si>
  <si>
    <t>总市值</t>
  </si>
  <si>
    <t>TTM市盈率</t>
  </si>
  <si>
    <t>所属行业</t>
  </si>
  <si>
    <t>预期多</t>
    <phoneticPr fontId="1" type="noConversion"/>
  </si>
  <si>
    <t>预期空</t>
    <phoneticPr fontId="1" type="noConversion"/>
  </si>
  <si>
    <t>已知和基本信息</t>
    <phoneticPr fontId="1" type="noConversion"/>
  </si>
  <si>
    <t>负债合计</t>
  </si>
  <si>
    <t>所有者权益合计</t>
  </si>
  <si>
    <t>主营业务收入</t>
  </si>
  <si>
    <t>净利润增长率</t>
  </si>
  <si>
    <t>总股本</t>
  </si>
  <si>
    <t>财务费用</t>
  </si>
  <si>
    <t>投资收益</t>
  </si>
  <si>
    <t>应收账款</t>
  </si>
  <si>
    <t>0亿</t>
  </si>
  <si>
    <t>1.60亿</t>
  </si>
  <si>
    <t>1.18亿</t>
  </si>
  <si>
    <t>1.93亿</t>
  </si>
  <si>
    <t>流动资产</t>
  </si>
  <si>
    <t>营业收入[20191231]</t>
  </si>
  <si>
    <t>营业收入[20181231]</t>
  </si>
  <si>
    <t>营业收入[20171231]</t>
  </si>
  <si>
    <t>营业收入[20161231]</t>
  </si>
  <si>
    <t>净利润[20191231]</t>
  </si>
  <si>
    <t>净利润[20181231]</t>
  </si>
  <si>
    <t>净利润[20171231]</t>
  </si>
  <si>
    <t>净利润[20161231]</t>
  </si>
  <si>
    <t>投入资本回报率roic%[20191231]</t>
  </si>
  <si>
    <t>净资产收益率%[20191231]</t>
  </si>
  <si>
    <t>销售毛利率%[20191231]</t>
  </si>
  <si>
    <t>销售净利率%[20191231]</t>
  </si>
  <si>
    <t>N-1年营收增速</t>
  </si>
  <si>
    <t>N-2年营收增速</t>
  </si>
  <si>
    <t>N-3年营收增速</t>
  </si>
  <si>
    <t>N-4年营收增速</t>
  </si>
  <si>
    <t>N-5年营收增速</t>
  </si>
  <si>
    <t>N-1年利润增速</t>
  </si>
  <si>
    <t>N-2年利润增速</t>
  </si>
  <si>
    <t>N-3年利润增速</t>
  </si>
  <si>
    <t>N-4年利润增速</t>
  </si>
  <si>
    <t>N-5年利润增速</t>
  </si>
  <si>
    <t>20增速</t>
  </si>
  <si>
    <t>当期自由现金流估计值</t>
  </si>
  <si>
    <t>自由现金流估计增速</t>
  </si>
  <si>
    <t>销售毛利率%[20201231]</t>
  </si>
  <si>
    <t>销售净利率%[20201231]</t>
  </si>
  <si>
    <t>2.22亿</t>
  </si>
  <si>
    <t>2.91亿</t>
  </si>
  <si>
    <t>2.53亿</t>
  </si>
  <si>
    <t>2.70亿</t>
  </si>
  <si>
    <t>10.02亿</t>
  </si>
  <si>
    <t>3.62亿</t>
  </si>
  <si>
    <t>23.64亿</t>
  </si>
  <si>
    <t>12.05亿</t>
  </si>
  <si>
    <t>7.84亿</t>
  </si>
  <si>
    <t>1.88亿</t>
  </si>
  <si>
    <t>2.25亿</t>
  </si>
  <si>
    <t>4.96亿</t>
  </si>
  <si>
    <t>1.27亿</t>
  </si>
  <si>
    <t>SZ000506</t>
  </si>
  <si>
    <t>贵金属</t>
  </si>
  <si>
    <t>4.25亿</t>
  </si>
  <si>
    <t>-4.93亿</t>
  </si>
  <si>
    <t>5.15亿</t>
  </si>
  <si>
    <t>-1820.46万</t>
  </si>
  <si>
    <t>4218.98万</t>
  </si>
  <si>
    <t>SZ000975</t>
  </si>
  <si>
    <t>银泰黄金</t>
  </si>
  <si>
    <t>79.06亿</t>
  </si>
  <si>
    <t>12.42亿</t>
  </si>
  <si>
    <t>51.49亿</t>
  </si>
  <si>
    <t>48.26亿</t>
  </si>
  <si>
    <t>8.64亿</t>
  </si>
  <si>
    <t>6.63亿</t>
  </si>
  <si>
    <t>SZ002155</t>
  </si>
  <si>
    <t>湖南黄金</t>
  </si>
  <si>
    <t>150.13亿</t>
  </si>
  <si>
    <t>138.29亿</t>
  </si>
  <si>
    <t>124.61亿</t>
  </si>
  <si>
    <t>SZ002237</t>
  </si>
  <si>
    <t>恒邦股份</t>
  </si>
  <si>
    <t>360.53亿</t>
  </si>
  <si>
    <t>3.66亿</t>
  </si>
  <si>
    <t>285.36亿</t>
  </si>
  <si>
    <t>212.01亿</t>
  </si>
  <si>
    <t>3.06亿</t>
  </si>
  <si>
    <t>4.06亿</t>
  </si>
  <si>
    <t>1.35亿</t>
  </si>
  <si>
    <t>SZ002716</t>
  </si>
  <si>
    <t>61.99亿</t>
  </si>
  <si>
    <t>106.57亿</t>
  </si>
  <si>
    <t>-43.49亿</t>
  </si>
  <si>
    <t>1.64亿</t>
  </si>
  <si>
    <t>SH600489</t>
  </si>
  <si>
    <t>中金黄金</t>
  </si>
  <si>
    <t>479.95亿</t>
  </si>
  <si>
    <t>15.55亿</t>
  </si>
  <si>
    <t>425.41亿</t>
  </si>
  <si>
    <t>344.52亿</t>
  </si>
  <si>
    <t>329.28亿</t>
  </si>
  <si>
    <t>389.28亿</t>
  </si>
  <si>
    <t>7.93亿</t>
  </si>
  <si>
    <t>SH600547</t>
  </si>
  <si>
    <t>山东黄金</t>
  </si>
  <si>
    <t>626.31亿</t>
  </si>
  <si>
    <t>562.56亿</t>
  </si>
  <si>
    <t>12.89亿</t>
  </si>
  <si>
    <t>10.24亿</t>
  </si>
  <si>
    <t>SH600988</t>
  </si>
  <si>
    <t>赤峰黄金</t>
  </si>
  <si>
    <t>45.58亿</t>
  </si>
  <si>
    <t>60.68亿</t>
  </si>
  <si>
    <t>-5123.13万</t>
  </si>
  <si>
    <t>SH601069</t>
  </si>
  <si>
    <t>西部黄金</t>
  </si>
  <si>
    <t>55.55亿</t>
  </si>
  <si>
    <t>7748.75万</t>
  </si>
  <si>
    <t>38.63亿</t>
  </si>
  <si>
    <t>4106.87万</t>
  </si>
  <si>
    <t>972.03万</t>
  </si>
  <si>
    <t>流通股本</t>
  </si>
  <si>
    <t>净利润[20201231]</t>
  </si>
  <si>
    <t>投入资本回报率roic%[20201231]</t>
  </si>
  <si>
    <t>净资产收益率%[20201231]</t>
  </si>
  <si>
    <t>9.06亿</t>
  </si>
  <si>
    <t>-1.29亿</t>
  </si>
  <si>
    <t>90.40亿</t>
  </si>
  <si>
    <t>12.73亿</t>
  </si>
  <si>
    <t>198.46亿</t>
  </si>
  <si>
    <t>3.63亿</t>
  </si>
  <si>
    <t>413.83亿</t>
  </si>
  <si>
    <t>4.55亿</t>
  </si>
  <si>
    <t>19.89亿</t>
  </si>
  <si>
    <t>1493.59万</t>
  </si>
  <si>
    <t>SZ300139</t>
  </si>
  <si>
    <t>晓程科技</t>
  </si>
  <si>
    <t>7864.18万</t>
  </si>
  <si>
    <t>1.85亿</t>
  </si>
  <si>
    <t>3.60亿</t>
  </si>
  <si>
    <t>-9894.12万</t>
  </si>
  <si>
    <t>-8010.21万</t>
  </si>
  <si>
    <t>431.79万</t>
  </si>
  <si>
    <t>561.02亿</t>
  </si>
  <si>
    <t>16.98亿</t>
  </si>
  <si>
    <t>339.35亿</t>
  </si>
  <si>
    <t>-1.94亿</t>
  </si>
  <si>
    <t>636.65亿</t>
  </si>
  <si>
    <t>20.25亿</t>
  </si>
  <si>
    <t>37.83亿</t>
  </si>
  <si>
    <t>5.83亿</t>
  </si>
  <si>
    <t xml:space="preserve">    名称</t>
  </si>
  <si>
    <t>LY营业总收入[20211231]</t>
  </si>
  <si>
    <t>净利润?</t>
  </si>
  <si>
    <t>权益乘数[20220630]</t>
  </si>
  <si>
    <t>总资产周转率[20220630]</t>
  </si>
  <si>
    <t>净利润／营业总收入%[20220630]</t>
  </si>
  <si>
    <t>营业总成本[20220630]</t>
  </si>
  <si>
    <t>营业成本[20220630]</t>
  </si>
  <si>
    <t>管理费用[20220630]</t>
  </si>
  <si>
    <t>研发费用总额[20220630]</t>
  </si>
  <si>
    <t>扣非净利润</t>
  </si>
  <si>
    <t>营业总收入[20201231]</t>
  </si>
  <si>
    <t>投入资本回报率roic%[20211231]</t>
  </si>
  <si>
    <t>净资产收益率%[20211231]</t>
  </si>
  <si>
    <t>细分行业</t>
  </si>
  <si>
    <t>单季营收增速</t>
  </si>
  <si>
    <t>单季利润增速</t>
  </si>
  <si>
    <t>扣非对比净利润</t>
    <phoneticPr fontId="1" type="noConversion"/>
  </si>
  <si>
    <t>过往营收增速均值</t>
    <phoneticPr fontId="1" type="noConversion"/>
  </si>
  <si>
    <t>过往利润增速均值</t>
    <phoneticPr fontId="1" type="noConversion"/>
  </si>
  <si>
    <t>折现率</t>
    <phoneticPr fontId="1" type="noConversion"/>
  </si>
  <si>
    <t>1年自由现金流折现</t>
    <phoneticPr fontId="1" type="noConversion"/>
  </si>
  <si>
    <t>6年自由现金流折现</t>
    <phoneticPr fontId="1" type="noConversion"/>
  </si>
  <si>
    <t>10年自由现金流折现</t>
    <phoneticPr fontId="1" type="noConversion"/>
  </si>
  <si>
    <t>10增速</t>
    <phoneticPr fontId="1" type="noConversion"/>
  </si>
  <si>
    <t>20年自由现金流折现</t>
    <phoneticPr fontId="1" type="noConversion"/>
  </si>
  <si>
    <t>原始顺序</t>
    <phoneticPr fontId="1" type="noConversion"/>
  </si>
  <si>
    <t>策略1营收单季最佳增速</t>
    <phoneticPr fontId="1" type="noConversion"/>
  </si>
  <si>
    <t>策略1利润单季最佳增速</t>
    <phoneticPr fontId="1" type="noConversion"/>
  </si>
  <si>
    <t>利润成长策略</t>
    <phoneticPr fontId="1" type="noConversion"/>
  </si>
  <si>
    <t>营收和利润加权</t>
    <phoneticPr fontId="1" type="noConversion"/>
  </si>
  <si>
    <t>价格变动策略</t>
    <phoneticPr fontId="1" type="noConversion"/>
  </si>
  <si>
    <t>成交量综合策略</t>
    <phoneticPr fontId="1" type="noConversion"/>
  </si>
  <si>
    <t>基本面排序</t>
    <phoneticPr fontId="1" type="noConversion"/>
  </si>
  <si>
    <t>机会区域号</t>
    <phoneticPr fontId="1" type="noConversion"/>
  </si>
  <si>
    <t>昨日价格累计指数</t>
    <phoneticPr fontId="1" type="noConversion"/>
  </si>
  <si>
    <t>今日价格累积指数</t>
    <phoneticPr fontId="1" type="noConversion"/>
  </si>
  <si>
    <t>成交量异动策略</t>
    <phoneticPr fontId="1" type="noConversion"/>
  </si>
  <si>
    <t>N-2</t>
    <phoneticPr fontId="1" type="noConversion"/>
  </si>
  <si>
    <t>N</t>
    <phoneticPr fontId="1" type="noConversion"/>
  </si>
  <si>
    <t>扭亏</t>
  </si>
  <si>
    <t>1.78亿</t>
  </si>
  <si>
    <t>1.10亿</t>
  </si>
  <si>
    <t/>
  </si>
  <si>
    <t>4.43亿</t>
  </si>
  <si>
    <t>2.01亿</t>
  </si>
  <si>
    <t>263.14亿</t>
  </si>
  <si>
    <t>9.02亿</t>
  </si>
  <si>
    <t>1.77亿</t>
  </si>
  <si>
    <t>13.87亿</t>
  </si>
  <si>
    <t>涨幅</t>
  </si>
  <si>
    <t>成交量[20221212]</t>
  </si>
  <si>
    <t>营业收入(同比增长率) %[20220930]</t>
  </si>
  <si>
    <t>LY净利润[20211231]</t>
  </si>
  <si>
    <t>销售费用[20220930]</t>
  </si>
  <si>
    <t>其他收入[20220930]</t>
  </si>
  <si>
    <t>货币资金[20220930]</t>
  </si>
  <si>
    <t>应收票据[20220930]</t>
  </si>
  <si>
    <t>固定资产[20220930]</t>
  </si>
  <si>
    <t>在建工程[20220930]</t>
  </si>
  <si>
    <t>短期借款[20220930]</t>
  </si>
  <si>
    <t>应付票据[20220930]</t>
  </si>
  <si>
    <t>应付账款[20220930]</t>
  </si>
  <si>
    <t>预收款项[20220930]</t>
  </si>
  <si>
    <t>流动负债[20220930]</t>
  </si>
  <si>
    <t>长期借款[20220930]</t>
  </si>
  <si>
    <t>经营活动产生的现金流量净额[20220930]</t>
  </si>
  <si>
    <t>投资活动产生的现金流量净额[20220930]</t>
  </si>
  <si>
    <t>筹资活动产生的现金流量净额[20220930]</t>
  </si>
  <si>
    <t>CYLQ营业收入[20220630]</t>
  </si>
  <si>
    <t>LYCQ营业收入[20210930]</t>
  </si>
  <si>
    <t>LYLQ营业收入[20210630]</t>
  </si>
  <si>
    <t>CYLQ净利润[20220630]</t>
  </si>
  <si>
    <t>LYCQ净利润[20210930]</t>
  </si>
  <si>
    <t>LYLQ净利润[20210630]</t>
  </si>
  <si>
    <t>分红明细[20211231]</t>
  </si>
  <si>
    <t>销售毛利率%[20220630]</t>
  </si>
  <si>
    <t>销售净利率%[20220630]</t>
  </si>
  <si>
    <t>区间涨跌幅:前复权%[20221206-20221212]</t>
  </si>
  <si>
    <t>指数@区间涨跌幅:不复权%[20221101-20221212]</t>
  </si>
  <si>
    <t>指数@区间成交量[20221206-20221212]</t>
  </si>
  <si>
    <t>指数@区间成交量[20221101-20221212]</t>
  </si>
  <si>
    <t>市销率</t>
    <phoneticPr fontId="1" type="noConversion"/>
  </si>
  <si>
    <t>股利率</t>
    <phoneticPr fontId="1" type="noConversion"/>
  </si>
  <si>
    <t>1增速</t>
    <phoneticPr fontId="1" type="noConversion"/>
  </si>
  <si>
    <t>3年自由现金流折现</t>
    <phoneticPr fontId="1" type="noConversion"/>
  </si>
  <si>
    <t>3增速</t>
    <phoneticPr fontId="1" type="noConversion"/>
  </si>
  <si>
    <t>6增速</t>
    <phoneticPr fontId="1" type="noConversion"/>
  </si>
  <si>
    <t>承担负债现期溢价</t>
    <phoneticPr fontId="1" type="noConversion"/>
  </si>
  <si>
    <t>清算价格</t>
    <phoneticPr fontId="1" type="noConversion"/>
  </si>
  <si>
    <t>营收成长策略</t>
    <phoneticPr fontId="1" type="noConversion"/>
  </si>
  <si>
    <t>量价齐升策略</t>
    <phoneticPr fontId="1" type="noConversion"/>
  </si>
  <si>
    <t>综合策略</t>
    <phoneticPr fontId="1" type="noConversion"/>
  </si>
  <si>
    <t>5日成交换手率</t>
    <phoneticPr fontId="1" type="noConversion"/>
  </si>
  <si>
    <t>30日成交换手率</t>
    <phoneticPr fontId="1" type="noConversion"/>
  </si>
  <si>
    <t>价格箱体形态过滤</t>
    <phoneticPr fontId="1" type="noConversion"/>
  </si>
  <si>
    <t>价格右侧初期策略</t>
    <phoneticPr fontId="1" type="noConversion"/>
  </si>
  <si>
    <t>N日期</t>
    <phoneticPr fontId="1" type="noConversion"/>
  </si>
  <si>
    <t>N-4</t>
    <phoneticPr fontId="1" type="noConversion"/>
  </si>
  <si>
    <t>N-3</t>
    <phoneticPr fontId="1" type="noConversion"/>
  </si>
  <si>
    <t>N-1</t>
    <phoneticPr fontId="1" type="noConversion"/>
  </si>
  <si>
    <t>11.39亿</t>
  </si>
  <si>
    <t>不分配不转增</t>
  </si>
  <si>
    <t>1.89亿</t>
  </si>
  <si>
    <t>10派2.5元(含税)</t>
  </si>
  <si>
    <t>2.11亿</t>
  </si>
  <si>
    <t>2.77亿</t>
  </si>
  <si>
    <t>1.39亿</t>
  </si>
  <si>
    <t>3.88亿</t>
  </si>
  <si>
    <t>4.86亿</t>
  </si>
  <si>
    <t>215.49亿</t>
  </si>
  <si>
    <t>278.17亿</t>
  </si>
  <si>
    <t>40035923000亿</t>
  </si>
  <si>
    <t>375.17亿</t>
  </si>
  <si>
    <t>350.23亿</t>
  </si>
  <si>
    <t>5966.66万</t>
  </si>
  <si>
    <t>12.31亿</t>
  </si>
  <si>
    <t>108999715亿</t>
  </si>
  <si>
    <t>9804.68万</t>
  </si>
  <si>
    <t>1593841900亿</t>
  </si>
  <si>
    <t>68.49亿</t>
  </si>
  <si>
    <t>167218050亿</t>
  </si>
  <si>
    <t>362.59万</t>
  </si>
  <si>
    <t>23447997000亿</t>
  </si>
  <si>
    <t>17.53亿</t>
  </si>
  <si>
    <t>94.43亿</t>
  </si>
  <si>
    <t>6720.28万</t>
  </si>
  <si>
    <t>18.99亿</t>
  </si>
  <si>
    <t>141.70万</t>
  </si>
  <si>
    <t>176.95亿</t>
  </si>
  <si>
    <t>25.76亿</t>
  </si>
  <si>
    <t>8.59亿</t>
  </si>
  <si>
    <t>-2.78亿</t>
  </si>
  <si>
    <t>-11.58亿</t>
  </si>
  <si>
    <t>256.15亿</t>
  </si>
  <si>
    <t>410.32亿</t>
  </si>
  <si>
    <t>12.06亿</t>
  </si>
  <si>
    <t>10派2.243元(含税)</t>
  </si>
  <si>
    <t>3.11亿</t>
  </si>
  <si>
    <t>3879.56万</t>
  </si>
  <si>
    <t>1.53亿</t>
  </si>
  <si>
    <t>9.43亿</t>
  </si>
  <si>
    <t xml:space="preserve">
</t>
    <phoneticPr fontId="1" type="noConversion"/>
  </si>
  <si>
    <t>*ST中润</t>
  </si>
  <si>
    <t>1.43亿</t>
  </si>
  <si>
    <t>9.98亿</t>
  </si>
  <si>
    <t>12.95亿</t>
  </si>
  <si>
    <t>4998.35万</t>
  </si>
  <si>
    <t>2.84亿</t>
  </si>
  <si>
    <t>3001.73万</t>
  </si>
  <si>
    <t>8478.03万</t>
  </si>
  <si>
    <t>5862.96万</t>
  </si>
  <si>
    <t>1253.97万</t>
  </si>
  <si>
    <t>-28167032亿</t>
  </si>
  <si>
    <t>499.56万</t>
  </si>
  <si>
    <t>214950650亿</t>
  </si>
  <si>
    <t>2509.60万</t>
  </si>
  <si>
    <t>8517.74万</t>
  </si>
  <si>
    <t>7548.06万</t>
  </si>
  <si>
    <t>9.37亿</t>
  </si>
  <si>
    <t>-113.42万</t>
  </si>
  <si>
    <t>-508.72万</t>
  </si>
  <si>
    <t>615.24万</t>
  </si>
  <si>
    <t>7087.67万</t>
  </si>
  <si>
    <t>-3789.80万</t>
  </si>
  <si>
    <t>5.49亿</t>
  </si>
  <si>
    <t>14.81亿</t>
  </si>
  <si>
    <t>-3-1</t>
  </si>
  <si>
    <t>4783.09万</t>
  </si>
  <si>
    <t>29.30亿</t>
  </si>
  <si>
    <t>138.88亿</t>
  </si>
  <si>
    <t>27.73亿</t>
  </si>
  <si>
    <t>81.06亿</t>
  </si>
  <si>
    <t>14.24亿</t>
  </si>
  <si>
    <t>20.48亿</t>
  </si>
  <si>
    <t>19.19亿</t>
  </si>
  <si>
    <t>100.53万</t>
  </si>
  <si>
    <t>7347.97万</t>
  </si>
  <si>
    <t>5080481亿</t>
  </si>
  <si>
    <t>15.22万</t>
  </si>
  <si>
    <t>499571700亿</t>
  </si>
  <si>
    <t>35.25亿</t>
  </si>
  <si>
    <t>97120627亿</t>
  </si>
  <si>
    <t>6205654300亿</t>
  </si>
  <si>
    <t>4.23亿</t>
  </si>
  <si>
    <t>2.55亿</t>
  </si>
  <si>
    <t>8.75亿</t>
  </si>
  <si>
    <t>1.83亿</t>
  </si>
  <si>
    <t>20.24亿</t>
  </si>
  <si>
    <t>6408.12万</t>
  </si>
  <si>
    <t>10.53亿</t>
  </si>
  <si>
    <t>-3244.52万</t>
  </si>
  <si>
    <t>-7078.77万</t>
  </si>
  <si>
    <t>83.82亿</t>
  </si>
  <si>
    <t>11.23亿</t>
  </si>
  <si>
    <t>21.92亿</t>
  </si>
  <si>
    <t>2.96亿</t>
  </si>
  <si>
    <t>10派2.8元(含税)</t>
  </si>
  <si>
    <t>11.55亿</t>
  </si>
  <si>
    <t>SZ001337</t>
  </si>
  <si>
    <t>四川黄金</t>
  </si>
  <si>
    <t>740.26万</t>
  </si>
  <si>
    <t>4.95亿</t>
  </si>
  <si>
    <t>14.37亿</t>
  </si>
  <si>
    <t>1.90亿</t>
  </si>
  <si>
    <t>6.29亿</t>
  </si>
  <si>
    <t>1.02亿</t>
  </si>
  <si>
    <t>8221.00万</t>
  </si>
  <si>
    <t>59.01万</t>
  </si>
  <si>
    <t>1073.57万</t>
  </si>
  <si>
    <t>2177089亿</t>
  </si>
  <si>
    <t>76491742亿</t>
  </si>
  <si>
    <t>6.64亿</t>
  </si>
  <si>
    <t>819172860亿</t>
  </si>
  <si>
    <t>5.52亿</t>
  </si>
  <si>
    <t>3864.53万</t>
  </si>
  <si>
    <t>9560.67万</t>
  </si>
  <si>
    <t>-6100.91万</t>
  </si>
  <si>
    <t>4.72亿</t>
  </si>
  <si>
    <t>5.26亿</t>
  </si>
  <si>
    <t>5.43亿</t>
  </si>
  <si>
    <t>3.78亿</t>
  </si>
  <si>
    <t>3.52亿</t>
  </si>
  <si>
    <t>1.99亿</t>
  </si>
  <si>
    <t>2.02亿</t>
  </si>
  <si>
    <t>1.23亿</t>
  </si>
  <si>
    <t>6185.59万</t>
  </si>
  <si>
    <t>2050.76万</t>
  </si>
  <si>
    <t>1.70亿</t>
  </si>
  <si>
    <t>6-1</t>
  </si>
  <si>
    <t>4413.91万</t>
  </si>
  <si>
    <t>12.94亿</t>
  </si>
  <si>
    <t>64.46亿</t>
  </si>
  <si>
    <t>78.18亿</t>
  </si>
  <si>
    <t>233.03亿</t>
  </si>
  <si>
    <t>4.89亿</t>
  </si>
  <si>
    <t>76.24亿</t>
  </si>
  <si>
    <t>73.76亿</t>
  </si>
  <si>
    <t>457.23万</t>
  </si>
  <si>
    <t>1.46亿</t>
  </si>
  <si>
    <t>60376亿</t>
  </si>
  <si>
    <t>21.78万</t>
  </si>
  <si>
    <t>158981500亿</t>
  </si>
  <si>
    <t>5.35亿</t>
  </si>
  <si>
    <t>268074740亿</t>
  </si>
  <si>
    <t>1683443500亿</t>
  </si>
  <si>
    <t>1.15亿</t>
  </si>
  <si>
    <t>8398.87万</t>
  </si>
  <si>
    <t>9.22亿</t>
  </si>
  <si>
    <t>-2.10亿</t>
  </si>
  <si>
    <t>-7664.83万</t>
  </si>
  <si>
    <t>-1.32万</t>
  </si>
  <si>
    <t>210.41亿</t>
  </si>
  <si>
    <t>4.40亿</t>
  </si>
  <si>
    <t>56.72亿</t>
  </si>
  <si>
    <t>1.06亿</t>
  </si>
  <si>
    <t>10派1.3元(含税)</t>
  </si>
  <si>
    <t>2.23亿</t>
  </si>
  <si>
    <t>16.23亿</t>
  </si>
  <si>
    <t>3-1</t>
  </si>
  <si>
    <t>1475.53万</t>
  </si>
  <si>
    <t>127.23亿</t>
  </si>
  <si>
    <t>93.22亿</t>
  </si>
  <si>
    <t>208.08亿</t>
  </si>
  <si>
    <t>655.77亿</t>
  </si>
  <si>
    <t>5.16亿</t>
  </si>
  <si>
    <t>205.20亿</t>
  </si>
  <si>
    <t>202.44亿</t>
  </si>
  <si>
    <t>816.06万</t>
  </si>
  <si>
    <t>-76624485亿</t>
  </si>
  <si>
    <t>49.37万</t>
  </si>
  <si>
    <t>254979170亿</t>
  </si>
  <si>
    <t>62.20亿</t>
  </si>
  <si>
    <t>12562911亿</t>
  </si>
  <si>
    <t>17204521000亿</t>
  </si>
  <si>
    <t>16.35亿</t>
  </si>
  <si>
    <t>47.50亿</t>
  </si>
  <si>
    <t>6911.93万</t>
  </si>
  <si>
    <t>20.70亿</t>
  </si>
  <si>
    <t>719.69万</t>
  </si>
  <si>
    <t>81.98亿</t>
  </si>
  <si>
    <t>26.87亿</t>
  </si>
  <si>
    <t>12.66亿</t>
  </si>
  <si>
    <t>-7.69亿</t>
  </si>
  <si>
    <t>9.96亿</t>
  </si>
  <si>
    <t>500.47亿</t>
  </si>
  <si>
    <t>4.99亿</t>
  </si>
  <si>
    <t>166.49亿</t>
  </si>
  <si>
    <t>10派1.349978元(含税)</t>
  </si>
  <si>
    <t>4941.90万</t>
  </si>
  <si>
    <t>4.13亿</t>
  </si>
  <si>
    <t>湖南白银</t>
  </si>
  <si>
    <t>5802.32万</t>
  </si>
  <si>
    <t>25.38亿</t>
  </si>
  <si>
    <t>31.25亿</t>
  </si>
  <si>
    <t>15.88亿</t>
  </si>
  <si>
    <t>51.39亿</t>
  </si>
  <si>
    <t>-1.61亿</t>
  </si>
  <si>
    <t>15.69亿</t>
  </si>
  <si>
    <t>156.23万</t>
  </si>
  <si>
    <t>2709.08万</t>
  </si>
  <si>
    <t>305461亿</t>
  </si>
  <si>
    <t>5250.99万</t>
  </si>
  <si>
    <t>-47941395亿</t>
  </si>
  <si>
    <t>4.92亿</t>
  </si>
  <si>
    <t>4184575亿</t>
  </si>
  <si>
    <t>2043383600亿</t>
  </si>
  <si>
    <t>600.97万</t>
  </si>
  <si>
    <t>191.26万</t>
  </si>
  <si>
    <t>18.54亿</t>
  </si>
  <si>
    <t>3.35亿</t>
  </si>
  <si>
    <t>1733.64万</t>
  </si>
  <si>
    <t>124.27万</t>
  </si>
  <si>
    <t>33.94亿</t>
  </si>
  <si>
    <t>-1.67亿</t>
  </si>
  <si>
    <t>10.93亿</t>
  </si>
  <si>
    <t>-508.40万</t>
  </si>
  <si>
    <t>2.30亿</t>
  </si>
  <si>
    <t>23.46亿</t>
  </si>
  <si>
    <t>2-1</t>
  </si>
  <si>
    <t>5082.29万</t>
  </si>
  <si>
    <t>1.41亿</t>
  </si>
  <si>
    <t>10.08亿</t>
  </si>
  <si>
    <t>7272.14万</t>
  </si>
  <si>
    <t>2.37亿</t>
  </si>
  <si>
    <t>-3437.78万</t>
  </si>
  <si>
    <t>5778.39万</t>
  </si>
  <si>
    <t>3717.60万</t>
  </si>
  <si>
    <t>131.37万</t>
  </si>
  <si>
    <t>1967.08万</t>
  </si>
  <si>
    <t>3477604亿</t>
  </si>
  <si>
    <t>8154553亿</t>
  </si>
  <si>
    <t>3.47亿</t>
  </si>
  <si>
    <t>84659533亿</t>
  </si>
  <si>
    <t>526712340亿</t>
  </si>
  <si>
    <t>1240.75万</t>
  </si>
  <si>
    <t>1931.09万</t>
  </si>
  <si>
    <t>280.42万</t>
  </si>
  <si>
    <t>1.04亿</t>
  </si>
  <si>
    <t>104.63万</t>
  </si>
  <si>
    <t>155.60万</t>
  </si>
  <si>
    <t>2.19亿</t>
  </si>
  <si>
    <t>-8262.83万</t>
  </si>
  <si>
    <t>5812.04万</t>
  </si>
  <si>
    <t>-1796.57万</t>
  </si>
  <si>
    <t>1.80亿</t>
  </si>
  <si>
    <t>14.94亿</t>
  </si>
  <si>
    <t>1-1</t>
  </si>
  <si>
    <t>4091.31万</t>
  </si>
  <si>
    <t>813.40亿</t>
  </si>
  <si>
    <t>542.51亿</t>
  </si>
  <si>
    <t>189.57亿</t>
  </si>
  <si>
    <t>92.95亿</t>
  </si>
  <si>
    <t>23.27亿</t>
  </si>
  <si>
    <t>175.56亿</t>
  </si>
  <si>
    <t>161.96亿</t>
  </si>
  <si>
    <t>3896.57万</t>
  </si>
  <si>
    <t>6.00亿</t>
  </si>
  <si>
    <t>-22131272亿</t>
  </si>
  <si>
    <t>119.13万</t>
  </si>
  <si>
    <t>709669150亿</t>
  </si>
  <si>
    <t>119.03亿</t>
  </si>
  <si>
    <t>671070920亿</t>
  </si>
  <si>
    <t>3.54亿</t>
  </si>
  <si>
    <t>32574811000亿</t>
  </si>
  <si>
    <t>110.27亿</t>
  </si>
  <si>
    <t>229.36亿</t>
  </si>
  <si>
    <t>41.79亿</t>
  </si>
  <si>
    <t>69.55亿</t>
  </si>
  <si>
    <t>133.06万</t>
  </si>
  <si>
    <t>538.29亿</t>
  </si>
  <si>
    <t>242.19亿</t>
  </si>
  <si>
    <t>17.34亿</t>
  </si>
  <si>
    <t>-48.95亿</t>
  </si>
  <si>
    <t>52.53亿</t>
  </si>
  <si>
    <t>503.06亿</t>
  </si>
  <si>
    <t>12.48亿</t>
  </si>
  <si>
    <t>592.75亿</t>
  </si>
  <si>
    <t>19.04亿</t>
  </si>
  <si>
    <t>23.28亿</t>
  </si>
  <si>
    <t>10派1.4元(含税)</t>
  </si>
  <si>
    <t>6.60亿</t>
  </si>
  <si>
    <t>02327000000</t>
  </si>
  <si>
    <t>06981000000</t>
  </si>
  <si>
    <t>013962000000</t>
  </si>
  <si>
    <t>023270000000</t>
  </si>
  <si>
    <t>046540000000</t>
  </si>
  <si>
    <t>5850.83万</t>
  </si>
  <si>
    <t>101.76亿</t>
  </si>
  <si>
    <t>89.51亿</t>
  </si>
  <si>
    <t>291.36亿</t>
  </si>
  <si>
    <t>56.51亿</t>
  </si>
  <si>
    <t>14.84亿</t>
  </si>
  <si>
    <t>12.34亿</t>
  </si>
  <si>
    <t>9.44万</t>
  </si>
  <si>
    <t>-42377631亿</t>
  </si>
  <si>
    <t>9.00万</t>
  </si>
  <si>
    <t>204645050亿</t>
  </si>
  <si>
    <t>17.29亿</t>
  </si>
  <si>
    <t>492236470亿</t>
  </si>
  <si>
    <t>5051285900亿</t>
  </si>
  <si>
    <t>8.09亿</t>
  </si>
  <si>
    <t>10.15亿</t>
  </si>
  <si>
    <t>4.35亿</t>
  </si>
  <si>
    <t>36.03亿</t>
  </si>
  <si>
    <t>13.16亿</t>
  </si>
  <si>
    <t>-3.48亿</t>
  </si>
  <si>
    <t>320.62万</t>
  </si>
  <si>
    <t>62.67亿</t>
  </si>
  <si>
    <t>4.51亿</t>
  </si>
  <si>
    <t>72.21亿</t>
  </si>
  <si>
    <t>67.33亿</t>
  </si>
  <si>
    <t>8.04亿</t>
  </si>
  <si>
    <t>11.85亿</t>
  </si>
  <si>
    <t>10派0.5元(含税)</t>
  </si>
  <si>
    <t>1.98亿</t>
  </si>
  <si>
    <t>11.04亿</t>
  </si>
  <si>
    <t>-2-0</t>
  </si>
  <si>
    <t>SH601028</t>
  </si>
  <si>
    <t>XD玉龙股</t>
  </si>
  <si>
    <t>4417.79万</t>
  </si>
  <si>
    <t>65.05亿</t>
  </si>
  <si>
    <t>34.14亿</t>
  </si>
  <si>
    <t>3.80亿</t>
  </si>
  <si>
    <t>35.36亿</t>
  </si>
  <si>
    <t>7.35亿</t>
  </si>
  <si>
    <t>2.35亿</t>
  </si>
  <si>
    <t>1.61亿</t>
  </si>
  <si>
    <t>287.17万</t>
  </si>
  <si>
    <t>2662.85万</t>
  </si>
  <si>
    <t>-335466亿</t>
  </si>
  <si>
    <t>109879264亿</t>
  </si>
  <si>
    <t>1781536100亿</t>
  </si>
  <si>
    <t>9000.00万</t>
  </si>
  <si>
    <t>6867568100亿</t>
  </si>
  <si>
    <t>5362.75万</t>
  </si>
  <si>
    <t>10.61亿</t>
  </si>
  <si>
    <t>4.24亿</t>
  </si>
  <si>
    <t>3.75亿</t>
  </si>
  <si>
    <t>43.70亿</t>
  </si>
  <si>
    <t>-1.64亿</t>
  </si>
  <si>
    <t>-1.01亿</t>
  </si>
  <si>
    <t>10.14亿</t>
  </si>
  <si>
    <t>109.36亿</t>
  </si>
  <si>
    <t>113.52亿</t>
  </si>
  <si>
    <t>119.08亿</t>
  </si>
  <si>
    <t>18.39亿</t>
  </si>
  <si>
    <t>15.23亿</t>
  </si>
  <si>
    <t>3.64亿</t>
  </si>
  <si>
    <t>1.17亿</t>
  </si>
  <si>
    <t>2041.54万</t>
  </si>
  <si>
    <t>2188.02万</t>
  </si>
  <si>
    <t>24.24亿</t>
  </si>
  <si>
    <t>8.80亿</t>
  </si>
  <si>
    <t>4.45亿</t>
  </si>
  <si>
    <t>2.24亿</t>
  </si>
  <si>
    <t>1.16亿</t>
  </si>
  <si>
    <t>-2-1</t>
  </si>
  <si>
    <t>1555.71万</t>
  </si>
  <si>
    <t>23.61亿</t>
  </si>
  <si>
    <t>44.18亿</t>
  </si>
  <si>
    <t>14.28亿</t>
  </si>
  <si>
    <t>279.56亿</t>
  </si>
  <si>
    <t>109.02亿</t>
  </si>
  <si>
    <t>13.54亿</t>
  </si>
  <si>
    <t>12.70亿</t>
  </si>
  <si>
    <t>66.53万</t>
  </si>
  <si>
    <t>5243.80万</t>
  </si>
  <si>
    <t>-13158568亿</t>
  </si>
  <si>
    <t>13.85万</t>
  </si>
  <si>
    <t>48127819亿</t>
  </si>
  <si>
    <t>7.39亿</t>
  </si>
  <si>
    <t>513092270亿</t>
  </si>
  <si>
    <t>2099697400亿</t>
  </si>
  <si>
    <t>2.06亿</t>
  </si>
  <si>
    <t>3.50亿</t>
  </si>
  <si>
    <t>8.56万</t>
  </si>
  <si>
    <t>9.85亿</t>
  </si>
  <si>
    <t>3.03亿</t>
  </si>
  <si>
    <t>2.32亿</t>
  </si>
  <si>
    <t>-7634.08万</t>
  </si>
  <si>
    <t>-1.37亿</t>
  </si>
  <si>
    <t>44.98亿</t>
  </si>
  <si>
    <t>55.36亿</t>
  </si>
  <si>
    <t>3.68亿</t>
  </si>
  <si>
    <t>44.68亿</t>
  </si>
  <si>
    <t>73.39亿</t>
  </si>
  <si>
    <t>-2.74亿</t>
  </si>
  <si>
    <t>39.51亿</t>
  </si>
  <si>
    <t>5129.29万</t>
  </si>
  <si>
    <t>4.32亿</t>
  </si>
  <si>
    <t>4-0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</si>
</sst>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7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indexed="8"/>
      <name val="Calibri"/>
      <family val="2"/>
    </font>
    <font>
      <sz val="9"/>
      <color theme="1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sz val="11"/>
      <name val="宋体"/>
      <family val="2"/>
      <charset val="134"/>
      <scheme val="minor"/>
    </font>
    <font>
      <sz val="11"/>
      <color rgb="FF000000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 applyFill="0" applyProtection="0"/>
  </cellStyleXfs>
  <cellXfs count="14">
    <xf numFmtId="0" fontId="0" fillId="0" borderId="0" xfId="0">
      <alignment vertical="center"/>
    </xf>
    <xf numFmtId="0" fontId="0" fillId="0" borderId="0" xfId="0" applyFill="1">
      <alignment vertical="center"/>
    </xf>
    <xf numFmtId="0" fontId="0" fillId="2" borderId="0" xfId="0" applyFill="1">
      <alignment vertical="center"/>
    </xf>
    <xf numFmtId="0" fontId="0" fillId="0" borderId="1" xfId="0" applyNumberFormat="1" applyFill="1" applyBorder="1" applyAlignment="1">
      <alignment vertical="center" wrapText="1"/>
    </xf>
    <xf numFmtId="0" fontId="0" fillId="3" borderId="1" xfId="0" applyNumberFormat="1" applyFill="1" applyBorder="1" applyAlignment="1">
      <alignment vertical="center" wrapText="1"/>
    </xf>
    <xf numFmtId="10" fontId="0" fillId="0" borderId="0" xfId="0" applyNumberFormat="1">
      <alignment vertical="center"/>
    </xf>
    <xf numFmtId="0" fontId="3" fillId="0" borderId="0" xfId="0" applyFont="1" applyAlignment="1">
      <alignment vertical="center" wrapText="1"/>
    </xf>
    <xf numFmtId="0" fontId="5" fillId="0" borderId="0" xfId="0" applyFont="1" applyFill="1">
      <alignment vertical="center"/>
    </xf>
    <xf numFmtId="14" fontId="0" fillId="0" borderId="0" xfId="0" applyNumberFormat="1">
      <alignment vertical="center"/>
    </xf>
    <xf numFmtId="0" fontId="0" fillId="4" borderId="0" xfId="0" applyFill="1">
      <alignment vertical="center"/>
    </xf>
    <xf numFmtId="0" fontId="0" fillId="5" borderId="0" xfId="0" applyFill="1">
      <alignment vertical="center"/>
    </xf>
    <xf numFmtId="0" fontId="5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NumberFormat="1">
      <alignment vertical="center"/>
    </xf>
  </cellXfs>
  <cellStyles count="2">
    <cellStyle name="常规" xfId="0" builtinId="0"/>
    <cellStyle name="常规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147</xdr:col>
          <xdr:colOff>400050</xdr:colOff>
          <xdr:row>0</xdr:row>
          <xdr:rowOff>101600</xdr:rowOff>
        </xdr:from>
        <xdr:to>
          <xdr:col>147</xdr:col>
          <xdr:colOff>1574800</xdr:colOff>
          <xdr:row>0</xdr:row>
          <xdr:rowOff>412750</xdr:rowOff>
        </xdr:to>
        <xdr:sp macro="" textlink="">
          <xdr:nvSpPr>
            <xdr:cNvPr id="2050" name="Button 2" descr="更新基本面按钮&#10;" hidden="1">
              <a:extLst>
                <a:ext uri="{63B3BB69-23CF-44E3-9099-C40C66FF867C}">
                  <a14:compatExt spid="_x0000_s205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更新基本面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EP14"/>
  <sheetViews>
    <sheetView tabSelected="1" zoomScale="85" zoomScaleNormal="85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C5" sqref="C4:C5"/>
    </sheetView>
  </sheetViews>
  <sheetFormatPr defaultRowHeight="14" x14ac:dyDescent="0.25"/>
  <cols>
    <col min="1" max="1" width="29.6328125" customWidth="1"/>
    <col min="2" max="2" width="36.36328125" customWidth="1"/>
    <col min="3" max="3" width="43.36328125" customWidth="1"/>
    <col min="4" max="4" width="9.90625" customWidth="1"/>
    <col min="148" max="148" width="27.36328125" customWidth="1"/>
  </cols>
  <sheetData>
    <row r="1" spans="1:146" ht="43.5" customHeight="1" x14ac:dyDescent="0.25">
      <c r="A1" s="3" t="s">
        <v>10</v>
      </c>
      <c r="B1" s="4" t="s">
        <v>11</v>
      </c>
      <c r="C1" s="3" t="s">
        <v>12</v>
      </c>
      <c r="D1" t="s">
        <v>6</v>
      </c>
      <c r="E1" t="s">
        <v>157</v>
      </c>
      <c r="F1" t="s">
        <v>3</v>
      </c>
      <c r="G1" t="s">
        <v>207</v>
      </c>
      <c r="H1" t="s">
        <v>208</v>
      </c>
      <c r="I1" t="s">
        <v>7</v>
      </c>
      <c r="J1" t="s">
        <v>8</v>
      </c>
      <c r="K1" t="s">
        <v>4</v>
      </c>
      <c r="L1" t="s">
        <v>9</v>
      </c>
      <c r="M1" t="s">
        <v>13</v>
      </c>
      <c r="N1" t="s">
        <v>14</v>
      </c>
      <c r="O1" t="s">
        <v>15</v>
      </c>
      <c r="P1" t="s">
        <v>209</v>
      </c>
      <c r="Q1" t="s">
        <v>158</v>
      </c>
      <c r="R1" t="s">
        <v>159</v>
      </c>
      <c r="S1" t="s">
        <v>16</v>
      </c>
      <c r="T1" t="s">
        <v>210</v>
      </c>
      <c r="U1" t="s">
        <v>127</v>
      </c>
      <c r="V1" t="s">
        <v>17</v>
      </c>
      <c r="W1" t="s">
        <v>160</v>
      </c>
      <c r="X1" t="s">
        <v>161</v>
      </c>
      <c r="Y1" t="s">
        <v>162</v>
      </c>
      <c r="Z1" t="s">
        <v>163</v>
      </c>
      <c r="AA1" t="s">
        <v>164</v>
      </c>
      <c r="AB1" t="s">
        <v>211</v>
      </c>
      <c r="AC1" t="s">
        <v>165</v>
      </c>
      <c r="AD1" t="s">
        <v>166</v>
      </c>
      <c r="AE1" t="s">
        <v>18</v>
      </c>
      <c r="AF1" t="s">
        <v>19</v>
      </c>
      <c r="AG1" t="s">
        <v>212</v>
      </c>
      <c r="AH1" t="s">
        <v>167</v>
      </c>
      <c r="AI1" t="s">
        <v>213</v>
      </c>
      <c r="AJ1" t="s">
        <v>20</v>
      </c>
      <c r="AK1" t="s">
        <v>214</v>
      </c>
      <c r="AL1" t="s">
        <v>25</v>
      </c>
      <c r="AM1" t="s">
        <v>215</v>
      </c>
      <c r="AN1" t="s">
        <v>216</v>
      </c>
      <c r="AO1" t="s">
        <v>217</v>
      </c>
      <c r="AP1" t="s">
        <v>218</v>
      </c>
      <c r="AQ1" t="s">
        <v>219</v>
      </c>
      <c r="AR1" t="s">
        <v>220</v>
      </c>
      <c r="AS1" t="s">
        <v>221</v>
      </c>
      <c r="AT1" t="s">
        <v>222</v>
      </c>
      <c r="AU1" t="s">
        <v>223</v>
      </c>
      <c r="AV1" t="s">
        <v>224</v>
      </c>
      <c r="AW1" t="s">
        <v>225</v>
      </c>
      <c r="AX1" t="s">
        <v>168</v>
      </c>
      <c r="AY1" t="s">
        <v>26</v>
      </c>
      <c r="AZ1" t="s">
        <v>27</v>
      </c>
      <c r="BA1" t="s">
        <v>28</v>
      </c>
      <c r="BB1" t="s">
        <v>29</v>
      </c>
      <c r="BC1" t="s">
        <v>128</v>
      </c>
      <c r="BD1" t="s">
        <v>30</v>
      </c>
      <c r="BE1" t="s">
        <v>31</v>
      </c>
      <c r="BF1" t="s">
        <v>32</v>
      </c>
      <c r="BG1" t="s">
        <v>33</v>
      </c>
      <c r="BH1" t="s">
        <v>226</v>
      </c>
      <c r="BI1" t="s">
        <v>227</v>
      </c>
      <c r="BJ1" t="s">
        <v>228</v>
      </c>
      <c r="BK1" t="s">
        <v>229</v>
      </c>
      <c r="BL1" t="s">
        <v>230</v>
      </c>
      <c r="BM1" t="s">
        <v>231</v>
      </c>
      <c r="BN1" t="s">
        <v>169</v>
      </c>
      <c r="BO1" t="s">
        <v>129</v>
      </c>
      <c r="BP1" t="s">
        <v>34</v>
      </c>
      <c r="BQ1" t="s">
        <v>170</v>
      </c>
      <c r="BR1" t="s">
        <v>130</v>
      </c>
      <c r="BS1" t="s">
        <v>35</v>
      </c>
      <c r="BT1" t="s">
        <v>232</v>
      </c>
      <c r="BU1" t="s">
        <v>171</v>
      </c>
      <c r="BV1" t="s">
        <v>233</v>
      </c>
      <c r="BW1" t="s">
        <v>51</v>
      </c>
      <c r="BX1" t="s">
        <v>36</v>
      </c>
      <c r="BY1" t="s">
        <v>234</v>
      </c>
      <c r="BZ1" t="s">
        <v>52</v>
      </c>
      <c r="CA1" t="s">
        <v>37</v>
      </c>
      <c r="CB1" t="s">
        <v>235</v>
      </c>
      <c r="CC1" t="s">
        <v>236</v>
      </c>
      <c r="CD1" t="s">
        <v>237</v>
      </c>
      <c r="CE1" t="s">
        <v>238</v>
      </c>
      <c r="CF1" s="1" t="s">
        <v>172</v>
      </c>
      <c r="CG1" s="1" t="s">
        <v>173</v>
      </c>
      <c r="CH1" s="1" t="s">
        <v>38</v>
      </c>
      <c r="CI1" s="1" t="s">
        <v>39</v>
      </c>
      <c r="CJ1" s="1" t="s">
        <v>40</v>
      </c>
      <c r="CK1" s="1" t="s">
        <v>41</v>
      </c>
      <c r="CL1" s="1" t="s">
        <v>42</v>
      </c>
      <c r="CM1" s="1" t="s">
        <v>43</v>
      </c>
      <c r="CN1" s="1" t="s">
        <v>44</v>
      </c>
      <c r="CO1" s="1" t="s">
        <v>45</v>
      </c>
      <c r="CP1" s="1" t="s">
        <v>46</v>
      </c>
      <c r="CQ1" s="1" t="s">
        <v>47</v>
      </c>
      <c r="CR1" s="1" t="s">
        <v>239</v>
      </c>
      <c r="CS1" s="1" t="s">
        <v>174</v>
      </c>
      <c r="CT1" s="1" t="s">
        <v>240</v>
      </c>
      <c r="CU1" s="1" t="s">
        <v>175</v>
      </c>
      <c r="CV1" s="1" t="s">
        <v>176</v>
      </c>
      <c r="CW1" s="1" t="s">
        <v>177</v>
      </c>
      <c r="CX1">
        <v>1</v>
      </c>
      <c r="CY1" t="s">
        <v>178</v>
      </c>
      <c r="CZ1" t="s">
        <v>241</v>
      </c>
      <c r="DA1">
        <v>3</v>
      </c>
      <c r="DB1" t="s">
        <v>242</v>
      </c>
      <c r="DC1" t="s">
        <v>243</v>
      </c>
      <c r="DD1">
        <v>6</v>
      </c>
      <c r="DE1" t="s">
        <v>179</v>
      </c>
      <c r="DF1" t="s">
        <v>244</v>
      </c>
      <c r="DG1">
        <v>10</v>
      </c>
      <c r="DH1" t="s">
        <v>180</v>
      </c>
      <c r="DI1" t="s">
        <v>181</v>
      </c>
      <c r="DJ1">
        <v>20</v>
      </c>
      <c r="DK1" t="s">
        <v>182</v>
      </c>
      <c r="DL1" t="s">
        <v>48</v>
      </c>
      <c r="DM1" t="s">
        <v>49</v>
      </c>
      <c r="DN1" s="2" t="s">
        <v>50</v>
      </c>
      <c r="DO1" t="s">
        <v>245</v>
      </c>
      <c r="DP1" t="s">
        <v>246</v>
      </c>
      <c r="DQ1" s="7" t="s">
        <v>183</v>
      </c>
      <c r="DR1" s="1" t="s">
        <v>184</v>
      </c>
      <c r="DS1" s="1" t="s">
        <v>185</v>
      </c>
      <c r="DT1" t="s">
        <v>247</v>
      </c>
      <c r="DU1" t="s">
        <v>186</v>
      </c>
      <c r="DV1" t="s">
        <v>187</v>
      </c>
      <c r="DW1" t="s">
        <v>188</v>
      </c>
      <c r="DX1" t="s">
        <v>189</v>
      </c>
      <c r="DY1" t="s">
        <v>248</v>
      </c>
      <c r="DZ1" t="s">
        <v>190</v>
      </c>
      <c r="EA1" t="s">
        <v>249</v>
      </c>
      <c r="EB1" t="s">
        <v>191</v>
      </c>
      <c r="EC1" t="s">
        <v>250</v>
      </c>
      <c r="ED1" t="s">
        <v>251</v>
      </c>
      <c r="EE1" t="s">
        <v>192</v>
      </c>
      <c r="EF1" t="s">
        <v>193</v>
      </c>
      <c r="EG1" t="s">
        <v>194</v>
      </c>
      <c r="EH1" t="s">
        <v>252</v>
      </c>
      <c r="EI1" t="s">
        <v>253</v>
      </c>
      <c r="EK1" s="8" t="s">
        <v>254</v>
      </c>
      <c r="EL1" t="s">
        <v>255</v>
      </c>
      <c r="EM1" t="s">
        <v>256</v>
      </c>
      <c r="EN1" t="s">
        <v>195</v>
      </c>
      <c r="EO1" t="s">
        <v>257</v>
      </c>
      <c r="EP1" t="s">
        <v>196</v>
      </c>
    </row>
    <row r="2" spans="1:146" ht="96" x14ac:dyDescent="0.25">
      <c r="A2" s="6"/>
      <c r="B2" s="6"/>
      <c r="C2" s="6" t="str">
        <f>""&amp;CHAR(10)&amp;Basic_Fundamental_Information_Constructure(F2)&amp;CHAR(10)&amp;Basic_Fundamental_Information_Concatenate("")</f>
        <v xml:space="preserve">
市值10.0333918亿, 利润3001.73万; PE26.39; 平均PE-19.11; 平均PEG-2.93, PB1.53; ROIC16.93%; ROE10.98%; 股利率0%; 毛利.8833%; 净利23.6667%; 上一年度营收增2.53%, 利润增-88.14%; 当季营收增-29.48%, 利润增21.11%; 过往5年营收增6.53%, 利润增-493.89%
Income profile:
</v>
      </c>
      <c r="D2" t="s">
        <v>66</v>
      </c>
      <c r="E2" t="s">
        <v>300</v>
      </c>
      <c r="F2">
        <v>1.08</v>
      </c>
      <c r="G2">
        <v>3.85</v>
      </c>
      <c r="H2" t="s">
        <v>301</v>
      </c>
      <c r="I2">
        <v>1003339180</v>
      </c>
      <c r="J2">
        <v>26.39</v>
      </c>
      <c r="K2">
        <v>1.53</v>
      </c>
      <c r="L2" t="s">
        <v>67</v>
      </c>
      <c r="M2" t="s">
        <v>302</v>
      </c>
      <c r="N2" t="s">
        <v>303</v>
      </c>
      <c r="O2" t="s">
        <v>304</v>
      </c>
      <c r="P2">
        <v>-29.48</v>
      </c>
      <c r="Q2" t="s">
        <v>305</v>
      </c>
      <c r="R2">
        <v>-29895876</v>
      </c>
      <c r="S2" s="5">
        <v>0.2112</v>
      </c>
      <c r="T2" t="s">
        <v>306</v>
      </c>
      <c r="U2">
        <v>928670960</v>
      </c>
      <c r="V2">
        <v>929017760</v>
      </c>
      <c r="W2">
        <v>1.79</v>
      </c>
      <c r="X2">
        <v>0.02</v>
      </c>
      <c r="Y2">
        <v>-73.11</v>
      </c>
      <c r="Z2" t="s">
        <v>307</v>
      </c>
      <c r="AA2" t="s">
        <v>308</v>
      </c>
      <c r="AB2" t="s">
        <v>5</v>
      </c>
      <c r="AC2" t="s">
        <v>309</v>
      </c>
      <c r="AD2" t="s">
        <v>5</v>
      </c>
      <c r="AE2">
        <v>12533841</v>
      </c>
      <c r="AF2" t="s">
        <v>21</v>
      </c>
      <c r="AG2" t="s">
        <v>5</v>
      </c>
      <c r="AH2" t="s">
        <v>310</v>
      </c>
      <c r="AI2" t="s">
        <v>311</v>
      </c>
      <c r="AJ2" t="s">
        <v>21</v>
      </c>
      <c r="AK2" t="s">
        <v>5</v>
      </c>
      <c r="AL2" t="s">
        <v>312</v>
      </c>
      <c r="AM2" t="s">
        <v>5</v>
      </c>
      <c r="AN2" t="s">
        <v>313</v>
      </c>
      <c r="AO2" t="s">
        <v>314</v>
      </c>
      <c r="AP2" t="s">
        <v>5</v>
      </c>
      <c r="AQ2" t="s">
        <v>315</v>
      </c>
      <c r="AR2" t="s">
        <v>5</v>
      </c>
      <c r="AS2" t="s">
        <v>316</v>
      </c>
      <c r="AT2" t="s">
        <v>5</v>
      </c>
      <c r="AU2" t="s">
        <v>317</v>
      </c>
      <c r="AV2" t="s">
        <v>318</v>
      </c>
      <c r="AW2" t="s">
        <v>319</v>
      </c>
      <c r="AX2" t="s">
        <v>263</v>
      </c>
      <c r="AY2" t="s">
        <v>131</v>
      </c>
      <c r="AZ2" t="s">
        <v>68</v>
      </c>
      <c r="BA2" t="s">
        <v>70</v>
      </c>
      <c r="BB2" t="s">
        <v>64</v>
      </c>
      <c r="BC2" t="s">
        <v>55</v>
      </c>
      <c r="BD2" t="s">
        <v>132</v>
      </c>
      <c r="BE2" t="s">
        <v>69</v>
      </c>
      <c r="BF2" t="s">
        <v>71</v>
      </c>
      <c r="BG2" t="s">
        <v>72</v>
      </c>
      <c r="BH2" t="s">
        <v>305</v>
      </c>
      <c r="BI2" t="s">
        <v>320</v>
      </c>
      <c r="BJ2" t="s">
        <v>263</v>
      </c>
      <c r="BK2" t="s">
        <v>306</v>
      </c>
      <c r="BL2" t="s">
        <v>321</v>
      </c>
      <c r="BM2" t="s">
        <v>55</v>
      </c>
      <c r="BN2">
        <v>7.4</v>
      </c>
      <c r="BO2">
        <v>26.46</v>
      </c>
      <c r="BP2" t="s">
        <v>5</v>
      </c>
      <c r="BQ2">
        <v>10.85</v>
      </c>
      <c r="BR2">
        <v>50.49</v>
      </c>
      <c r="BS2">
        <v>-28.4</v>
      </c>
      <c r="BT2" t="s">
        <v>259</v>
      </c>
      <c r="BU2" t="s">
        <v>67</v>
      </c>
      <c r="BV2">
        <v>-3.08</v>
      </c>
      <c r="BW2">
        <v>-6.19</v>
      </c>
      <c r="BX2">
        <v>11.92</v>
      </c>
      <c r="BY2">
        <v>5.73</v>
      </c>
      <c r="BZ2">
        <v>80.41</v>
      </c>
      <c r="CA2">
        <v>-15.14</v>
      </c>
      <c r="CB2">
        <v>6.93</v>
      </c>
      <c r="CC2">
        <v>-54.24</v>
      </c>
      <c r="CD2" t="s">
        <v>322</v>
      </c>
      <c r="CE2" t="s">
        <v>323</v>
      </c>
      <c r="CF2" s="9">
        <v>-0.29478234737226761</v>
      </c>
      <c r="CG2" s="10">
        <v>0.2111489788379334</v>
      </c>
      <c r="CH2" s="9">
        <v>2.527075819671154E-2</v>
      </c>
      <c r="CI2" s="9">
        <v>-0.69426047801971436</v>
      </c>
      <c r="CJ2" s="9">
        <v>1.1317646503448486</v>
      </c>
      <c r="CK2" s="9">
        <v>-0.17475728690624237</v>
      </c>
      <c r="CL2" s="9">
        <v>3.8306452333927155E-2</v>
      </c>
      <c r="CM2" s="10">
        <v>-0.88135457038879395</v>
      </c>
      <c r="CN2" s="10">
        <v>2.961240291595459</v>
      </c>
      <c r="CO2" s="10">
        <v>0.73833674192428589</v>
      </c>
      <c r="CP2" s="10">
        <v>-26.081066131591797</v>
      </c>
      <c r="CQ2" s="10">
        <v>-1.4314929246902466</v>
      </c>
      <c r="CR2">
        <v>-19.111374153763123</v>
      </c>
      <c r="CS2">
        <v>-2.9282811767475017</v>
      </c>
      <c r="CT2">
        <v>0</v>
      </c>
      <c r="CU2" s="9">
        <v>6.526481918990612E-2</v>
      </c>
      <c r="CV2" s="10">
        <v>-4.9388673186302183</v>
      </c>
      <c r="CW2">
        <v>0.06</v>
      </c>
      <c r="CX2">
        <v>23.414773008022969</v>
      </c>
      <c r="CY2">
        <v>30166390.242518086</v>
      </c>
      <c r="CZ2">
        <v>6.526481918990612E-2</v>
      </c>
      <c r="DA2">
        <v>7.8141421517403478</v>
      </c>
      <c r="DB2">
        <v>90392414.968121067</v>
      </c>
      <c r="DC2">
        <v>6.200157823041081E-2</v>
      </c>
      <c r="DD2">
        <v>3.9552337837810398</v>
      </c>
      <c r="DE2">
        <v>178583421.00950831</v>
      </c>
      <c r="DF2">
        <v>5.7433040887117384E-2</v>
      </c>
      <c r="DG2">
        <v>2.4499598194507426</v>
      </c>
      <c r="DH2">
        <v>288306434.41260779</v>
      </c>
      <c r="DI2">
        <v>5.22118553519249E-2</v>
      </c>
      <c r="DJ2">
        <v>1.3529399072892756</v>
      </c>
      <c r="DK2">
        <v>522077274.97314173</v>
      </c>
      <c r="DL2">
        <v>4.568537343293428E-2</v>
      </c>
      <c r="DM2">
        <v>30017300</v>
      </c>
      <c r="DN2">
        <v>6.526481918990612E-2</v>
      </c>
      <c r="DO2">
        <v>706339180</v>
      </c>
      <c r="DP2">
        <v>-722049349.99999988</v>
      </c>
      <c r="DQ2">
        <v>97</v>
      </c>
      <c r="DR2">
        <v>-0.36004716656217373</v>
      </c>
      <c r="DS2">
        <v>5.1500162974681514</v>
      </c>
      <c r="DT2" s="11">
        <v>-0.59</v>
      </c>
      <c r="DU2">
        <v>-2.331666666666667</v>
      </c>
      <c r="DV2">
        <v>-2.9216666666666669</v>
      </c>
      <c r="DW2">
        <v>7.1132908288376653</v>
      </c>
      <c r="DX2">
        <v>0.72069549204895933</v>
      </c>
      <c r="DY2">
        <v>7.0419963995406132</v>
      </c>
      <c r="DZ2">
        <v>4880</v>
      </c>
      <c r="EA2">
        <v>7.0018902489030026</v>
      </c>
      <c r="EB2">
        <v>7</v>
      </c>
      <c r="EC2">
        <v>0.59094672205190135</v>
      </c>
      <c r="ED2">
        <v>1.5941568221472968</v>
      </c>
      <c r="EE2" s="12">
        <v>-3.1204100000000001</v>
      </c>
      <c r="EF2">
        <v>-3.1389100000000001</v>
      </c>
      <c r="EG2">
        <v>35.370695492048959</v>
      </c>
      <c r="EH2" t="s">
        <v>324</v>
      </c>
      <c r="EI2">
        <v>1</v>
      </c>
      <c r="EJ2">
        <v>0</v>
      </c>
      <c r="EK2" s="8">
        <v>45470</v>
      </c>
      <c r="EL2" s="13">
        <v>5</v>
      </c>
      <c r="EM2" s="13">
        <v>-4.76</v>
      </c>
      <c r="EN2" s="13">
        <v>-5</v>
      </c>
      <c r="EO2" s="13">
        <v>-5.26</v>
      </c>
      <c r="EP2" s="13">
        <v>-1.85</v>
      </c>
    </row>
    <row r="3" spans="1:146" ht="180" x14ac:dyDescent="0.25">
      <c r="A3" s="6"/>
      <c r="B3" s="6" t="s">
        <v>299</v>
      </c>
      <c r="C3" s="6" t="str">
        <f>"公司主要业务为贵金属和有色金属矿采选及金属贸易。报告期内，公司共拥有4个矿山企业，分别为玉龙矿业为铅锌银多金属矿矿山，黑河银泰、吉林板庙子、青海大柴旦为金矿矿山。除此之外，公司下属子公司银泰盛鸿是一家以贵金属和有色金属贸易为主业，以金融工具为风控手段的综合型贸易服务商；"&amp;CHAR(10)&amp;Basic_Fundamental_Information_Constructure(F3)&amp;CHAR(10)&amp;Basic_Fundamental_Information_Concatenate("有色金属矿采选业 18.79亿 53.87% 毛利60.23%
金属商品贸易 16.07亿 46.09% 毛利0.71%
其他 132.98万 0.04% 毛利23.94%")</f>
        <v>公司主要业务为贵金属和有色金属矿采选及金属贸易。报告期内，公司共拥有4个矿山企业，分别为玉龙矿业为铅锌银多金属矿矿山，黑河银泰、吉林板庙子、青海大柴旦为金矿矿山。除此之外，公司下属子公司银泰盛鸿是一家以贵金属和有色金属贸易为主业，以金融工具为风控手段的综合型贸易服务商；
市值498.42165亿, 利润14.24亿; PE30.56; 平均PE45.39; 平均PEG3.55, PB4.13; ROIC10.11%; ROE11.1467%; 股利率1.5599%; 毛利27.32%; 净利16.6433%; 上一年度营收增-3.29%, 利润增26.8%; 当季营收增26.51%, 利润增69.96%; 过往5年营收增12.8%, 利润增18.32%
Income profile:
有色金属矿采选业 18.79亿 53.87% 毛利60.23%
金属商品贸易 16.07亿 46.09% 毛利0.71%
其他 132.98万 0.04% 毛利23.94%</v>
      </c>
      <c r="D3" t="s">
        <v>73</v>
      </c>
      <c r="E3" t="s">
        <v>74</v>
      </c>
      <c r="F3">
        <v>17.95</v>
      </c>
      <c r="G3">
        <v>6.72</v>
      </c>
      <c r="H3" t="s">
        <v>325</v>
      </c>
      <c r="I3">
        <v>49842165000</v>
      </c>
      <c r="J3">
        <v>30.56</v>
      </c>
      <c r="K3">
        <v>4.13</v>
      </c>
      <c r="L3" t="s">
        <v>67</v>
      </c>
      <c r="M3" t="s">
        <v>326</v>
      </c>
      <c r="N3" t="s">
        <v>327</v>
      </c>
      <c r="O3" t="s">
        <v>328</v>
      </c>
      <c r="P3">
        <v>26.52</v>
      </c>
      <c r="Q3" t="s">
        <v>329</v>
      </c>
      <c r="R3">
        <v>503090990</v>
      </c>
      <c r="S3" s="5">
        <v>0.69730000000000003</v>
      </c>
      <c r="T3" t="s">
        <v>330</v>
      </c>
      <c r="U3">
        <v>2486534100</v>
      </c>
      <c r="V3">
        <v>2776722300</v>
      </c>
      <c r="W3">
        <v>1.18</v>
      </c>
      <c r="X3">
        <v>0.17</v>
      </c>
      <c r="Y3">
        <v>20.21</v>
      </c>
      <c r="Z3" t="s">
        <v>331</v>
      </c>
      <c r="AA3" t="s">
        <v>332</v>
      </c>
      <c r="AB3" t="s">
        <v>333</v>
      </c>
      <c r="AC3" t="s">
        <v>334</v>
      </c>
      <c r="AD3" t="s">
        <v>5</v>
      </c>
      <c r="AE3">
        <v>-5415951</v>
      </c>
      <c r="AF3" t="s">
        <v>335</v>
      </c>
      <c r="AG3" t="s">
        <v>336</v>
      </c>
      <c r="AH3" t="s">
        <v>337</v>
      </c>
      <c r="AI3" t="s">
        <v>338</v>
      </c>
      <c r="AJ3" t="s">
        <v>339</v>
      </c>
      <c r="AK3" t="s">
        <v>5</v>
      </c>
      <c r="AL3" t="s">
        <v>340</v>
      </c>
      <c r="AM3" t="s">
        <v>5</v>
      </c>
      <c r="AN3" t="s">
        <v>341</v>
      </c>
      <c r="AO3" t="s">
        <v>342</v>
      </c>
      <c r="AP3" t="s">
        <v>343</v>
      </c>
      <c r="AQ3" t="s">
        <v>344</v>
      </c>
      <c r="AR3" t="s">
        <v>5</v>
      </c>
      <c r="AS3" t="s">
        <v>345</v>
      </c>
      <c r="AT3" t="s">
        <v>346</v>
      </c>
      <c r="AU3" t="s">
        <v>347</v>
      </c>
      <c r="AV3" t="s">
        <v>348</v>
      </c>
      <c r="AW3" t="s">
        <v>349</v>
      </c>
      <c r="AX3" t="s">
        <v>350</v>
      </c>
      <c r="AY3" t="s">
        <v>133</v>
      </c>
      <c r="AZ3" t="s">
        <v>75</v>
      </c>
      <c r="BA3" t="s">
        <v>77</v>
      </c>
      <c r="BB3" t="s">
        <v>78</v>
      </c>
      <c r="BC3" t="s">
        <v>351</v>
      </c>
      <c r="BD3" t="s">
        <v>134</v>
      </c>
      <c r="BE3" t="s">
        <v>76</v>
      </c>
      <c r="BF3" t="s">
        <v>79</v>
      </c>
      <c r="BG3" t="s">
        <v>80</v>
      </c>
      <c r="BH3" t="s">
        <v>329</v>
      </c>
      <c r="BI3" t="s">
        <v>352</v>
      </c>
      <c r="BJ3" t="s">
        <v>350</v>
      </c>
      <c r="BK3" t="s">
        <v>330</v>
      </c>
      <c r="BL3" t="s">
        <v>353</v>
      </c>
      <c r="BM3" t="s">
        <v>351</v>
      </c>
      <c r="BN3">
        <v>8.99</v>
      </c>
      <c r="BO3">
        <v>9.4499999999999993</v>
      </c>
      <c r="BP3">
        <v>11.89</v>
      </c>
      <c r="BQ3">
        <v>10.210000000000001</v>
      </c>
      <c r="BR3">
        <v>10.58</v>
      </c>
      <c r="BS3">
        <v>12.65</v>
      </c>
      <c r="BT3" t="s">
        <v>354</v>
      </c>
      <c r="BU3" t="s">
        <v>67</v>
      </c>
      <c r="BV3">
        <v>32.049999999999997</v>
      </c>
      <c r="BW3">
        <v>24.81</v>
      </c>
      <c r="BX3">
        <v>25.1</v>
      </c>
      <c r="BY3">
        <v>19.350000000000001</v>
      </c>
      <c r="BZ3">
        <v>14.85</v>
      </c>
      <c r="CA3">
        <v>15.73</v>
      </c>
      <c r="CB3">
        <v>10.19</v>
      </c>
      <c r="CC3">
        <v>-4.0599999999999996</v>
      </c>
      <c r="CD3" t="s">
        <v>260</v>
      </c>
      <c r="CE3" t="s">
        <v>355</v>
      </c>
      <c r="CF3" s="9">
        <v>0.26505474452554745</v>
      </c>
      <c r="CG3" s="10">
        <v>0.69963172297297294</v>
      </c>
      <c r="CH3" s="9">
        <v>-3.2927732914686203E-2</v>
      </c>
      <c r="CI3" s="9">
        <v>-7.278759777545929E-2</v>
      </c>
      <c r="CJ3" s="9">
        <v>0.14343538880348206</v>
      </c>
      <c r="CK3" s="9">
        <v>0.53544366359710693</v>
      </c>
      <c r="CL3" s="9">
        <v>6.6929198801517487E-2</v>
      </c>
      <c r="CM3" s="10">
        <v>0.26803198456764221</v>
      </c>
      <c r="CN3" s="10">
        <v>-0.11783179640769958</v>
      </c>
      <c r="CO3" s="10">
        <v>2.4959690868854523E-2</v>
      </c>
      <c r="CP3" s="10">
        <v>0.4375</v>
      </c>
      <c r="CQ3" s="10">
        <v>0.3031674325466156</v>
      </c>
      <c r="CR3">
        <v>45.386703596903928</v>
      </c>
      <c r="CS3">
        <v>3.5453214793098011</v>
      </c>
      <c r="CT3">
        <v>1.5598885793871866</v>
      </c>
      <c r="CU3" s="9">
        <v>0.1280185841023922</v>
      </c>
      <c r="CV3" s="10">
        <v>0.18316546231508254</v>
      </c>
      <c r="CW3">
        <v>0.06</v>
      </c>
      <c r="CX3">
        <v>25.65974868921495</v>
      </c>
      <c r="CY3">
        <v>1515375909.2092514</v>
      </c>
      <c r="CZ3">
        <v>0.1280185841023922</v>
      </c>
      <c r="DA3">
        <v>8.1208509134875193</v>
      </c>
      <c r="DB3">
        <v>4788188505.642828</v>
      </c>
      <c r="DC3">
        <v>0.12161765489727258</v>
      </c>
      <c r="DD3">
        <v>3.8276376398073162</v>
      </c>
      <c r="DE3">
        <v>10158789482.997517</v>
      </c>
      <c r="DF3">
        <v>0.11265635401010514</v>
      </c>
      <c r="DG3">
        <v>2.1867197669413914</v>
      </c>
      <c r="DH3">
        <v>17781960719.360058</v>
      </c>
      <c r="DI3">
        <v>0.10241486728191376</v>
      </c>
      <c r="DJ3">
        <v>1.009526458884453</v>
      </c>
      <c r="DK3">
        <v>38517232171.37645</v>
      </c>
      <c r="DL3">
        <v>8.9613008871674532E-2</v>
      </c>
      <c r="DM3">
        <v>1424000000</v>
      </c>
      <c r="DN3">
        <v>0.1280185841023922</v>
      </c>
      <c r="DO3">
        <v>38884165000</v>
      </c>
      <c r="DP3">
        <v>4181654300</v>
      </c>
      <c r="DQ3">
        <v>410</v>
      </c>
      <c r="DR3">
        <v>0.13703616042315525</v>
      </c>
      <c r="DS3">
        <v>0.51646626065789036</v>
      </c>
      <c r="DT3" s="11">
        <v>-0.32333333333333336</v>
      </c>
      <c r="DU3">
        <v>0.60333333333333328</v>
      </c>
      <c r="DV3">
        <v>0.27999999999999992</v>
      </c>
      <c r="DW3">
        <v>5.3984298331697742</v>
      </c>
      <c r="DX3">
        <v>0.49363635456907135</v>
      </c>
      <c r="DY3">
        <v>5.0651976054514636</v>
      </c>
      <c r="DZ3">
        <v>1092</v>
      </c>
      <c r="EA3">
        <v>5.0512649664782741</v>
      </c>
      <c r="EB3">
        <v>5</v>
      </c>
      <c r="EC3">
        <v>6.8065863122142245E-2</v>
      </c>
      <c r="ED3">
        <v>0.41595805241309153</v>
      </c>
      <c r="EE3" s="12">
        <v>4.5300000000000007E-2</v>
      </c>
      <c r="EF3">
        <v>2.1100000000000001E-2</v>
      </c>
      <c r="EG3">
        <v>33.163636354569071</v>
      </c>
      <c r="EH3" t="s">
        <v>200</v>
      </c>
      <c r="EI3">
        <v>1</v>
      </c>
      <c r="EJ3">
        <v>1</v>
      </c>
      <c r="EK3" s="8">
        <v>45470</v>
      </c>
      <c r="EL3" s="13">
        <v>-0.06</v>
      </c>
      <c r="EM3" s="13">
        <v>-3.55</v>
      </c>
      <c r="EN3" s="13">
        <v>-0.12</v>
      </c>
      <c r="EO3" s="13">
        <v>-0.98</v>
      </c>
      <c r="EP3" s="13">
        <v>-2.42</v>
      </c>
    </row>
    <row r="4" spans="1:146" ht="96" x14ac:dyDescent="0.25">
      <c r="C4" s="6" t="str">
        <f>""&amp;CHAR(10)&amp;Basic_Fundamental_Information_Constructure(F4)&amp;CHAR(10)&amp;Basic_Fundamental_Information_Concatenate("")</f>
        <v xml:space="preserve">
市值99.33亿, 利润2.11亿; PE43.98; 平均PE58.26; 平均PEG4.11, PB6.91; ROIC18.05%; ROE20.03%; 股利率1.0571%; 毛利49.3333%; 净利34.9167%; 上一年度营收增33.26%, 利润增6.03%; 当季营收增6.74%, 利润增24.12%; 过往5年营收增14.18%, 利润增14.24%
Income profile:
</v>
      </c>
      <c r="D4" t="s">
        <v>356</v>
      </c>
      <c r="E4" t="s">
        <v>357</v>
      </c>
      <c r="F4">
        <v>23.65</v>
      </c>
      <c r="G4">
        <v>3.5</v>
      </c>
      <c r="H4" t="s">
        <v>358</v>
      </c>
      <c r="I4">
        <v>9933000000</v>
      </c>
      <c r="J4">
        <v>43.98</v>
      </c>
      <c r="K4">
        <v>6.91</v>
      </c>
      <c r="L4" t="s">
        <v>67</v>
      </c>
      <c r="M4" t="s">
        <v>359</v>
      </c>
      <c r="N4" t="s">
        <v>360</v>
      </c>
      <c r="O4" t="s">
        <v>361</v>
      </c>
      <c r="P4" s="5">
        <v>6.83</v>
      </c>
      <c r="Q4" t="s">
        <v>362</v>
      </c>
      <c r="R4">
        <v>76777192</v>
      </c>
      <c r="S4">
        <v>0.2412</v>
      </c>
      <c r="T4" t="s">
        <v>262</v>
      </c>
      <c r="U4">
        <v>288456000</v>
      </c>
      <c r="V4">
        <v>420000000</v>
      </c>
      <c r="W4">
        <v>1.32</v>
      </c>
      <c r="X4">
        <v>0.1</v>
      </c>
      <c r="Y4">
        <v>40.44</v>
      </c>
      <c r="Z4" t="s">
        <v>363</v>
      </c>
      <c r="AA4" t="s">
        <v>364</v>
      </c>
      <c r="AB4" t="s">
        <v>365</v>
      </c>
      <c r="AC4" t="s">
        <v>366</v>
      </c>
      <c r="AD4" t="s">
        <v>5</v>
      </c>
      <c r="AE4">
        <v>2280333</v>
      </c>
      <c r="AF4" t="s">
        <v>367</v>
      </c>
      <c r="AG4" t="s">
        <v>5</v>
      </c>
      <c r="AH4" t="s">
        <v>368</v>
      </c>
      <c r="AI4" t="s">
        <v>369</v>
      </c>
      <c r="AJ4" t="s">
        <v>21</v>
      </c>
      <c r="AK4" t="s">
        <v>5</v>
      </c>
      <c r="AL4" t="s">
        <v>370</v>
      </c>
      <c r="AM4" t="s">
        <v>5</v>
      </c>
      <c r="AN4" t="s">
        <v>371</v>
      </c>
      <c r="AO4" t="s">
        <v>5</v>
      </c>
      <c r="AP4" t="s">
        <v>5</v>
      </c>
      <c r="AQ4" t="s">
        <v>372</v>
      </c>
      <c r="AR4" t="s">
        <v>5</v>
      </c>
      <c r="AS4" t="s">
        <v>144</v>
      </c>
      <c r="AT4" t="s">
        <v>5</v>
      </c>
      <c r="AU4" t="s">
        <v>373</v>
      </c>
      <c r="AV4" t="s">
        <v>374</v>
      </c>
      <c r="AW4" t="s">
        <v>5</v>
      </c>
      <c r="AX4" t="s">
        <v>375</v>
      </c>
      <c r="AY4" t="s">
        <v>376</v>
      </c>
      <c r="AZ4" t="s">
        <v>377</v>
      </c>
      <c r="BA4" t="s">
        <v>378</v>
      </c>
      <c r="BB4" t="s">
        <v>379</v>
      </c>
      <c r="BC4" t="s">
        <v>380</v>
      </c>
      <c r="BD4" t="s">
        <v>297</v>
      </c>
      <c r="BE4" t="s">
        <v>381</v>
      </c>
      <c r="BF4" t="s">
        <v>94</v>
      </c>
      <c r="BG4" t="s">
        <v>382</v>
      </c>
      <c r="BH4" t="s">
        <v>362</v>
      </c>
      <c r="BI4" t="s">
        <v>198</v>
      </c>
      <c r="BJ4" t="s">
        <v>375</v>
      </c>
      <c r="BK4" t="s">
        <v>262</v>
      </c>
      <c r="BL4" t="s">
        <v>383</v>
      </c>
      <c r="BM4" t="s">
        <v>380</v>
      </c>
      <c r="BN4">
        <v>13.06</v>
      </c>
      <c r="BO4">
        <v>21.57</v>
      </c>
      <c r="BP4">
        <v>19.52</v>
      </c>
      <c r="BQ4">
        <v>13.24</v>
      </c>
      <c r="BR4">
        <v>26.82</v>
      </c>
      <c r="BS4" t="s">
        <v>5</v>
      </c>
      <c r="BT4" t="s">
        <v>261</v>
      </c>
      <c r="BU4" t="s">
        <v>67</v>
      </c>
      <c r="BV4">
        <v>51.19</v>
      </c>
      <c r="BW4">
        <v>51.31</v>
      </c>
      <c r="BX4">
        <v>45.5</v>
      </c>
      <c r="BY4">
        <v>33.53</v>
      </c>
      <c r="BZ4">
        <v>42.05</v>
      </c>
      <c r="CA4">
        <v>29.17</v>
      </c>
      <c r="CB4">
        <v>1.9</v>
      </c>
      <c r="CC4" s="9">
        <v>-9.42</v>
      </c>
      <c r="CD4" s="10" t="s">
        <v>384</v>
      </c>
      <c r="CE4" s="9" t="s">
        <v>385</v>
      </c>
      <c r="CF4" s="9">
        <v>6.741573033707865E-2</v>
      </c>
      <c r="CG4" s="9">
        <v>0.24122665744092317</v>
      </c>
      <c r="CH4" s="9">
        <v>0.33262711763381958</v>
      </c>
      <c r="CI4" s="9">
        <v>-0.10266159474849701</v>
      </c>
      <c r="CJ4" s="10">
        <v>-3.1307552009820938E-2</v>
      </c>
      <c r="CK4" s="10">
        <v>0.4365079402923584</v>
      </c>
      <c r="CL4" s="10">
        <v>7.386363297700882E-2</v>
      </c>
      <c r="CM4" s="10">
        <v>6.0301508754491806E-2</v>
      </c>
      <c r="CN4" s="10">
        <v>0.3006536066532135</v>
      </c>
      <c r="CO4">
        <v>-0.24257425963878632</v>
      </c>
      <c r="CP4">
        <v>0.49629628658294678</v>
      </c>
      <c r="CQ4">
        <v>9.7560971975326538E-2</v>
      </c>
      <c r="CR4" s="9">
        <v>58.258064516129032</v>
      </c>
      <c r="CS4" s="10">
        <v>4.1082959798517056</v>
      </c>
      <c r="CT4">
        <v>1.0570824524312896</v>
      </c>
      <c r="CU4">
        <v>0.14180590882897376</v>
      </c>
      <c r="CV4">
        <v>0.14244762286543847</v>
      </c>
      <c r="CW4">
        <v>0.06</v>
      </c>
      <c r="CX4">
        <v>39.558436791032094</v>
      </c>
      <c r="CY4">
        <v>227284006.38010705</v>
      </c>
      <c r="CZ4">
        <v>0.14180590882897376</v>
      </c>
      <c r="DA4">
        <v>12.375723398560723</v>
      </c>
      <c r="DB4">
        <v>726502985.76046383</v>
      </c>
      <c r="DC4">
        <v>0.13471561338752505</v>
      </c>
      <c r="DD4">
        <v>5.7407560132354369</v>
      </c>
      <c r="DE4">
        <v>1566170026.9565637</v>
      </c>
      <c r="DF4">
        <v>0.12478919976949691</v>
      </c>
      <c r="DG4">
        <v>3.2188762501666419</v>
      </c>
      <c r="DH4">
        <v>2793210829.2558727</v>
      </c>
      <c r="DI4">
        <v>0.11344472706317901</v>
      </c>
      <c r="DJ4">
        <v>1.4227403557730678</v>
      </c>
      <c r="DK4">
        <v>6319494603.1558952</v>
      </c>
      <c r="DL4">
        <v>9.9264136180281626E-2</v>
      </c>
      <c r="DM4">
        <v>211000000</v>
      </c>
      <c r="DN4">
        <v>0.14180590882897376</v>
      </c>
      <c r="DO4">
        <v>8991000000</v>
      </c>
      <c r="DP4">
        <v>634172860</v>
      </c>
      <c r="DQ4" s="11">
        <v>500</v>
      </c>
      <c r="DR4">
        <v>-7.4390178491895109E-2</v>
      </c>
      <c r="DS4">
        <v>9.8779034575484703E-2</v>
      </c>
      <c r="DT4">
        <v>-0.1566666666666667</v>
      </c>
      <c r="DU4">
        <v>0.35333333333333333</v>
      </c>
      <c r="DV4">
        <v>0.19666666666666663</v>
      </c>
      <c r="DW4">
        <v>-2.0941999999999998</v>
      </c>
      <c r="DX4">
        <v>0.68063294117646711</v>
      </c>
      <c r="DY4">
        <v>-2.0113636230588234</v>
      </c>
      <c r="DZ4">
        <v>1268</v>
      </c>
      <c r="EA4">
        <v>-2.0085438434035225</v>
      </c>
      <c r="EB4" s="12">
        <v>2</v>
      </c>
      <c r="EC4" s="12">
        <v>4.8827619047619057E-2</v>
      </c>
      <c r="ED4">
        <v>0.40476190476190477</v>
      </c>
      <c r="EE4">
        <v>7.1329099999999999</v>
      </c>
      <c r="EF4">
        <v>6.00481</v>
      </c>
      <c r="EG4">
        <v>56.120632941176467</v>
      </c>
      <c r="EH4" s="8" t="s">
        <v>386</v>
      </c>
      <c r="EI4">
        <v>0</v>
      </c>
      <c r="EJ4">
        <v>1</v>
      </c>
      <c r="EK4">
        <v>45470</v>
      </c>
      <c r="EL4">
        <v>-0.74</v>
      </c>
      <c r="EM4">
        <v>-3.87</v>
      </c>
      <c r="EN4" s="13">
        <v>-0.35</v>
      </c>
      <c r="EO4" s="13">
        <v>1.26</v>
      </c>
      <c r="EP4" s="13">
        <v>-2.19</v>
      </c>
    </row>
    <row r="5" spans="1:146" ht="96" x14ac:dyDescent="0.25">
      <c r="A5" s="6"/>
      <c r="B5" s="6"/>
      <c r="C5" s="6" t="str">
        <f>""&amp;CHAR(10)&amp;Basic_Fundamental_Information_Constructure(F5)&amp;CHAR(10)&amp;Basic_Fundamental_Information_Concatenate("")</f>
        <v xml:space="preserve">
市值223.57934亿, 利润4.89亿; PE41.02; 平均PE68.9; 平均PEG5.03, PB3.52; ROIC6.5033%; ROE7.0167%; 股利率.6989%; 毛利7.3467%; 净利2.0067%; 上一年度营收增10.75%, 利润增11.14%; 当季营收增37.83%, 利润增53.21%; 过往5年营收增13.7%, 利润增18.71%
Income profile:
</v>
      </c>
      <c r="D5" t="s">
        <v>81</v>
      </c>
      <c r="E5" t="s">
        <v>82</v>
      </c>
      <c r="F5">
        <v>18.600000000000001</v>
      </c>
      <c r="G5">
        <v>3.05</v>
      </c>
      <c r="H5" t="s">
        <v>387</v>
      </c>
      <c r="I5">
        <v>22357934000</v>
      </c>
      <c r="J5">
        <v>41.02</v>
      </c>
      <c r="K5">
        <v>3.52</v>
      </c>
      <c r="L5" t="s">
        <v>67</v>
      </c>
      <c r="M5" t="s">
        <v>388</v>
      </c>
      <c r="N5" t="s">
        <v>389</v>
      </c>
      <c r="O5" t="s">
        <v>390</v>
      </c>
      <c r="P5">
        <v>37.85</v>
      </c>
      <c r="Q5" t="s">
        <v>391</v>
      </c>
      <c r="R5">
        <v>162401970</v>
      </c>
      <c r="S5" s="5">
        <v>0.52580000000000005</v>
      </c>
      <c r="T5" t="s">
        <v>392</v>
      </c>
      <c r="U5">
        <v>1201913270</v>
      </c>
      <c r="V5">
        <v>1202039470</v>
      </c>
      <c r="W5">
        <v>1.18</v>
      </c>
      <c r="X5">
        <v>1.03</v>
      </c>
      <c r="Y5">
        <v>2.13</v>
      </c>
      <c r="Z5" t="s">
        <v>393</v>
      </c>
      <c r="AA5" t="s">
        <v>394</v>
      </c>
      <c r="AB5" t="s">
        <v>395</v>
      </c>
      <c r="AC5" t="s">
        <v>396</v>
      </c>
      <c r="AD5" t="s">
        <v>5</v>
      </c>
      <c r="AE5">
        <v>69728</v>
      </c>
      <c r="AF5" t="s">
        <v>397</v>
      </c>
      <c r="AG5" t="s">
        <v>398</v>
      </c>
      <c r="AH5" t="s">
        <v>399</v>
      </c>
      <c r="AI5" t="s">
        <v>400</v>
      </c>
      <c r="AJ5" t="s">
        <v>401</v>
      </c>
      <c r="AK5" t="s">
        <v>5</v>
      </c>
      <c r="AL5" t="s">
        <v>402</v>
      </c>
      <c r="AM5" t="s">
        <v>5</v>
      </c>
      <c r="AN5" t="s">
        <v>403</v>
      </c>
      <c r="AO5" t="s">
        <v>404</v>
      </c>
      <c r="AP5" t="s">
        <v>5</v>
      </c>
      <c r="AQ5" t="s">
        <v>295</v>
      </c>
      <c r="AR5" t="s">
        <v>5</v>
      </c>
      <c r="AS5" t="s">
        <v>405</v>
      </c>
      <c r="AT5" t="s">
        <v>5</v>
      </c>
      <c r="AU5" t="s">
        <v>406</v>
      </c>
      <c r="AV5" t="s">
        <v>407</v>
      </c>
      <c r="AW5" t="s">
        <v>408</v>
      </c>
      <c r="AX5" t="s">
        <v>409</v>
      </c>
      <c r="AY5" t="s">
        <v>135</v>
      </c>
      <c r="AZ5" t="s">
        <v>83</v>
      </c>
      <c r="BA5" t="s">
        <v>84</v>
      </c>
      <c r="BB5" t="s">
        <v>85</v>
      </c>
      <c r="BC5" t="s">
        <v>410</v>
      </c>
      <c r="BD5" t="s">
        <v>136</v>
      </c>
      <c r="BE5" t="s">
        <v>63</v>
      </c>
      <c r="BF5" t="s">
        <v>22</v>
      </c>
      <c r="BG5" t="s">
        <v>56</v>
      </c>
      <c r="BH5" t="s">
        <v>391</v>
      </c>
      <c r="BI5" t="s">
        <v>411</v>
      </c>
      <c r="BJ5" t="s">
        <v>409</v>
      </c>
      <c r="BK5" t="s">
        <v>392</v>
      </c>
      <c r="BL5" t="s">
        <v>412</v>
      </c>
      <c r="BM5" t="s">
        <v>410</v>
      </c>
      <c r="BN5">
        <v>6.23</v>
      </c>
      <c r="BO5">
        <v>7.06</v>
      </c>
      <c r="BP5">
        <v>6.22</v>
      </c>
      <c r="BQ5">
        <v>6.39</v>
      </c>
      <c r="BR5">
        <v>7.77</v>
      </c>
      <c r="BS5">
        <v>6.89</v>
      </c>
      <c r="BT5" t="s">
        <v>413</v>
      </c>
      <c r="BU5" t="s">
        <v>67</v>
      </c>
      <c r="BV5">
        <v>7.12</v>
      </c>
      <c r="BW5">
        <v>7.62</v>
      </c>
      <c r="BX5">
        <v>7.3</v>
      </c>
      <c r="BY5">
        <v>2.12</v>
      </c>
      <c r="BZ5">
        <v>2.06</v>
      </c>
      <c r="CA5">
        <v>1.84</v>
      </c>
      <c r="CB5">
        <v>2.76</v>
      </c>
      <c r="CC5">
        <v>5.74</v>
      </c>
      <c r="CD5" t="s">
        <v>414</v>
      </c>
      <c r="CE5" t="s">
        <v>415</v>
      </c>
      <c r="CF5" s="9">
        <v>0.37834978843441486</v>
      </c>
      <c r="CG5" s="10">
        <v>0.53209405660377362</v>
      </c>
      <c r="CH5" s="9">
        <v>0.10750437527894974</v>
      </c>
      <c r="CI5" s="9">
        <v>6.0213632881641388E-2</v>
      </c>
      <c r="CJ5" s="9">
        <v>0.32192102074623108</v>
      </c>
      <c r="CK5" s="9">
        <v>8.5617177188396454E-2</v>
      </c>
      <c r="CL5" s="9">
        <v>0.10978256165981293</v>
      </c>
      <c r="CM5" s="10">
        <v>0.11136363446712494</v>
      </c>
      <c r="CN5" s="10">
        <v>0.21212121844291687</v>
      </c>
      <c r="CO5" s="10">
        <v>0.61333334445953369</v>
      </c>
      <c r="CP5" s="10">
        <v>0.40625</v>
      </c>
      <c r="CQ5" s="10">
        <v>-0.40740740299224854</v>
      </c>
      <c r="CR5">
        <v>68.899642526964556</v>
      </c>
      <c r="CS5">
        <v>5.0288863762235225</v>
      </c>
      <c r="CT5">
        <v>0.69892473118279563</v>
      </c>
      <c r="CU5" s="9">
        <v>0.13700775355100631</v>
      </c>
      <c r="CV5" s="10">
        <v>0.18713215887546539</v>
      </c>
      <c r="CW5">
        <v>0.06</v>
      </c>
      <c r="CX5">
        <v>32.802869223832097</v>
      </c>
      <c r="CY5">
        <v>524525274.98720944</v>
      </c>
      <c r="CZ5">
        <v>0.13700775355100631</v>
      </c>
      <c r="DA5">
        <v>10.303568076250684</v>
      </c>
      <c r="DB5">
        <v>1669900550.2432692</v>
      </c>
      <c r="DC5">
        <v>0.13015736587345597</v>
      </c>
      <c r="DD5">
        <v>4.8062115288014651</v>
      </c>
      <c r="DE5">
        <v>3579936899.758276</v>
      </c>
      <c r="DF5">
        <v>0.12056682312488555</v>
      </c>
      <c r="DG5">
        <v>2.7125766158929632</v>
      </c>
      <c r="DH5">
        <v>6343022312.8779402</v>
      </c>
      <c r="DI5">
        <v>0.10960620284080505</v>
      </c>
      <c r="DJ5">
        <v>1.217449782422696</v>
      </c>
      <c r="DK5">
        <v>14132766910.320196</v>
      </c>
      <c r="DL5">
        <v>9.5905427485704409E-2</v>
      </c>
      <c r="DM5">
        <v>488999999.99999994</v>
      </c>
      <c r="DN5">
        <v>0.13700775355100631</v>
      </c>
      <c r="DO5">
        <v>17205934000</v>
      </c>
      <c r="DP5">
        <v>761443499.99999988</v>
      </c>
      <c r="DQ5">
        <v>665</v>
      </c>
      <c r="DR5">
        <v>0.24134203488340855</v>
      </c>
      <c r="DS5">
        <v>0.34496189772830821</v>
      </c>
      <c r="DT5" s="11">
        <v>-0.3066666666666667</v>
      </c>
      <c r="DU5">
        <v>0.65333333333333332</v>
      </c>
      <c r="DV5">
        <v>0.34666666666666662</v>
      </c>
      <c r="DW5">
        <v>8.4808362369337971</v>
      </c>
      <c r="DX5">
        <v>0.37739987135330266</v>
      </c>
      <c r="DY5">
        <v>8.0660668370967095</v>
      </c>
      <c r="DZ5">
        <v>959</v>
      </c>
      <c r="EA5">
        <v>8.0536679923265044</v>
      </c>
      <c r="EB5">
        <v>8</v>
      </c>
      <c r="EC5">
        <v>0.18551803461162553</v>
      </c>
      <c r="ED5">
        <v>1.3502052474200368</v>
      </c>
      <c r="EE5" s="12">
        <v>4.1324100000000001</v>
      </c>
      <c r="EF5">
        <v>3.0127099999999998</v>
      </c>
      <c r="EG5">
        <v>24.137399871353303</v>
      </c>
      <c r="EH5" t="s">
        <v>416</v>
      </c>
      <c r="EI5">
        <v>0</v>
      </c>
      <c r="EJ5">
        <v>1</v>
      </c>
      <c r="EK5" s="8">
        <v>45470</v>
      </c>
      <c r="EL5" s="13">
        <v>2.29</v>
      </c>
      <c r="EM5" s="13">
        <v>-3.81</v>
      </c>
      <c r="EN5" s="13">
        <v>1.69</v>
      </c>
      <c r="EO5" s="13">
        <v>0</v>
      </c>
      <c r="EP5" s="13">
        <v>-3.03</v>
      </c>
    </row>
    <row r="6" spans="1:146" ht="96" x14ac:dyDescent="0.25">
      <c r="A6" s="6"/>
      <c r="B6" s="6"/>
      <c r="C6" s="6" t="str">
        <f>""&amp;CHAR(10)&amp;Basic_Fundamental_Information_Constructure(F6)&amp;CHAR(10)&amp;Basic_Fundamental_Information_Concatenate("")</f>
        <v xml:space="preserve">
市值135.81417亿, 利润5.16亿; PE25.43; 平均PE31.98; 平均PEG1.25, PB1.52; ROIC3.7833%; ROE5.65%; 股利率1.1411%; 毛利3.8367%; 净利.9%; 上一年度营收增31.03%, 利润增3.41%; 当季营收增24.98%, 利润增15.01%; 过往5年营收增25.54%, 利润增6.47%
Income profile:
</v>
      </c>
      <c r="D6" t="s">
        <v>86</v>
      </c>
      <c r="E6" t="s">
        <v>87</v>
      </c>
      <c r="F6">
        <v>11.83</v>
      </c>
      <c r="G6">
        <v>3.95</v>
      </c>
      <c r="H6" t="s">
        <v>417</v>
      </c>
      <c r="I6">
        <v>13581417000</v>
      </c>
      <c r="J6">
        <v>25.43</v>
      </c>
      <c r="K6">
        <v>1.52</v>
      </c>
      <c r="L6" t="s">
        <v>67</v>
      </c>
      <c r="M6" t="s">
        <v>418</v>
      </c>
      <c r="N6" t="s">
        <v>419</v>
      </c>
      <c r="O6" t="s">
        <v>420</v>
      </c>
      <c r="P6">
        <v>24.98</v>
      </c>
      <c r="Q6" t="s">
        <v>421</v>
      </c>
      <c r="R6">
        <v>141464840</v>
      </c>
      <c r="S6" s="5">
        <v>0.1482</v>
      </c>
      <c r="T6" t="s">
        <v>422</v>
      </c>
      <c r="U6">
        <v>910434410</v>
      </c>
      <c r="V6">
        <v>1148048810</v>
      </c>
      <c r="W6">
        <v>2.59</v>
      </c>
      <c r="X6">
        <v>0.9</v>
      </c>
      <c r="Y6">
        <v>0.66</v>
      </c>
      <c r="Z6" t="s">
        <v>423</v>
      </c>
      <c r="AA6" t="s">
        <v>424</v>
      </c>
      <c r="AB6" t="s">
        <v>425</v>
      </c>
      <c r="AC6" t="s">
        <v>403</v>
      </c>
      <c r="AD6" t="s">
        <v>5</v>
      </c>
      <c r="AE6">
        <v>56762284</v>
      </c>
      <c r="AF6" t="s">
        <v>426</v>
      </c>
      <c r="AG6" t="s">
        <v>427</v>
      </c>
      <c r="AH6" t="s">
        <v>428</v>
      </c>
      <c r="AI6" t="s">
        <v>429</v>
      </c>
      <c r="AJ6" t="s">
        <v>430</v>
      </c>
      <c r="AK6" t="s">
        <v>5</v>
      </c>
      <c r="AL6" t="s">
        <v>431</v>
      </c>
      <c r="AM6" t="s">
        <v>5</v>
      </c>
      <c r="AN6" t="s">
        <v>432</v>
      </c>
      <c r="AO6" t="s">
        <v>433</v>
      </c>
      <c r="AP6" t="s">
        <v>434</v>
      </c>
      <c r="AQ6" t="s">
        <v>435</v>
      </c>
      <c r="AR6" t="s">
        <v>436</v>
      </c>
      <c r="AS6" t="s">
        <v>437</v>
      </c>
      <c r="AT6" t="s">
        <v>438</v>
      </c>
      <c r="AU6" t="s">
        <v>439</v>
      </c>
      <c r="AV6" t="s">
        <v>440</v>
      </c>
      <c r="AW6" t="s">
        <v>441</v>
      </c>
      <c r="AX6" t="s">
        <v>442</v>
      </c>
      <c r="AY6" t="s">
        <v>137</v>
      </c>
      <c r="AZ6" t="s">
        <v>88</v>
      </c>
      <c r="BA6" t="s">
        <v>90</v>
      </c>
      <c r="BB6" t="s">
        <v>91</v>
      </c>
      <c r="BC6" t="s">
        <v>443</v>
      </c>
      <c r="BD6" t="s">
        <v>138</v>
      </c>
      <c r="BE6" t="s">
        <v>89</v>
      </c>
      <c r="BF6" t="s">
        <v>92</v>
      </c>
      <c r="BG6" t="s">
        <v>93</v>
      </c>
      <c r="BH6" t="s">
        <v>421</v>
      </c>
      <c r="BI6" t="s">
        <v>444</v>
      </c>
      <c r="BJ6" t="s">
        <v>442</v>
      </c>
      <c r="BK6" t="s">
        <v>422</v>
      </c>
      <c r="BL6" t="s">
        <v>382</v>
      </c>
      <c r="BM6" t="s">
        <v>443</v>
      </c>
      <c r="BN6">
        <v>2.89</v>
      </c>
      <c r="BO6">
        <v>4.22</v>
      </c>
      <c r="BP6">
        <v>4.24</v>
      </c>
      <c r="BQ6">
        <v>4.7699999999999996</v>
      </c>
      <c r="BR6">
        <v>6.22</v>
      </c>
      <c r="BS6">
        <v>5.96</v>
      </c>
      <c r="BT6" t="s">
        <v>445</v>
      </c>
      <c r="BU6" t="s">
        <v>67</v>
      </c>
      <c r="BV6">
        <v>2.72</v>
      </c>
      <c r="BW6">
        <v>3.76</v>
      </c>
      <c r="BX6">
        <v>5.03</v>
      </c>
      <c r="BY6">
        <v>0.74</v>
      </c>
      <c r="BZ6">
        <v>0.93</v>
      </c>
      <c r="CA6">
        <v>1.03</v>
      </c>
      <c r="CB6">
        <v>2.78</v>
      </c>
      <c r="CC6">
        <v>-5.0199999999999996</v>
      </c>
      <c r="CD6" t="s">
        <v>446</v>
      </c>
      <c r="CE6" t="s">
        <v>447</v>
      </c>
      <c r="CF6" s="9">
        <v>0.2498047930806655</v>
      </c>
      <c r="CG6" s="10">
        <v>0.15012065040650407</v>
      </c>
      <c r="CH6" s="9">
        <v>0.3103083074092865</v>
      </c>
      <c r="CI6" s="9">
        <v>0.20936140418052673</v>
      </c>
      <c r="CJ6" s="9">
        <v>0.14783784747123718</v>
      </c>
      <c r="CK6" s="9">
        <v>0.26342162489891052</v>
      </c>
      <c r="CL6" s="9">
        <v>0.34597423672676086</v>
      </c>
      <c r="CM6" s="10">
        <v>3.4068137407302856E-2</v>
      </c>
      <c r="CN6" s="10">
        <v>9.6703298389911652E-2</v>
      </c>
      <c r="CO6" s="10">
        <v>0.2431693971157074</v>
      </c>
      <c r="CP6" s="10">
        <v>0.19607843458652496</v>
      </c>
      <c r="CQ6" s="10">
        <v>-0.24630542099475861</v>
      </c>
      <c r="CR6">
        <v>31.981358712715853</v>
      </c>
      <c r="CS6">
        <v>1.25230139549302</v>
      </c>
      <c r="CT6">
        <v>1.1411479289940827</v>
      </c>
      <c r="CU6" s="9">
        <v>0.25538068413734438</v>
      </c>
      <c r="CV6" s="10">
        <v>6.4742769300937655E-2</v>
      </c>
      <c r="CW6">
        <v>0.06</v>
      </c>
      <c r="CX6">
        <v>27.789467326278572</v>
      </c>
      <c r="CY6">
        <v>611109842.46685815</v>
      </c>
      <c r="CZ6">
        <v>0.25538068413734438</v>
      </c>
      <c r="DA6">
        <v>7.9162549235513087</v>
      </c>
      <c r="DB6">
        <v>2145258984.7095933</v>
      </c>
      <c r="DC6">
        <v>0.24261164993047715</v>
      </c>
      <c r="DD6">
        <v>3.2098841611814541</v>
      </c>
      <c r="DE6">
        <v>5290663509.0997562</v>
      </c>
      <c r="DF6">
        <v>0.22473500204086305</v>
      </c>
      <c r="DG6">
        <v>1.5264722260553671</v>
      </c>
      <c r="DH6">
        <v>11125270876.290432</v>
      </c>
      <c r="DI6">
        <v>0.20430454730987552</v>
      </c>
      <c r="DJ6">
        <v>0.45027166892814607</v>
      </c>
      <c r="DK6">
        <v>37715935005.251328</v>
      </c>
      <c r="DL6">
        <v>0.17876647889614106</v>
      </c>
      <c r="DM6">
        <v>516000000</v>
      </c>
      <c r="DN6">
        <v>0.25538068413734438</v>
      </c>
      <c r="DO6">
        <v>16982417000</v>
      </c>
      <c r="DP6">
        <v>9006521000</v>
      </c>
      <c r="DQ6">
        <v>746</v>
      </c>
      <c r="DR6">
        <v>-5.5758910566788833E-3</v>
      </c>
      <c r="DS6">
        <v>8.5377881105566419E-2</v>
      </c>
      <c r="DT6" s="11">
        <v>9.3333333333333268E-2</v>
      </c>
      <c r="DU6">
        <v>0.15</v>
      </c>
      <c r="DV6">
        <v>0.24333333333333326</v>
      </c>
      <c r="DW6">
        <v>6.356410256410256</v>
      </c>
      <c r="DX6">
        <v>0.53965859564164553</v>
      </c>
      <c r="DY6">
        <v>6.0426475507543307</v>
      </c>
      <c r="DZ6">
        <v>1171</v>
      </c>
      <c r="EA6">
        <v>6.0328745014523113</v>
      </c>
      <c r="EB6">
        <v>6</v>
      </c>
      <c r="EC6">
        <v>4.3046079199367836E-2</v>
      </c>
      <c r="ED6">
        <v>0.35974080230961608</v>
      </c>
      <c r="EE6" s="12">
        <v>3.8699999999999998E-2</v>
      </c>
      <c r="EF6">
        <v>2.0399999999999998E-2</v>
      </c>
      <c r="EG6">
        <v>42.119658595641646</v>
      </c>
      <c r="EH6" t="s">
        <v>200</v>
      </c>
      <c r="EI6">
        <v>0</v>
      </c>
      <c r="EJ6">
        <v>1</v>
      </c>
      <c r="EK6" s="8">
        <v>45470</v>
      </c>
      <c r="EL6" s="13">
        <v>-0.34</v>
      </c>
      <c r="EM6" s="13">
        <v>-2.23</v>
      </c>
      <c r="EN6" s="13">
        <v>0.35</v>
      </c>
      <c r="EO6" s="13">
        <v>0.26</v>
      </c>
      <c r="EP6" s="13">
        <v>-1.83</v>
      </c>
    </row>
    <row r="7" spans="1:146" ht="96" x14ac:dyDescent="0.25">
      <c r="A7" s="6"/>
      <c r="B7" s="6"/>
      <c r="C7" s="6" t="str">
        <f>""&amp;CHAR(10)&amp;Basic_Fundamental_Information_Constructure(F7)&amp;CHAR(10)&amp;Basic_Fundamental_Information_Concatenate("")</f>
        <v xml:space="preserve">
市值92.03269亿, 利润-1.61亿; PE; 平均PE-12.78; 平均PEG-.99, PB2.81; ROIC2.08%; ROE-2.9867%; 股利率0%; 毛利2.9033%; 净利-2.4333%; 上一年度营收增51.41%, 利润增3.59%; 当季营收增45.29%, 利润增192.53%; 过往5年营收增12.94%, 利润增-997.66%
Income profile:
</v>
      </c>
      <c r="D7" t="s">
        <v>95</v>
      </c>
      <c r="E7" t="s">
        <v>448</v>
      </c>
      <c r="F7">
        <v>3.26</v>
      </c>
      <c r="G7">
        <v>2.84</v>
      </c>
      <c r="H7" t="s">
        <v>449</v>
      </c>
      <c r="I7">
        <v>9203269000</v>
      </c>
      <c r="K7">
        <v>2.81</v>
      </c>
      <c r="L7" t="s">
        <v>67</v>
      </c>
      <c r="M7" t="s">
        <v>450</v>
      </c>
      <c r="N7" t="s">
        <v>451</v>
      </c>
      <c r="O7" t="s">
        <v>452</v>
      </c>
      <c r="P7">
        <v>45.33</v>
      </c>
      <c r="Q7" t="s">
        <v>453</v>
      </c>
      <c r="R7">
        <v>4704007</v>
      </c>
      <c r="S7" s="5">
        <v>1.925</v>
      </c>
      <c r="T7" t="s">
        <v>454</v>
      </c>
      <c r="U7">
        <v>2210479100</v>
      </c>
      <c r="V7">
        <v>2823088600</v>
      </c>
      <c r="W7">
        <v>1.9</v>
      </c>
      <c r="X7">
        <v>0.31</v>
      </c>
      <c r="Y7">
        <v>0.3</v>
      </c>
      <c r="Z7" t="s">
        <v>432</v>
      </c>
      <c r="AA7" t="s">
        <v>455</v>
      </c>
      <c r="AB7" t="s">
        <v>456</v>
      </c>
      <c r="AC7" t="s">
        <v>457</v>
      </c>
      <c r="AD7" t="s">
        <v>5</v>
      </c>
      <c r="AE7">
        <v>26558444</v>
      </c>
      <c r="AF7" t="s">
        <v>458</v>
      </c>
      <c r="AG7" t="s">
        <v>459</v>
      </c>
      <c r="AH7" t="s">
        <v>460</v>
      </c>
      <c r="AI7" t="s">
        <v>461</v>
      </c>
      <c r="AJ7" t="s">
        <v>462</v>
      </c>
      <c r="AK7" t="s">
        <v>5</v>
      </c>
      <c r="AL7" t="s">
        <v>463</v>
      </c>
      <c r="AM7" t="s">
        <v>5</v>
      </c>
      <c r="AN7" t="s">
        <v>464</v>
      </c>
      <c r="AO7" t="s">
        <v>5</v>
      </c>
      <c r="AP7" t="s">
        <v>5</v>
      </c>
      <c r="AQ7" t="s">
        <v>258</v>
      </c>
      <c r="AR7" t="s">
        <v>465</v>
      </c>
      <c r="AS7" t="s">
        <v>466</v>
      </c>
      <c r="AT7" t="s">
        <v>467</v>
      </c>
      <c r="AU7" t="s">
        <v>468</v>
      </c>
      <c r="AV7" t="s">
        <v>469</v>
      </c>
      <c r="AW7" t="s">
        <v>63</v>
      </c>
      <c r="AX7" t="s">
        <v>470</v>
      </c>
      <c r="AY7" t="s">
        <v>139</v>
      </c>
      <c r="AZ7" t="s">
        <v>60</v>
      </c>
      <c r="BA7" t="s">
        <v>96</v>
      </c>
      <c r="BB7" t="s">
        <v>97</v>
      </c>
      <c r="BC7" t="s">
        <v>471</v>
      </c>
      <c r="BD7" t="s">
        <v>140</v>
      </c>
      <c r="BE7" t="s">
        <v>53</v>
      </c>
      <c r="BF7" t="s">
        <v>98</v>
      </c>
      <c r="BG7" t="s">
        <v>23</v>
      </c>
      <c r="BH7" t="s">
        <v>453</v>
      </c>
      <c r="BI7" t="s">
        <v>472</v>
      </c>
      <c r="BJ7" t="s">
        <v>470</v>
      </c>
      <c r="BK7" t="s">
        <v>454</v>
      </c>
      <c r="BL7" t="s">
        <v>473</v>
      </c>
      <c r="BM7" t="s">
        <v>471</v>
      </c>
      <c r="BN7" t="s">
        <v>5</v>
      </c>
      <c r="BO7" t="s">
        <v>5</v>
      </c>
      <c r="BP7">
        <v>2.08</v>
      </c>
      <c r="BQ7">
        <v>-1.04</v>
      </c>
      <c r="BR7">
        <v>-8.67</v>
      </c>
      <c r="BS7">
        <v>0.75</v>
      </c>
      <c r="BT7" t="s">
        <v>259</v>
      </c>
      <c r="BU7" t="s">
        <v>67</v>
      </c>
      <c r="BV7">
        <v>1.71</v>
      </c>
      <c r="BW7">
        <v>0.19</v>
      </c>
      <c r="BX7">
        <v>6.81</v>
      </c>
      <c r="BY7">
        <v>-3.13</v>
      </c>
      <c r="BZ7">
        <v>-4.92</v>
      </c>
      <c r="CA7">
        <v>0.75</v>
      </c>
      <c r="CB7">
        <v>4.82</v>
      </c>
      <c r="CC7">
        <v>-11.65</v>
      </c>
      <c r="CD7" t="s">
        <v>474</v>
      </c>
      <c r="CE7" t="s">
        <v>475</v>
      </c>
      <c r="CF7" s="9">
        <v>0.45288197621225984</v>
      </c>
      <c r="CG7" s="10">
        <v>1.9252570810385523</v>
      </c>
      <c r="CH7" s="9">
        <v>0.51414263248443604</v>
      </c>
      <c r="CI7" s="9">
        <v>0.70638513565063477</v>
      </c>
      <c r="CJ7" s="9">
        <v>0.65062242746353149</v>
      </c>
      <c r="CK7" s="9">
        <v>-0.80561375617980957</v>
      </c>
      <c r="CL7" s="9">
        <v>-0.41831663250923157</v>
      </c>
      <c r="CM7" s="10">
        <v>3.5928145051002502E-2</v>
      </c>
      <c r="CN7" s="10">
        <v>-12.181114196777344</v>
      </c>
      <c r="CO7" s="10">
        <v>-0.93272113800048828</v>
      </c>
      <c r="CP7" s="10">
        <v>1.0510462522506714</v>
      </c>
      <c r="CQ7" s="10">
        <v>-37.855934143066406</v>
      </c>
      <c r="CR7">
        <v>-12.776213568882516</v>
      </c>
      <c r="CS7">
        <v>-0.98700730667439185</v>
      </c>
      <c r="CT7">
        <v>0</v>
      </c>
      <c r="CU7" s="9">
        <v>0.12944396138191222</v>
      </c>
      <c r="CV7" s="10">
        <v>-9.9765590161085136</v>
      </c>
      <c r="CW7">
        <v>0.06</v>
      </c>
      <c r="CX7" t="e">
        <v>#VALUE!</v>
      </c>
      <c r="CY7" t="s">
        <v>197</v>
      </c>
      <c r="CZ7">
        <v>0.12944396138191222</v>
      </c>
      <c r="DA7" t="e">
        <v>#VALUE!</v>
      </c>
      <c r="DB7" t="s">
        <v>197</v>
      </c>
      <c r="DC7">
        <v>0.1229717633128166</v>
      </c>
      <c r="DD7" t="e">
        <v>#VALUE!</v>
      </c>
      <c r="DE7" t="s">
        <v>197</v>
      </c>
      <c r="DF7">
        <v>0.11391068601608276</v>
      </c>
      <c r="DG7" t="e">
        <v>#VALUE!</v>
      </c>
      <c r="DH7" t="s">
        <v>197</v>
      </c>
      <c r="DI7">
        <v>0.10355516910552978</v>
      </c>
      <c r="DJ7" t="e">
        <v>#VALUE!</v>
      </c>
      <c r="DK7" t="s">
        <v>197</v>
      </c>
      <c r="DL7">
        <v>9.0610772967338549E-2</v>
      </c>
      <c r="DM7">
        <v>-161000000</v>
      </c>
      <c r="DN7">
        <v>0.12944396138191222</v>
      </c>
      <c r="DO7">
        <v>8616269000</v>
      </c>
      <c r="DP7">
        <v>189383600</v>
      </c>
      <c r="DQ7">
        <v>1200</v>
      </c>
      <c r="DR7">
        <v>0.32343801483034762</v>
      </c>
      <c r="DS7">
        <v>11.901816097147066</v>
      </c>
      <c r="DT7" s="11">
        <v>-3.9999999999999959E-2</v>
      </c>
      <c r="DU7">
        <v>-1.3433333333333335</v>
      </c>
      <c r="DV7">
        <v>-1.3833333333333335</v>
      </c>
      <c r="DW7">
        <v>6.2926533090467514</v>
      </c>
      <c r="DX7">
        <v>0.42803922103538555</v>
      </c>
      <c r="DY7">
        <v>6.0286915024523724</v>
      </c>
      <c r="DZ7">
        <v>3935</v>
      </c>
      <c r="EA7">
        <v>6.0065973611314165</v>
      </c>
      <c r="EB7">
        <v>6</v>
      </c>
      <c r="EC7">
        <v>8.1471052661967455E-2</v>
      </c>
      <c r="ED7">
        <v>0.83100473715206813</v>
      </c>
      <c r="EE7" s="12">
        <v>2.0098099999999999</v>
      </c>
      <c r="EF7">
        <v>2.06331</v>
      </c>
      <c r="EG7">
        <v>33.098039221035386</v>
      </c>
      <c r="EH7" t="s">
        <v>476</v>
      </c>
      <c r="EI7">
        <v>0</v>
      </c>
      <c r="EJ7">
        <v>0</v>
      </c>
      <c r="EK7" s="8">
        <v>45470</v>
      </c>
      <c r="EL7" s="13">
        <v>-1.17</v>
      </c>
      <c r="EM7" s="13">
        <v>-6.19</v>
      </c>
      <c r="EN7" s="13">
        <v>0.31</v>
      </c>
      <c r="EO7" s="13">
        <v>-0.31</v>
      </c>
      <c r="EP7" s="13">
        <v>-5.35</v>
      </c>
    </row>
    <row r="8" spans="1:146" ht="96" x14ac:dyDescent="0.25">
      <c r="A8" s="6"/>
      <c r="B8" s="6"/>
      <c r="C8" s="6" t="str">
        <f>""&amp;CHAR(10)&amp;Basic_Fundamental_Information_Constructure(F8)&amp;CHAR(10)&amp;Basic_Fundamental_Information_Concatenate("")</f>
        <v xml:space="preserve">
市值33.702亿, 利润-3437.78万; PE; 平均PE-94.9; 平均PEG-4.9, PB3.5; ROIC5.825%; ROE1.22%; 股利率0%; 毛利47.73%; 净利1.1233%; 上一年度营收增8.22%, 利润增58.39%; 当季营收增25.12%, 利润增157.03%; 过往5年营收增19.38%, 利润增-389.17%
Income profile:
</v>
      </c>
      <c r="D8" t="s">
        <v>141</v>
      </c>
      <c r="E8" t="s">
        <v>142</v>
      </c>
      <c r="F8">
        <v>12.3</v>
      </c>
      <c r="G8">
        <v>4.24</v>
      </c>
      <c r="H8" t="s">
        <v>477</v>
      </c>
      <c r="I8">
        <v>3370200000</v>
      </c>
      <c r="K8">
        <v>3.5</v>
      </c>
      <c r="L8" t="s">
        <v>67</v>
      </c>
      <c r="M8" t="s">
        <v>478</v>
      </c>
      <c r="N8" t="s">
        <v>479</v>
      </c>
      <c r="O8" t="s">
        <v>480</v>
      </c>
      <c r="P8">
        <v>25.12</v>
      </c>
      <c r="Q8" t="s">
        <v>481</v>
      </c>
      <c r="R8">
        <v>10246569</v>
      </c>
      <c r="S8" s="5">
        <v>1.57</v>
      </c>
      <c r="T8" t="s">
        <v>482</v>
      </c>
      <c r="U8">
        <v>233651730</v>
      </c>
      <c r="V8">
        <v>274000000</v>
      </c>
      <c r="W8">
        <v>1.1299999999999999</v>
      </c>
      <c r="X8">
        <v>0.06</v>
      </c>
      <c r="Y8">
        <v>24.71</v>
      </c>
      <c r="Z8" t="s">
        <v>483</v>
      </c>
      <c r="AA8" t="s">
        <v>484</v>
      </c>
      <c r="AB8" t="s">
        <v>485</v>
      </c>
      <c r="AC8" t="s">
        <v>486</v>
      </c>
      <c r="AD8" t="s">
        <v>5</v>
      </c>
      <c r="AE8">
        <v>-1513861</v>
      </c>
      <c r="AF8" t="s">
        <v>487</v>
      </c>
      <c r="AG8" t="s">
        <v>5</v>
      </c>
      <c r="AH8" t="s">
        <v>488</v>
      </c>
      <c r="AI8" t="s">
        <v>489</v>
      </c>
      <c r="AJ8" t="s">
        <v>490</v>
      </c>
      <c r="AK8" t="s">
        <v>5</v>
      </c>
      <c r="AL8" t="s">
        <v>491</v>
      </c>
      <c r="AM8" t="s">
        <v>5</v>
      </c>
      <c r="AN8" t="s">
        <v>492</v>
      </c>
      <c r="AO8" t="s">
        <v>5</v>
      </c>
      <c r="AP8" t="s">
        <v>5</v>
      </c>
      <c r="AQ8" t="s">
        <v>493</v>
      </c>
      <c r="AR8" t="s">
        <v>494</v>
      </c>
      <c r="AS8" t="s">
        <v>495</v>
      </c>
      <c r="AT8" t="s">
        <v>5</v>
      </c>
      <c r="AU8" t="s">
        <v>496</v>
      </c>
      <c r="AV8" t="s">
        <v>497</v>
      </c>
      <c r="AW8" t="s">
        <v>5</v>
      </c>
      <c r="AX8" t="s">
        <v>498</v>
      </c>
      <c r="AY8" t="s">
        <v>24</v>
      </c>
      <c r="AZ8" t="s">
        <v>144</v>
      </c>
      <c r="BA8" t="s">
        <v>145</v>
      </c>
      <c r="BB8" t="s">
        <v>99</v>
      </c>
      <c r="BC8" t="s">
        <v>499</v>
      </c>
      <c r="BD8" t="s">
        <v>143</v>
      </c>
      <c r="BE8" t="s">
        <v>146</v>
      </c>
      <c r="BF8" t="s">
        <v>147</v>
      </c>
      <c r="BG8" t="s">
        <v>148</v>
      </c>
      <c r="BH8" t="s">
        <v>481</v>
      </c>
      <c r="BI8" t="s">
        <v>500</v>
      </c>
      <c r="BJ8" t="s">
        <v>498</v>
      </c>
      <c r="BK8" t="s">
        <v>482</v>
      </c>
      <c r="BL8" t="s">
        <v>501</v>
      </c>
      <c r="BM8" t="s">
        <v>499</v>
      </c>
      <c r="BN8">
        <v>2.46</v>
      </c>
      <c r="BO8" t="s">
        <v>5</v>
      </c>
      <c r="BP8">
        <v>9.19</v>
      </c>
      <c r="BQ8">
        <v>4.05</v>
      </c>
      <c r="BR8">
        <v>-8.32</v>
      </c>
      <c r="BS8">
        <v>7.93</v>
      </c>
      <c r="BT8" t="s">
        <v>259</v>
      </c>
      <c r="BU8" t="s">
        <v>67</v>
      </c>
      <c r="BV8">
        <v>35.36</v>
      </c>
      <c r="BW8">
        <v>55.92</v>
      </c>
      <c r="BX8">
        <v>51.91</v>
      </c>
      <c r="BY8">
        <v>-14.24</v>
      </c>
      <c r="BZ8">
        <v>-31.14</v>
      </c>
      <c r="CA8">
        <v>48.75</v>
      </c>
      <c r="CB8">
        <v>2.67</v>
      </c>
      <c r="CC8">
        <v>-12.02</v>
      </c>
      <c r="CD8" t="s">
        <v>502</v>
      </c>
      <c r="CE8" t="s">
        <v>503</v>
      </c>
      <c r="CF8" s="9">
        <v>0.25121988148739516</v>
      </c>
      <c r="CG8" s="10">
        <v>1.5703406491258343</v>
      </c>
      <c r="CH8" s="9">
        <v>8.2191780209541321E-2</v>
      </c>
      <c r="CI8" s="9">
        <v>0.13471502065658569</v>
      </c>
      <c r="CJ8" s="9">
        <v>4.3243244290351868E-2</v>
      </c>
      <c r="CK8" s="9">
        <v>-0.4861111044883728</v>
      </c>
      <c r="CL8" s="9">
        <v>1.1951220035552979</v>
      </c>
      <c r="CM8" s="10">
        <v>0.58394646644592285</v>
      </c>
      <c r="CN8" s="10">
        <v>-2.050692081451416</v>
      </c>
      <c r="CO8" s="10">
        <v>1.794833779335022</v>
      </c>
      <c r="CP8" s="10">
        <v>-0.23518864810466766</v>
      </c>
      <c r="CQ8" s="10">
        <v>-19.551170349121094</v>
      </c>
      <c r="CR8">
        <v>-94.895248339079743</v>
      </c>
      <c r="CS8">
        <v>-4.8957424927559394</v>
      </c>
      <c r="CT8">
        <v>0</v>
      </c>
      <c r="CU8" s="9">
        <v>0.19383218884468079</v>
      </c>
      <c r="CV8" s="10">
        <v>-3.8916541665792463</v>
      </c>
      <c r="CW8">
        <v>0.06</v>
      </c>
      <c r="CX8" t="e">
        <v>#VALUE!</v>
      </c>
      <c r="CY8" t="s">
        <v>197</v>
      </c>
      <c r="CZ8">
        <v>0.19383218884468079</v>
      </c>
      <c r="DA8" t="e">
        <v>#VALUE!</v>
      </c>
      <c r="DB8" t="s">
        <v>197</v>
      </c>
      <c r="DC8">
        <v>0.18414057940244674</v>
      </c>
      <c r="DD8" t="e">
        <v>#VALUE!</v>
      </c>
      <c r="DE8" t="s">
        <v>197</v>
      </c>
      <c r="DF8">
        <v>0.17057232618331911</v>
      </c>
      <c r="DG8" t="e">
        <v>#VALUE!</v>
      </c>
      <c r="DH8" t="s">
        <v>197</v>
      </c>
      <c r="DI8">
        <v>0.15506575107574463</v>
      </c>
      <c r="DJ8" t="e">
        <v>#VALUE!</v>
      </c>
      <c r="DK8" t="s">
        <v>197</v>
      </c>
      <c r="DL8">
        <v>0.13568253219127654</v>
      </c>
      <c r="DM8">
        <v>-34377800</v>
      </c>
      <c r="DN8">
        <v>0.19383218884468079</v>
      </c>
      <c r="DO8">
        <v>2503200000</v>
      </c>
      <c r="DP8">
        <v>422712340</v>
      </c>
      <c r="DQ8">
        <v>1629</v>
      </c>
      <c r="DR8">
        <v>5.7387692642714372E-2</v>
      </c>
      <c r="DS8">
        <v>5.4619948157050811</v>
      </c>
      <c r="DT8" s="11">
        <v>-0.35666666666666669</v>
      </c>
      <c r="DU8">
        <v>-1.2500000000000002</v>
      </c>
      <c r="DV8">
        <v>-1.6066666666666669</v>
      </c>
      <c r="DW8">
        <v>6.1817562968005442</v>
      </c>
      <c r="DX8">
        <v>0.51048192771084133</v>
      </c>
      <c r="DY8">
        <v>6.0218983490121136</v>
      </c>
      <c r="DZ8">
        <v>4100</v>
      </c>
      <c r="EA8">
        <v>6.0043282451080691</v>
      </c>
      <c r="EB8">
        <v>6</v>
      </c>
      <c r="EC8">
        <v>0.65693430656934304</v>
      </c>
      <c r="ED8">
        <v>5.4525547445255471</v>
      </c>
      <c r="EE8" s="12">
        <v>1.08931</v>
      </c>
      <c r="EF8">
        <v>1.1105100000000001</v>
      </c>
      <c r="EG8">
        <v>39.120481927710841</v>
      </c>
      <c r="EH8" t="s">
        <v>504</v>
      </c>
      <c r="EI8">
        <v>0</v>
      </c>
      <c r="EJ8">
        <v>0</v>
      </c>
      <c r="EK8" s="8">
        <v>45470</v>
      </c>
      <c r="EL8" s="13">
        <v>-2.96</v>
      </c>
      <c r="EM8" s="13">
        <v>-6.34</v>
      </c>
      <c r="EN8" s="13">
        <v>0.57999999999999996</v>
      </c>
      <c r="EO8" s="13">
        <v>-2.16</v>
      </c>
      <c r="EP8" s="13">
        <v>-2.12</v>
      </c>
    </row>
    <row r="9" spans="1:146" ht="168" x14ac:dyDescent="0.25">
      <c r="A9" s="6"/>
      <c r="B9" s="6"/>
      <c r="C9" s="6" t="str">
        <f>"公司生产是一家集黄金采、选、冶、加工综合配套能力的黄金企业,有高纯金、标准金、电解银、电解铜和硫酸等多种产品.公司的核心产品为黄金，其中黄金系列产品包括金精矿、合质金和标准金等。其他产品主要包括铜、白银和硫酸等。 "&amp;CHAR(10)&amp;Basic_Fundamental_Information_Constructure(F9)&amp;CHAR(10)&amp;Basic_Fundamental_Information_Concatenate("黄金 349.78亿 62.35% 36.91% 6.80%
铜 280.19亿 49.94% 45.43% 10.45%
其他 40.59亿 7.24% 15.95% 25.32%")</f>
        <v>公司生产是一家集黄金采、选、冶、加工综合配套能力的黄金企业,有高纯金、标准金、电解银、电解铜和硫酸等多种产品.公司的核心产品为黄金，其中黄金系列产品包括金精矿、合质金和标准金等。其他产品主要包括铜、白银和硫酸等。 
市值421.71619亿, 利润16.98亿; PE20.8; 平均PE.75; 平均PEG93865836.28, PB1.66; ROIC4.7267%; ROE5.3233%; 股利率2.5782%; 毛利12.3667%; 净利3.8667%; 上一年度营收增16.89%, 利润增9.2%; 当季营收增-2.02%, 利润增5.25%; 过往5年营收增8.48%, 利润增72.58%
Income profile:
黄金 349.78亿 62.35% 36.91% 6.80%
铜 280.19亿 49.94% 45.43% 10.45%
其他 40.59亿 7.24% 15.95% 25.32%</v>
      </c>
      <c r="D9" t="s">
        <v>100</v>
      </c>
      <c r="E9" t="s">
        <v>101</v>
      </c>
      <c r="F9">
        <v>8.6999999999999993</v>
      </c>
      <c r="G9">
        <v>2.7199999999999998E-2</v>
      </c>
      <c r="H9" t="s">
        <v>296</v>
      </c>
      <c r="I9">
        <v>42171619000</v>
      </c>
      <c r="J9">
        <v>20.8</v>
      </c>
      <c r="K9">
        <v>1.66</v>
      </c>
      <c r="L9" t="s">
        <v>67</v>
      </c>
      <c r="M9" t="s">
        <v>267</v>
      </c>
      <c r="N9" t="s">
        <v>268</v>
      </c>
      <c r="O9" t="s">
        <v>269</v>
      </c>
      <c r="P9">
        <v>-2.4300000000000002</v>
      </c>
      <c r="Q9" t="s">
        <v>149</v>
      </c>
      <c r="R9">
        <v>1716448600</v>
      </c>
      <c r="S9" s="5">
        <v>0.23769999999999999</v>
      </c>
      <c r="T9" t="s">
        <v>150</v>
      </c>
      <c r="U9">
        <v>4362661200</v>
      </c>
      <c r="V9">
        <v>4847312600</v>
      </c>
      <c r="W9">
        <v>1.77</v>
      </c>
      <c r="X9">
        <v>0.83</v>
      </c>
      <c r="Y9">
        <v>5.2</v>
      </c>
      <c r="Z9" t="s">
        <v>270</v>
      </c>
      <c r="AA9" t="s">
        <v>271</v>
      </c>
      <c r="AB9" t="s">
        <v>272</v>
      </c>
      <c r="AC9" t="s">
        <v>273</v>
      </c>
      <c r="AD9" t="s">
        <v>202</v>
      </c>
      <c r="AE9">
        <v>261037610</v>
      </c>
      <c r="AF9" t="s">
        <v>274</v>
      </c>
      <c r="AG9" t="s">
        <v>275</v>
      </c>
      <c r="AH9" t="s">
        <v>276</v>
      </c>
      <c r="AI9" t="s">
        <v>277</v>
      </c>
      <c r="AJ9" t="s">
        <v>278</v>
      </c>
      <c r="AK9" t="s">
        <v>279</v>
      </c>
      <c r="AL9" t="s">
        <v>280</v>
      </c>
      <c r="AM9" t="s">
        <v>5</v>
      </c>
      <c r="AN9" t="s">
        <v>281</v>
      </c>
      <c r="AO9" t="s">
        <v>282</v>
      </c>
      <c r="AP9" t="s">
        <v>283</v>
      </c>
      <c r="AQ9" t="s">
        <v>284</v>
      </c>
      <c r="AR9" t="s">
        <v>285</v>
      </c>
      <c r="AS9" t="s">
        <v>286</v>
      </c>
      <c r="AT9" t="s">
        <v>287</v>
      </c>
      <c r="AU9" t="s">
        <v>288</v>
      </c>
      <c r="AV9" t="s">
        <v>289</v>
      </c>
      <c r="AW9" t="s">
        <v>290</v>
      </c>
      <c r="AX9" t="s">
        <v>102</v>
      </c>
      <c r="AY9" t="s">
        <v>104</v>
      </c>
      <c r="AZ9" t="s">
        <v>105</v>
      </c>
      <c r="BA9" t="s">
        <v>106</v>
      </c>
      <c r="BB9" t="s">
        <v>107</v>
      </c>
      <c r="BC9" t="s">
        <v>103</v>
      </c>
      <c r="BD9" t="s">
        <v>108</v>
      </c>
      <c r="BE9" t="s">
        <v>24</v>
      </c>
      <c r="BF9" t="s">
        <v>54</v>
      </c>
      <c r="BG9" t="s">
        <v>58</v>
      </c>
      <c r="BH9" t="s">
        <v>291</v>
      </c>
      <c r="BI9" t="s">
        <v>292</v>
      </c>
      <c r="BJ9" t="s">
        <v>203</v>
      </c>
      <c r="BK9" t="s">
        <v>293</v>
      </c>
      <c r="BL9" t="s">
        <v>206</v>
      </c>
      <c r="BM9" t="s">
        <v>204</v>
      </c>
      <c r="BN9">
        <v>5.57</v>
      </c>
      <c r="BO9">
        <v>5.58</v>
      </c>
      <c r="BP9">
        <v>3.03</v>
      </c>
      <c r="BQ9">
        <v>7.02</v>
      </c>
      <c r="BR9">
        <v>7.64</v>
      </c>
      <c r="BS9">
        <v>1.31</v>
      </c>
      <c r="BT9" t="s">
        <v>294</v>
      </c>
      <c r="BU9" t="s">
        <v>67</v>
      </c>
      <c r="BV9">
        <v>13.11</v>
      </c>
      <c r="BW9">
        <v>12.91</v>
      </c>
      <c r="BX9">
        <v>11.08</v>
      </c>
      <c r="BY9">
        <v>5.79</v>
      </c>
      <c r="BZ9">
        <v>4.03</v>
      </c>
      <c r="CA9">
        <v>1.78</v>
      </c>
      <c r="CB9">
        <v>1.4</v>
      </c>
      <c r="CC9">
        <v>7.27</v>
      </c>
      <c r="CD9" t="s">
        <v>297</v>
      </c>
      <c r="CE9" t="s">
        <v>298</v>
      </c>
      <c r="CF9" s="9">
        <v>-2.018460388639735E-2</v>
      </c>
      <c r="CG9" s="10">
        <v>5.2471340206185567E-2</v>
      </c>
      <c r="CH9" s="9">
        <v>0.16891342401504517</v>
      </c>
      <c r="CI9" s="9">
        <v>0.12820573151111603</v>
      </c>
      <c r="CJ9" s="9">
        <v>0.2347903698682785</v>
      </c>
      <c r="CK9" s="9">
        <v>4.6282820403575897E-2</v>
      </c>
      <c r="CL9" s="9">
        <v>-0.15413068234920502</v>
      </c>
      <c r="CM9" s="10">
        <v>9.1961368918418884E-2</v>
      </c>
      <c r="CN9" s="10">
        <v>0.96090799570083618</v>
      </c>
      <c r="CO9" s="10">
        <v>3.1088082790374756</v>
      </c>
      <c r="CP9" s="10">
        <v>-0.33676975965499878</v>
      </c>
      <c r="CQ9" s="10">
        <v>-0.1961326003074646</v>
      </c>
      <c r="CR9">
        <v>0.75169546540230292</v>
      </c>
      <c r="CS9">
        <v>93865836.277974084</v>
      </c>
      <c r="CT9">
        <v>2.5781609195402297</v>
      </c>
      <c r="CU9" s="9">
        <v>8.4812332689762113E-2</v>
      </c>
      <c r="CV9" s="10">
        <v>0.72575505673885343</v>
      </c>
      <c r="CW9">
        <v>0.06</v>
      </c>
      <c r="CX9">
        <v>20.661021620668194</v>
      </c>
      <c r="CY9">
        <v>1737746548.0256755</v>
      </c>
      <c r="CZ9">
        <v>8.4812332689762113E-2</v>
      </c>
      <c r="DA9">
        <v>6.7815714512165313</v>
      </c>
      <c r="DB9">
        <v>5294291928.9834108</v>
      </c>
      <c r="DC9">
        <v>8.0571716055274009E-2</v>
      </c>
      <c r="DD9">
        <v>3.3580527861664038</v>
      </c>
      <c r="DE9">
        <v>10691797087.855797</v>
      </c>
      <c r="DF9">
        <v>7.4634852766990653E-2</v>
      </c>
      <c r="DG9">
        <v>2.0299212636344728</v>
      </c>
      <c r="DH9">
        <v>17687197845.159946</v>
      </c>
      <c r="DI9">
        <v>6.7849866151809698E-2</v>
      </c>
      <c r="DJ9">
        <v>1.0638610674403715</v>
      </c>
      <c r="DK9">
        <v>33748409542.219074</v>
      </c>
      <c r="DL9">
        <v>5.9368632882833478E-2</v>
      </c>
      <c r="DM9">
        <v>1698000000</v>
      </c>
      <c r="DN9">
        <v>8.4812332689762113E-2</v>
      </c>
      <c r="DO9">
        <v>35903619000</v>
      </c>
      <c r="DP9">
        <v>5752997000</v>
      </c>
      <c r="DQ9">
        <v>3120</v>
      </c>
      <c r="DR9">
        <v>-0.10499693657615947</v>
      </c>
      <c r="DS9">
        <v>-0.67328371653266783</v>
      </c>
      <c r="DT9" s="11">
        <v>0</v>
      </c>
      <c r="DU9">
        <v>0.6</v>
      </c>
      <c r="DV9">
        <v>0.6</v>
      </c>
      <c r="DW9">
        <v>2.0727000000000002</v>
      </c>
      <c r="DX9">
        <v>0.49224814422056967</v>
      </c>
      <c r="DY9">
        <v>2.0117954400848355</v>
      </c>
      <c r="DZ9">
        <v>1710</v>
      </c>
      <c r="EA9">
        <v>2.0076974712621882</v>
      </c>
      <c r="EB9">
        <v>2</v>
      </c>
      <c r="EC9">
        <v>3.156388139687958E-2</v>
      </c>
      <c r="ED9">
        <v>0.19454078534155195</v>
      </c>
      <c r="EE9" s="12">
        <v>7.7609999999999998E-2</v>
      </c>
      <c r="EF9">
        <v>7.7338000000000004E-2</v>
      </c>
      <c r="EG9">
        <v>33.16224814422057</v>
      </c>
      <c r="EH9">
        <v>-1</v>
      </c>
      <c r="EI9">
        <v>1</v>
      </c>
      <c r="EJ9">
        <v>0</v>
      </c>
      <c r="EK9" s="8">
        <v>44946</v>
      </c>
      <c r="EL9" s="13">
        <v>-1.1999999999999999E-3</v>
      </c>
      <c r="EM9" s="13">
        <v>-0.93</v>
      </c>
      <c r="EN9" s="13">
        <v>0.15</v>
      </c>
      <c r="EO9" s="13">
        <v>-1.42</v>
      </c>
      <c r="EP9" s="13">
        <v>3.2500000000000001E-2</v>
      </c>
    </row>
    <row r="10" spans="1:146" ht="192" x14ac:dyDescent="0.25">
      <c r="A10" s="6"/>
      <c r="B10" s="6"/>
      <c r="C10" s="6" t="str">
        <f>"公司是一家专业从事黄金生产的上市公司,主营黄金地质探矿、开采、选冶，贵金属、有色金属制品、黄金珠宝饰品提纯、加工、生产、销售等,主要产品是黄金和白银。"&amp;CHAR(10)&amp;Basic_Fundamental_Information_Constructure(F10)&amp;CHAR(10)&amp;Basic_Fundamental_Information_Concatenate("外购金 142.22亿 47.68% 1.66% 0.46%
黄金 79.16亿 26.54% 91.80% 45.65%
其他 43.48亿 14.58% 3.13% 2.83%
小金条 31.36亿 10.51% 0.17% 0.21%
其他业务 1.07亿 0.36% 1.40% 51.58%
铜金属 3892.79万 0.13% 0.68% 69.17%
银金属 2971.34万 0.10% 0.67% 88.42%")</f>
        <v>公司是一家专业从事黄金生产的上市公司,主营黄金地质探矿、开采、选冶，贵金属、有色金属制品、黄金珠宝饰品提纯、加工、生产、销售等,主要产品是黄金和白银。
市值1306.68876亿, 利润23.27亿; PE50.48; 平均PE101.57; 平均PEG7.58, PB5.48; ROIC-1.5533%; ROE2.26%; 股利率.4793%; 毛利13.7533%; 净利2.3767%; 上一年度营收增-81.52%, 利润增86.46%; 当季营收增895.64%, 利润增57.99%; 过往5年营收增-13.4%, 利润增160.63%
Income profile:
外购金 142.22亿 47.68% 1.66% 0.46%
黄金 79.16亿 26.54% 91.80% 45.65%
其他 43.48亿 14.58% 3.13% 2.83%
小金条 31.36亿 10.51% 0.17% 0.21%
其他业务 1.07亿 0.36% 1.40% 51.58%
铜金属 3892.79万 0.13% 0.68% 69.17%
银金属 2971.34万 0.10% 0.67% 88.42%</v>
      </c>
      <c r="D10" t="s">
        <v>109</v>
      </c>
      <c r="E10" t="s">
        <v>110</v>
      </c>
      <c r="F10">
        <v>29.21</v>
      </c>
      <c r="G10">
        <v>4.8499999999999996</v>
      </c>
      <c r="H10" t="s">
        <v>505</v>
      </c>
      <c r="I10">
        <v>130668876000</v>
      </c>
      <c r="J10">
        <v>50.48</v>
      </c>
      <c r="K10">
        <v>5.48</v>
      </c>
      <c r="L10" t="s">
        <v>67</v>
      </c>
      <c r="M10" t="s">
        <v>506</v>
      </c>
      <c r="N10" t="s">
        <v>507</v>
      </c>
      <c r="O10" t="s">
        <v>508</v>
      </c>
      <c r="P10">
        <v>44.73</v>
      </c>
      <c r="Q10" t="s">
        <v>509</v>
      </c>
      <c r="R10">
        <v>699890620</v>
      </c>
      <c r="S10" s="5">
        <v>0.5948</v>
      </c>
      <c r="T10" t="s">
        <v>510</v>
      </c>
      <c r="U10">
        <v>3614443300</v>
      </c>
      <c r="V10">
        <v>4473429500</v>
      </c>
      <c r="W10">
        <v>2.63</v>
      </c>
      <c r="X10">
        <v>0.14000000000000001</v>
      </c>
      <c r="Y10">
        <v>5.57</v>
      </c>
      <c r="Z10" t="s">
        <v>511</v>
      </c>
      <c r="AA10" t="s">
        <v>512</v>
      </c>
      <c r="AB10" t="s">
        <v>513</v>
      </c>
      <c r="AC10" t="s">
        <v>514</v>
      </c>
      <c r="AD10" t="s">
        <v>5</v>
      </c>
      <c r="AE10">
        <v>334189140</v>
      </c>
      <c r="AF10" t="s">
        <v>515</v>
      </c>
      <c r="AG10" t="s">
        <v>516</v>
      </c>
      <c r="AH10" t="s">
        <v>517</v>
      </c>
      <c r="AI10" t="s">
        <v>518</v>
      </c>
      <c r="AJ10" t="s">
        <v>519</v>
      </c>
      <c r="AK10" t="s">
        <v>520</v>
      </c>
      <c r="AL10" t="s">
        <v>521</v>
      </c>
      <c r="AM10" t="s">
        <v>5</v>
      </c>
      <c r="AN10" t="s">
        <v>522</v>
      </c>
      <c r="AO10" t="s">
        <v>523</v>
      </c>
      <c r="AP10" t="s">
        <v>524</v>
      </c>
      <c r="AQ10" t="s">
        <v>525</v>
      </c>
      <c r="AR10" t="s">
        <v>526</v>
      </c>
      <c r="AS10" t="s">
        <v>527</v>
      </c>
      <c r="AT10" t="s">
        <v>528</v>
      </c>
      <c r="AU10" t="s">
        <v>529</v>
      </c>
      <c r="AV10" t="s">
        <v>530</v>
      </c>
      <c r="AW10" t="s">
        <v>531</v>
      </c>
      <c r="AX10" t="s">
        <v>532</v>
      </c>
      <c r="AY10" t="s">
        <v>151</v>
      </c>
      <c r="AZ10" t="s">
        <v>153</v>
      </c>
      <c r="BA10" t="s">
        <v>111</v>
      </c>
      <c r="BB10" t="s">
        <v>112</v>
      </c>
      <c r="BC10" t="s">
        <v>533</v>
      </c>
      <c r="BD10" t="s">
        <v>152</v>
      </c>
      <c r="BE10" t="s">
        <v>154</v>
      </c>
      <c r="BF10" t="s">
        <v>113</v>
      </c>
      <c r="BG10" t="s">
        <v>114</v>
      </c>
      <c r="BH10" t="s">
        <v>534</v>
      </c>
      <c r="BI10" t="s">
        <v>535</v>
      </c>
      <c r="BJ10" t="s">
        <v>532</v>
      </c>
      <c r="BK10" t="s">
        <v>536</v>
      </c>
      <c r="BL10" t="s">
        <v>201</v>
      </c>
      <c r="BM10" t="s">
        <v>533</v>
      </c>
      <c r="BN10">
        <v>2.85</v>
      </c>
      <c r="BO10">
        <v>3.37</v>
      </c>
      <c r="BP10">
        <v>-10.88</v>
      </c>
      <c r="BQ10">
        <v>4.37</v>
      </c>
      <c r="BR10">
        <v>3.87</v>
      </c>
      <c r="BS10">
        <v>-1.46</v>
      </c>
      <c r="BT10" t="s">
        <v>537</v>
      </c>
      <c r="BU10" t="s">
        <v>67</v>
      </c>
      <c r="BV10">
        <v>16.600000000000001</v>
      </c>
      <c r="BW10">
        <v>14.1</v>
      </c>
      <c r="BX10">
        <v>10.56</v>
      </c>
      <c r="BY10">
        <v>4.88</v>
      </c>
      <c r="BZ10">
        <v>2.83</v>
      </c>
      <c r="CA10">
        <v>-0.57999999999999996</v>
      </c>
      <c r="CB10">
        <v>6.68</v>
      </c>
      <c r="CC10">
        <v>0.48</v>
      </c>
      <c r="CD10" t="s">
        <v>65</v>
      </c>
      <c r="CE10" t="s">
        <v>538</v>
      </c>
      <c r="CF10" s="9">
        <v>8.9564075630252109</v>
      </c>
      <c r="CG10" s="10">
        <v>0.57988853273137697</v>
      </c>
      <c r="CH10" s="9">
        <v>-0.81523078680038452</v>
      </c>
      <c r="CI10" s="9">
        <v>0.48242226243019104</v>
      </c>
      <c r="CJ10" s="9">
        <v>-0.46697559952735901</v>
      </c>
      <c r="CK10" s="9">
        <v>1.6509436070919037E-2</v>
      </c>
      <c r="CL10" s="9">
        <v>0.1133212074637413</v>
      </c>
      <c r="CM10" s="10">
        <v>0.86458337306976318</v>
      </c>
      <c r="CN10" s="10">
        <v>7.4329895973205566</v>
      </c>
      <c r="CO10" s="10">
        <v>-1.0958024263381958</v>
      </c>
      <c r="CP10" s="10">
        <v>0.57098531723022461</v>
      </c>
      <c r="CQ10" s="10">
        <v>0.25878900289535522</v>
      </c>
      <c r="CR10">
        <v>101.5692778857365</v>
      </c>
      <c r="CS10">
        <v>7.5803231763733585</v>
      </c>
      <c r="CT10">
        <v>0.47928791509756929</v>
      </c>
      <c r="CU10" s="9">
        <v>-0.13399069607257844</v>
      </c>
      <c r="CV10" s="10">
        <v>1.6063089728355409</v>
      </c>
      <c r="CW10">
        <v>0.06</v>
      </c>
      <c r="CX10">
        <v>67.794532015470566</v>
      </c>
      <c r="CY10" t="s">
        <v>539</v>
      </c>
      <c r="CZ10">
        <v>-0.13399069607257844</v>
      </c>
      <c r="DA10">
        <v>22.598177338490189</v>
      </c>
      <c r="DB10" t="s">
        <v>540</v>
      </c>
      <c r="DC10">
        <v>-0.12729116126894952</v>
      </c>
      <c r="DD10">
        <v>11.299088669245094</v>
      </c>
      <c r="DE10" t="s">
        <v>541</v>
      </c>
      <c r="DF10">
        <v>-0.11791181254386902</v>
      </c>
      <c r="DG10">
        <v>6.7794532015470566</v>
      </c>
      <c r="DH10" t="s">
        <v>542</v>
      </c>
      <c r="DI10">
        <v>-0.10719255685806275</v>
      </c>
      <c r="DJ10">
        <v>3.3897266007735283</v>
      </c>
      <c r="DK10" t="s">
        <v>543</v>
      </c>
      <c r="DL10">
        <v>-9.3793487250804899E-2</v>
      </c>
      <c r="DM10">
        <v>2327000000</v>
      </c>
      <c r="DN10">
        <v>-0.13399069607257844</v>
      </c>
      <c r="DO10">
        <v>157757876000</v>
      </c>
      <c r="DP10">
        <v>-21254189000</v>
      </c>
      <c r="DQ10">
        <v>3260</v>
      </c>
      <c r="DR10">
        <v>9.090398259097789</v>
      </c>
      <c r="DS10">
        <v>-1.0264204401041639</v>
      </c>
      <c r="DT10" s="11">
        <v>-0.75666666666666671</v>
      </c>
      <c r="DU10">
        <v>0.47</v>
      </c>
      <c r="DV10">
        <v>-0.28666666666666674</v>
      </c>
      <c r="DW10">
        <v>5.0718562874251498</v>
      </c>
      <c r="DX10">
        <v>0.66242424242424502</v>
      </c>
      <c r="DY10">
        <v>5.0138268916712034</v>
      </c>
      <c r="DZ10">
        <v>2112</v>
      </c>
      <c r="EA10">
        <v>5.0081121372270587</v>
      </c>
      <c r="EB10">
        <v>5</v>
      </c>
      <c r="EC10">
        <v>2.8389851678672928E-2</v>
      </c>
      <c r="ED10">
        <v>0.14753781187341836</v>
      </c>
      <c r="EE10" s="12">
        <v>4.5310000000000003E-2</v>
      </c>
      <c r="EF10">
        <v>6.2809999999999991E-2</v>
      </c>
      <c r="EG10">
        <v>47.192424242424245</v>
      </c>
      <c r="EH10">
        <v>-1</v>
      </c>
      <c r="EI10">
        <v>1</v>
      </c>
      <c r="EJ10">
        <v>0</v>
      </c>
      <c r="EK10" s="8">
        <v>45470</v>
      </c>
      <c r="EL10" s="13">
        <v>-1.42</v>
      </c>
      <c r="EM10" s="13">
        <v>-2.2200000000000002</v>
      </c>
      <c r="EN10" s="13">
        <v>0.13</v>
      </c>
      <c r="EO10" s="13">
        <v>-0.87</v>
      </c>
      <c r="EP10" s="13">
        <v>-1.75</v>
      </c>
    </row>
    <row r="11" spans="1:146" ht="192" x14ac:dyDescent="0.25">
      <c r="A11" s="6"/>
      <c r="B11" s="6"/>
      <c r="C11" s="6" t="str">
        <f>"公司是一家主营黄金、有色金属采选及资源综合回收利用业务的公司。公司主营业务在原有黄金采选、销售业务的基础上新增资源综合回收利用业务，包括有色金属资源综合回收利用及废旧电器、电子产品拆解业务，为公司带来新的利润增长点。公司的主要产品为黄金、电解铜等贵金属、有色金属。"&amp;CHAR(10)&amp;Basic_Fundamental_Information_Constructure(F11)&amp;CHAR(10)&amp;Basic_Fundamental_Information_Concatenate("黄金 25.22亿 82.79% 82.12% 41.52%
电解铜 2.52亿 8.26% 10.23% 51.83%
其他(电子产品拆解) 1.56亿 5.12% 2.90% 23.70%
锌精粉 8365.98万 2.75% 3.16% 48.20%")</f>
        <v>公司是一家主营黄金、有色金属采选及资源综合回收利用业务的公司。公司主营业务在原有黄金采选、销售业务的基础上新增资源综合回收利用业务，包括有色金属资源综合回收利用及废旧电器、电子产品拆解业务，为公司带来新的利润增长点。公司的主要产品为黄金、电解铜等贵金属、有色金属。
市值302.16631亿, 利润56.51亿; PE32.52; 平均PE23.84; 平均PEG.22, PB4.75; ROIC8.1733%; ROE11.02%; 股利率.2753%; 毛利31.4933%; 净利12.0567%; 上一年度营收增364.91%, 利润增1152.99%; 当季营收增-72.46%, 利润增-83.08%; 过往5年营收增109.07%, 利润增377.74%
Income profile:
黄金 25.22亿 82.79% 82.12% 41.52%
电解铜 2.52亿 8.26% 10.23% 51.83%
其他(电子产品拆解) 1.56亿 5.12% 2.90% 23.70%
锌精粉 8365.98万 2.75% 3.16% 48.20%</v>
      </c>
      <c r="D11" t="s">
        <v>115</v>
      </c>
      <c r="E11" t="s">
        <v>116</v>
      </c>
      <c r="F11">
        <v>18.16</v>
      </c>
      <c r="G11">
        <v>4.79</v>
      </c>
      <c r="H11" t="s">
        <v>544</v>
      </c>
      <c r="I11">
        <v>30216631000</v>
      </c>
      <c r="J11">
        <v>32.520000000000003</v>
      </c>
      <c r="K11">
        <v>4.75</v>
      </c>
      <c r="L11" t="s">
        <v>67</v>
      </c>
      <c r="M11" t="s">
        <v>545</v>
      </c>
      <c r="N11" t="s">
        <v>546</v>
      </c>
      <c r="O11" t="s">
        <v>466</v>
      </c>
      <c r="P11">
        <v>16.829999999999998</v>
      </c>
      <c r="Q11" t="s">
        <v>547</v>
      </c>
      <c r="R11">
        <v>200507240</v>
      </c>
      <c r="S11" s="5">
        <v>1.6639999999999999</v>
      </c>
      <c r="T11" t="s">
        <v>548</v>
      </c>
      <c r="U11">
        <v>1663911400</v>
      </c>
      <c r="V11">
        <v>1663911400</v>
      </c>
      <c r="W11">
        <v>2.11</v>
      </c>
      <c r="X11">
        <v>0.1</v>
      </c>
      <c r="Y11">
        <v>12.81</v>
      </c>
      <c r="Z11" t="s">
        <v>549</v>
      </c>
      <c r="AA11" t="s">
        <v>550</v>
      </c>
      <c r="AB11" t="s">
        <v>551</v>
      </c>
      <c r="AC11" t="s">
        <v>199</v>
      </c>
      <c r="AD11" t="s">
        <v>5</v>
      </c>
      <c r="AE11">
        <v>32389411</v>
      </c>
      <c r="AF11" t="s">
        <v>552</v>
      </c>
      <c r="AG11" t="s">
        <v>553</v>
      </c>
      <c r="AH11" t="s">
        <v>554</v>
      </c>
      <c r="AI11" t="s">
        <v>555</v>
      </c>
      <c r="AJ11" t="s">
        <v>556</v>
      </c>
      <c r="AK11" t="s">
        <v>5</v>
      </c>
      <c r="AL11" t="s">
        <v>557</v>
      </c>
      <c r="AM11" t="s">
        <v>5</v>
      </c>
      <c r="AN11" t="s">
        <v>558</v>
      </c>
      <c r="AO11" t="s">
        <v>559</v>
      </c>
      <c r="AP11" t="s">
        <v>5</v>
      </c>
      <c r="AQ11" t="s">
        <v>560</v>
      </c>
      <c r="AR11" t="s">
        <v>5</v>
      </c>
      <c r="AS11" t="s">
        <v>561</v>
      </c>
      <c r="AT11" t="s">
        <v>562</v>
      </c>
      <c r="AU11" t="s">
        <v>265</v>
      </c>
      <c r="AV11" t="s">
        <v>563</v>
      </c>
      <c r="AW11" t="s">
        <v>564</v>
      </c>
      <c r="AX11" t="s">
        <v>565</v>
      </c>
      <c r="AY11" t="s">
        <v>155</v>
      </c>
      <c r="AZ11" t="s">
        <v>117</v>
      </c>
      <c r="BA11" t="s">
        <v>118</v>
      </c>
      <c r="BB11" t="s">
        <v>59</v>
      </c>
      <c r="BC11" t="s">
        <v>566</v>
      </c>
      <c r="BD11" t="s">
        <v>156</v>
      </c>
      <c r="BE11" t="s">
        <v>61</v>
      </c>
      <c r="BF11" t="s">
        <v>62</v>
      </c>
      <c r="BG11" t="s">
        <v>119</v>
      </c>
      <c r="BH11" t="s">
        <v>567</v>
      </c>
      <c r="BI11" t="s">
        <v>568</v>
      </c>
      <c r="BJ11" t="s">
        <v>565</v>
      </c>
      <c r="BK11" t="s">
        <v>569</v>
      </c>
      <c r="BL11" t="s">
        <v>570</v>
      </c>
      <c r="BM11" t="s">
        <v>566</v>
      </c>
      <c r="BN11">
        <v>5.9</v>
      </c>
      <c r="BO11">
        <v>7.22</v>
      </c>
      <c r="BP11">
        <v>11.4</v>
      </c>
      <c r="BQ11">
        <v>10.4</v>
      </c>
      <c r="BR11">
        <v>9.36</v>
      </c>
      <c r="BS11">
        <v>13.3</v>
      </c>
      <c r="BT11" t="s">
        <v>571</v>
      </c>
      <c r="BU11" t="s">
        <v>67</v>
      </c>
      <c r="BV11">
        <v>32.58</v>
      </c>
      <c r="BW11">
        <v>28.64</v>
      </c>
      <c r="BX11">
        <v>33.26</v>
      </c>
      <c r="BY11">
        <v>12.06</v>
      </c>
      <c r="BZ11">
        <v>7.88</v>
      </c>
      <c r="CA11">
        <v>16.23</v>
      </c>
      <c r="CB11">
        <v>11.14</v>
      </c>
      <c r="CC11">
        <v>5.77</v>
      </c>
      <c r="CD11" t="s">
        <v>572</v>
      </c>
      <c r="CE11" t="s">
        <v>573</v>
      </c>
      <c r="CF11" s="9">
        <v>-0.7246398336551314</v>
      </c>
      <c r="CG11" s="10">
        <v>-0.83079557805907178</v>
      </c>
      <c r="CH11" s="9">
        <v>3.6491146087646484</v>
      </c>
      <c r="CI11" s="9">
        <v>0.65662163496017456</v>
      </c>
      <c r="CJ11" s="9">
        <v>-0.17003072798252106</v>
      </c>
      <c r="CK11" s="9">
        <v>-0.24884635210037231</v>
      </c>
      <c r="CL11" s="9">
        <v>1.5668357610702515</v>
      </c>
      <c r="CM11" s="10">
        <v>11.529933929443359</v>
      </c>
      <c r="CN11" s="10">
        <v>-0.22641509771347046</v>
      </c>
      <c r="CO11" s="10">
        <v>-0.25637754797935486</v>
      </c>
      <c r="CP11" s="10">
        <v>3.1702127456665039</v>
      </c>
      <c r="CQ11" s="10">
        <v>4.6696314811706543</v>
      </c>
      <c r="CR11">
        <v>23.837141668533778</v>
      </c>
      <c r="CS11">
        <v>0.21854120919489994</v>
      </c>
      <c r="CT11">
        <v>0.2753303964757709</v>
      </c>
      <c r="CU11" s="9">
        <v>1.0907389849424363</v>
      </c>
      <c r="CV11" s="10">
        <v>3.7773971021175385</v>
      </c>
      <c r="CW11">
        <v>0.06</v>
      </c>
      <c r="CX11">
        <v>2.8208877644272565</v>
      </c>
      <c r="CY11">
        <v>11146005664.06576</v>
      </c>
      <c r="CZ11">
        <v>1.0907389849424363</v>
      </c>
      <c r="DA11">
        <v>0.43812613638895176</v>
      </c>
      <c r="DB11">
        <v>71763878912.001984</v>
      </c>
      <c r="DC11">
        <v>1.0362020356953143</v>
      </c>
      <c r="DD11">
        <v>6.558954328744844E-2</v>
      </c>
      <c r="DE11">
        <v>479369567527.03656</v>
      </c>
      <c r="DF11">
        <v>0.95985030674934391</v>
      </c>
      <c r="DG11">
        <v>8.1828995005132979E-3</v>
      </c>
      <c r="DH11">
        <v>3842358200540.9854</v>
      </c>
      <c r="DI11">
        <v>0.87259118795394908</v>
      </c>
      <c r="DJ11">
        <v>8.4103513013054879E-5</v>
      </c>
      <c r="DK11">
        <v>373844443276935.5</v>
      </c>
      <c r="DL11">
        <v>0.76351728945970532</v>
      </c>
      <c r="DM11">
        <v>5651000000</v>
      </c>
      <c r="DN11">
        <v>1.0907389849424363</v>
      </c>
      <c r="DO11">
        <v>31441631000</v>
      </c>
      <c r="DP11">
        <v>1448285900</v>
      </c>
      <c r="DQ11">
        <v>3609</v>
      </c>
      <c r="DR11">
        <v>-1.8153788185975677</v>
      </c>
      <c r="DS11">
        <v>-4.60819268017661</v>
      </c>
      <c r="DT11" s="11">
        <v>0.10999999999999995</v>
      </c>
      <c r="DU11">
        <v>0.46716666666666656</v>
      </c>
      <c r="DV11">
        <v>0.57716666666666649</v>
      </c>
      <c r="DW11">
        <v>5.5179533213644527</v>
      </c>
      <c r="DX11">
        <v>0.58934782608695335</v>
      </c>
      <c r="DY11">
        <v>5.0928938022012336</v>
      </c>
      <c r="DZ11">
        <v>2685</v>
      </c>
      <c r="EA11">
        <v>5.0440836536864957</v>
      </c>
      <c r="EB11">
        <v>5</v>
      </c>
      <c r="EC11">
        <v>0.11899672061865794</v>
      </c>
      <c r="ED11">
        <v>0.66349686647978978</v>
      </c>
      <c r="EE11" s="12">
        <v>-2.0474000000000001</v>
      </c>
      <c r="EF11">
        <v>-2.0375999999999999</v>
      </c>
      <c r="EG11">
        <v>41.179347826086953</v>
      </c>
      <c r="EH11" t="s">
        <v>574</v>
      </c>
      <c r="EI11">
        <v>1</v>
      </c>
      <c r="EJ11">
        <v>0</v>
      </c>
      <c r="EK11" s="8">
        <v>45470</v>
      </c>
      <c r="EL11" s="13">
        <v>0.86</v>
      </c>
      <c r="EM11" s="13">
        <v>-2.57</v>
      </c>
      <c r="EN11" s="13">
        <v>1.61</v>
      </c>
      <c r="EO11" s="13">
        <v>2.89</v>
      </c>
      <c r="EP11" s="13">
        <v>-0.98</v>
      </c>
    </row>
    <row r="12" spans="1:146" ht="96" x14ac:dyDescent="0.25">
      <c r="C12" s="6" t="str">
        <f>""&amp;CHAR(10)&amp;Basic_Fundamental_Information_Constructure(F12)&amp;CHAR(10)&amp;Basic_Fundamental_Information_Concatenate("")</f>
        <v xml:space="preserve">
市值111.581171亿, 利润7.35亿; PE27.35; 平均PE43.21; 平均PEG.44, PB3.44; ROIC10.6067%; ROE13.1567%; 股利率.3509%; 毛利16.9133%; 净利8%; 上一年度营收增-67.67%, 利润增152.58%; 当季营收增-56.82%, 利润增-52.85%; 过往5年营收增98.45%, 利润增162.01%
Income profile:
</v>
      </c>
      <c r="D12" t="s">
        <v>575</v>
      </c>
      <c r="E12" t="s">
        <v>576</v>
      </c>
      <c r="F12">
        <v>14.25</v>
      </c>
      <c r="G12">
        <v>10.039999999999999</v>
      </c>
      <c r="H12" t="s">
        <v>577</v>
      </c>
      <c r="I12">
        <v>11158117100</v>
      </c>
      <c r="J12">
        <v>27.35</v>
      </c>
      <c r="K12">
        <v>3.44</v>
      </c>
      <c r="L12" t="s">
        <v>67</v>
      </c>
      <c r="M12" t="s">
        <v>578</v>
      </c>
      <c r="N12" t="s">
        <v>579</v>
      </c>
      <c r="O12" t="s">
        <v>580</v>
      </c>
      <c r="P12" s="5">
        <v>-17.7</v>
      </c>
      <c r="Q12" t="s">
        <v>581</v>
      </c>
      <c r="R12">
        <v>105620578</v>
      </c>
      <c r="S12">
        <v>-0.26219999999999999</v>
      </c>
      <c r="T12" t="s">
        <v>582</v>
      </c>
      <c r="U12">
        <v>783025760</v>
      </c>
      <c r="V12">
        <v>783025760</v>
      </c>
      <c r="W12">
        <v>2.5</v>
      </c>
      <c r="X12">
        <v>0.04</v>
      </c>
      <c r="Y12">
        <v>27.39</v>
      </c>
      <c r="Z12" t="s">
        <v>583</v>
      </c>
      <c r="AA12" t="s">
        <v>584</v>
      </c>
      <c r="AB12" t="s">
        <v>585</v>
      </c>
      <c r="AC12" t="s">
        <v>586</v>
      </c>
      <c r="AD12" t="s">
        <v>5</v>
      </c>
      <c r="AE12">
        <v>26486160</v>
      </c>
      <c r="AF12" t="s">
        <v>587</v>
      </c>
      <c r="AG12">
        <v>1332.25</v>
      </c>
      <c r="AH12" t="s">
        <v>588</v>
      </c>
      <c r="AI12" t="s">
        <v>332</v>
      </c>
      <c r="AJ12" t="s">
        <v>589</v>
      </c>
      <c r="AK12" t="s">
        <v>590</v>
      </c>
      <c r="AL12" t="s">
        <v>591</v>
      </c>
      <c r="AM12" t="s">
        <v>5</v>
      </c>
      <c r="AN12" t="s">
        <v>592</v>
      </c>
      <c r="AO12" t="s">
        <v>593</v>
      </c>
      <c r="AP12" t="s">
        <v>594</v>
      </c>
      <c r="AQ12" t="s">
        <v>595</v>
      </c>
      <c r="AR12" t="s">
        <v>5</v>
      </c>
      <c r="AS12" t="s">
        <v>596</v>
      </c>
      <c r="AT12" t="s">
        <v>266</v>
      </c>
      <c r="AU12" t="s">
        <v>597</v>
      </c>
      <c r="AV12" t="s">
        <v>598</v>
      </c>
      <c r="AW12" t="s">
        <v>599</v>
      </c>
      <c r="AX12" t="s">
        <v>600</v>
      </c>
      <c r="AY12" t="s">
        <v>601</v>
      </c>
      <c r="AZ12" t="s">
        <v>602</v>
      </c>
      <c r="BA12" t="s">
        <v>603</v>
      </c>
      <c r="BB12" t="s">
        <v>604</v>
      </c>
      <c r="BC12" t="s">
        <v>54</v>
      </c>
      <c r="BD12" t="s">
        <v>605</v>
      </c>
      <c r="BE12" t="s">
        <v>606</v>
      </c>
      <c r="BF12" t="s">
        <v>607</v>
      </c>
      <c r="BG12" t="s">
        <v>608</v>
      </c>
      <c r="BH12" t="s">
        <v>609</v>
      </c>
      <c r="BI12" t="s">
        <v>610</v>
      </c>
      <c r="BJ12" t="s">
        <v>600</v>
      </c>
      <c r="BK12" t="s">
        <v>611</v>
      </c>
      <c r="BL12" t="s">
        <v>612</v>
      </c>
      <c r="BM12" t="s">
        <v>54</v>
      </c>
      <c r="BN12">
        <v>9.32</v>
      </c>
      <c r="BO12">
        <v>8.85</v>
      </c>
      <c r="BP12">
        <v>13.65</v>
      </c>
      <c r="BQ12">
        <v>13.24</v>
      </c>
      <c r="BR12">
        <v>10.83</v>
      </c>
      <c r="BS12">
        <v>15.4</v>
      </c>
      <c r="BT12" t="s">
        <v>571</v>
      </c>
      <c r="BU12" t="s">
        <v>67</v>
      </c>
      <c r="BV12">
        <v>40.81</v>
      </c>
      <c r="BW12">
        <v>5.42</v>
      </c>
      <c r="BX12">
        <v>4.51</v>
      </c>
      <c r="BY12">
        <v>18.2</v>
      </c>
      <c r="BZ12">
        <v>2.62</v>
      </c>
      <c r="CA12">
        <v>3.18</v>
      </c>
      <c r="CB12">
        <v>14.46</v>
      </c>
      <c r="CC12" s="9">
        <v>30.14</v>
      </c>
      <c r="CD12" s="10" t="s">
        <v>613</v>
      </c>
      <c r="CE12" s="9" t="s">
        <v>347</v>
      </c>
      <c r="CF12" s="9">
        <v>-0.56818181818181823</v>
      </c>
      <c r="CG12" s="9">
        <v>-0.52847956250000006</v>
      </c>
      <c r="CH12" s="9">
        <v>-0.67666423320770264</v>
      </c>
      <c r="CI12" s="9">
        <v>-3.6645524203777313E-2</v>
      </c>
      <c r="CJ12" s="10">
        <v>-4.6691235154867172E-2</v>
      </c>
      <c r="CK12" s="10">
        <v>5.4752583503723145</v>
      </c>
      <c r="CL12" s="10">
        <v>0.20748521387577057</v>
      </c>
      <c r="CM12" s="10">
        <v>1.5257731676101685</v>
      </c>
      <c r="CN12" s="10">
        <v>-0.20054945349693298</v>
      </c>
      <c r="CO12">
        <v>2.1111111640930176</v>
      </c>
      <c r="CP12">
        <v>4.7309679985046387</v>
      </c>
      <c r="CQ12">
        <v>-6.6946372389793396E-2</v>
      </c>
      <c r="CR12" s="9">
        <v>43.212349276664824</v>
      </c>
      <c r="CS12" s="10">
        <v>0.43890523064567188</v>
      </c>
      <c r="CT12">
        <v>0.35087719298245612</v>
      </c>
      <c r="CU12">
        <v>0.9845485143363476</v>
      </c>
      <c r="CV12">
        <v>1.6200713008642196</v>
      </c>
      <c r="CW12">
        <v>0.06</v>
      </c>
      <c r="CX12">
        <v>10.354872638160785</v>
      </c>
      <c r="CY12">
        <v>1376078450.9785051</v>
      </c>
      <c r="CZ12">
        <v>0.9845485143363476</v>
      </c>
      <c r="DA12">
        <v>1.7239600749667736</v>
      </c>
      <c r="DB12">
        <v>8265340541.7608795</v>
      </c>
      <c r="DC12">
        <v>0.93532108861953023</v>
      </c>
      <c r="DD12">
        <v>0.29085381114690917</v>
      </c>
      <c r="DE12">
        <v>48990649439.359848</v>
      </c>
      <c r="DF12">
        <v>0.8664026926159859</v>
      </c>
      <c r="DG12">
        <v>4.263218509861149E-2</v>
      </c>
      <c r="DH12">
        <v>334233797001.9765</v>
      </c>
      <c r="DI12">
        <v>0.7876388114690781</v>
      </c>
      <c r="DJ12">
        <v>6.4746839983788015E-4</v>
      </c>
      <c r="DK12">
        <v>22007432491790.859</v>
      </c>
      <c r="DL12">
        <v>0.68918396003544324</v>
      </c>
      <c r="DM12">
        <v>735000000</v>
      </c>
      <c r="DN12">
        <v>0.9845485143363476</v>
      </c>
      <c r="DO12">
        <v>14249117100</v>
      </c>
      <c r="DP12">
        <v>2497568100</v>
      </c>
      <c r="DQ12" s="11">
        <v>3638</v>
      </c>
      <c r="DR12">
        <v>-1.5527303325181658</v>
      </c>
      <c r="DS12">
        <v>-2.1485508633642194</v>
      </c>
      <c r="DT12">
        <v>-0.25666666666666677</v>
      </c>
      <c r="DU12">
        <v>0.85183333333333344</v>
      </c>
      <c r="DV12">
        <v>0.59516666666666662</v>
      </c>
      <c r="DW12">
        <v>9.4797611147976113</v>
      </c>
      <c r="DX12">
        <v>0.72016144349477484</v>
      </c>
      <c r="DY12">
        <v>9.0528511769387681</v>
      </c>
      <c r="DZ12">
        <v>1027</v>
      </c>
      <c r="EA12">
        <v>9.042229228070644</v>
      </c>
      <c r="EB12" s="12">
        <v>9</v>
      </c>
      <c r="EC12" s="12">
        <v>0.14814327436686117</v>
      </c>
      <c r="ED12">
        <v>1.3447833440371104</v>
      </c>
      <c r="EE12">
        <v>-2.0146000000000002</v>
      </c>
      <c r="EF12">
        <v>-2.0167099999999998</v>
      </c>
      <c r="EG12">
        <v>61.110161443494775</v>
      </c>
      <c r="EH12" s="8" t="s">
        <v>614</v>
      </c>
      <c r="EI12">
        <v>1</v>
      </c>
      <c r="EJ12">
        <v>1</v>
      </c>
      <c r="EK12">
        <v>45470</v>
      </c>
      <c r="EL12">
        <v>-1.0900000000000001</v>
      </c>
      <c r="EM12">
        <v>-3.95</v>
      </c>
      <c r="EN12">
        <v>-0.11</v>
      </c>
      <c r="EO12">
        <v>2.29</v>
      </c>
      <c r="EP12">
        <v>-3.13</v>
      </c>
    </row>
    <row r="13" spans="1:146" ht="108" x14ac:dyDescent="0.25">
      <c r="A13" s="6"/>
      <c r="B13" s="6"/>
      <c r="C13" s="6" t="str">
        <f>""&amp;CHAR(10)&amp;Basic_Fundamental_Information_Constructure(F13)&amp;CHAR(10)&amp;Basic_Fundamental_Information_Concatenate("")</f>
        <v xml:space="preserve">
市值109.81957亿, 利润109.02亿; PE; 平均PE5.69; 平均PEG.03, PB2.49; ROIC4.04%; ROE2.55%; 股利率0%; 毛利9.91%; 净利.3733%; 上一年度营收增521.52%, 利润增6059.32%; 当季营收增-80.54%, 利润增-99.19%; 过往5年营收增166.35%, 利润增1358.7%
Income profile:
</v>
      </c>
      <c r="D13" t="s">
        <v>120</v>
      </c>
      <c r="E13" t="s">
        <v>121</v>
      </c>
      <c r="F13">
        <v>11.9</v>
      </c>
      <c r="G13">
        <v>4.2</v>
      </c>
      <c r="H13" t="s">
        <v>615</v>
      </c>
      <c r="I13">
        <v>10981957000</v>
      </c>
      <c r="K13">
        <v>2.4900000000000002</v>
      </c>
      <c r="L13" t="s">
        <v>67</v>
      </c>
      <c r="M13" t="s">
        <v>616</v>
      </c>
      <c r="N13" t="s">
        <v>617</v>
      </c>
      <c r="O13" t="s">
        <v>618</v>
      </c>
      <c r="P13">
        <v>49.81</v>
      </c>
      <c r="Q13" t="s">
        <v>619</v>
      </c>
      <c r="R13">
        <v>32113672</v>
      </c>
      <c r="S13" s="5">
        <v>1.56</v>
      </c>
      <c r="T13" t="s">
        <v>620</v>
      </c>
      <c r="U13">
        <v>683992760</v>
      </c>
      <c r="V13">
        <v>922853530</v>
      </c>
      <c r="W13">
        <v>1.47</v>
      </c>
      <c r="X13">
        <v>0.22</v>
      </c>
      <c r="Y13">
        <v>2.25</v>
      </c>
      <c r="Z13" t="s">
        <v>621</v>
      </c>
      <c r="AA13" t="s">
        <v>622</v>
      </c>
      <c r="AB13" t="s">
        <v>623</v>
      </c>
      <c r="AC13" t="s">
        <v>624</v>
      </c>
      <c r="AD13" t="s">
        <v>5</v>
      </c>
      <c r="AE13">
        <v>10434713</v>
      </c>
      <c r="AF13" t="s">
        <v>625</v>
      </c>
      <c r="AG13" t="s">
        <v>626</v>
      </c>
      <c r="AH13" t="s">
        <v>627</v>
      </c>
      <c r="AI13" t="s">
        <v>628</v>
      </c>
      <c r="AJ13" t="s">
        <v>629</v>
      </c>
      <c r="AK13" t="s">
        <v>264</v>
      </c>
      <c r="AL13" t="s">
        <v>630</v>
      </c>
      <c r="AM13" t="s">
        <v>5</v>
      </c>
      <c r="AN13" t="s">
        <v>631</v>
      </c>
      <c r="AO13" t="s">
        <v>632</v>
      </c>
      <c r="AP13" t="s">
        <v>5</v>
      </c>
      <c r="AQ13" t="s">
        <v>572</v>
      </c>
      <c r="AR13" t="s">
        <v>633</v>
      </c>
      <c r="AS13" t="s">
        <v>634</v>
      </c>
      <c r="AT13" t="s">
        <v>635</v>
      </c>
      <c r="AU13" t="s">
        <v>636</v>
      </c>
      <c r="AV13" t="s">
        <v>637</v>
      </c>
      <c r="AW13" t="s">
        <v>638</v>
      </c>
      <c r="AX13" t="s">
        <v>639</v>
      </c>
      <c r="AY13" t="s">
        <v>640</v>
      </c>
      <c r="AZ13" t="s">
        <v>122</v>
      </c>
      <c r="BA13" t="s">
        <v>124</v>
      </c>
      <c r="BB13" t="s">
        <v>57</v>
      </c>
      <c r="BC13" t="s">
        <v>205</v>
      </c>
      <c r="BD13" t="s">
        <v>641</v>
      </c>
      <c r="BE13" t="s">
        <v>123</v>
      </c>
      <c r="BF13" t="s">
        <v>125</v>
      </c>
      <c r="BG13" t="s">
        <v>126</v>
      </c>
      <c r="BH13" t="s">
        <v>642</v>
      </c>
      <c r="BI13" t="s">
        <v>643</v>
      </c>
      <c r="BJ13" t="s">
        <v>639</v>
      </c>
      <c r="BK13" t="s">
        <v>644</v>
      </c>
      <c r="BL13" t="s">
        <v>645</v>
      </c>
      <c r="BM13" t="s">
        <v>205</v>
      </c>
      <c r="BN13" t="s">
        <v>5</v>
      </c>
      <c r="BO13">
        <v>5.37</v>
      </c>
      <c r="BP13">
        <v>2.71</v>
      </c>
      <c r="BQ13">
        <v>-1.35</v>
      </c>
      <c r="BR13">
        <v>4.91</v>
      </c>
      <c r="BS13">
        <v>4.09</v>
      </c>
      <c r="BT13" t="s">
        <v>259</v>
      </c>
      <c r="BU13" t="s">
        <v>67</v>
      </c>
      <c r="BV13">
        <v>5.03</v>
      </c>
      <c r="BW13">
        <v>17.23</v>
      </c>
      <c r="BX13">
        <v>7.47</v>
      </c>
      <c r="BY13">
        <v>-6.13</v>
      </c>
      <c r="BZ13">
        <v>5.48</v>
      </c>
      <c r="CA13">
        <v>1.77</v>
      </c>
      <c r="CB13">
        <v>2.3199999999999998</v>
      </c>
      <c r="CC13">
        <v>-8.9499999999999993</v>
      </c>
      <c r="CD13" t="s">
        <v>646</v>
      </c>
      <c r="CE13" t="s">
        <v>647</v>
      </c>
      <c r="CF13" s="9">
        <v>-0.80542308216378256</v>
      </c>
      <c r="CG13" s="10">
        <v>-0.99187201417362691</v>
      </c>
      <c r="CH13" s="9">
        <v>5.2152070999145508</v>
      </c>
      <c r="CI13" s="9">
        <v>-0.18750002980232239</v>
      </c>
      <c r="CJ13" s="9">
        <v>-3.4203075338155031E-3</v>
      </c>
      <c r="CK13" s="9">
        <v>0.43800148367881775</v>
      </c>
      <c r="CL13" s="9">
        <v>2.8552896976470947</v>
      </c>
      <c r="CM13" s="10">
        <v>60.593215942382813</v>
      </c>
      <c r="CN13" s="10">
        <v>-0.51902174949645996</v>
      </c>
      <c r="CO13" s="10">
        <v>3.7491531372070312</v>
      </c>
      <c r="CP13" s="10">
        <v>0.88677763938903809</v>
      </c>
      <c r="CQ13" s="10">
        <v>3.2250444889068604</v>
      </c>
      <c r="CR13">
        <v>5.6924551219143664</v>
      </c>
      <c r="CS13">
        <v>3.4219427580394222E-2</v>
      </c>
      <c r="CT13">
        <v>0</v>
      </c>
      <c r="CU13" s="9">
        <v>1.663515588780865</v>
      </c>
      <c r="CV13" s="10">
        <v>13.587033891677857</v>
      </c>
      <c r="CW13">
        <v>0.06</v>
      </c>
      <c r="CX13">
        <v>0.32579962269849022</v>
      </c>
      <c r="CY13">
        <v>27394006555.555653</v>
      </c>
      <c r="CZ13">
        <v>1.663515588780865</v>
      </c>
      <c r="DA13">
        <v>3.592959620121066E-2</v>
      </c>
      <c r="DB13">
        <v>248401260899.76126</v>
      </c>
      <c r="DC13">
        <v>1.5803398093418217</v>
      </c>
      <c r="DD13">
        <v>2.9763079714427159E-3</v>
      </c>
      <c r="DE13">
        <v>2998667169403.7681</v>
      </c>
      <c r="DF13">
        <v>1.4638937181271612</v>
      </c>
      <c r="DG13">
        <v>1.6897552023015336E-4</v>
      </c>
      <c r="DH13">
        <v>52818047181294.359</v>
      </c>
      <c r="DI13">
        <v>1.330812471024692</v>
      </c>
      <c r="DJ13">
        <v>2.6304084441272151E-7</v>
      </c>
      <c r="DK13">
        <v>3.3929928334614028E+16</v>
      </c>
      <c r="DL13">
        <v>1.1644609121466054</v>
      </c>
      <c r="DM13">
        <v>10902000000</v>
      </c>
      <c r="DN13">
        <v>1.663515588780865</v>
      </c>
      <c r="DO13">
        <v>8924957000</v>
      </c>
      <c r="DP13">
        <v>1114697400</v>
      </c>
      <c r="DQ13">
        <v>3647</v>
      </c>
      <c r="DR13">
        <v>-2.4689386709446475</v>
      </c>
      <c r="DS13">
        <v>-14.578905905851483</v>
      </c>
      <c r="DT13" s="11">
        <v>0.32333333333333331</v>
      </c>
      <c r="DU13">
        <v>0.83516666666666672</v>
      </c>
      <c r="DV13">
        <v>1.1585000000000001</v>
      </c>
      <c r="DW13">
        <v>-2.0895000000000001</v>
      </c>
      <c r="DX13">
        <v>0.54873356481481772</v>
      </c>
      <c r="DY13">
        <v>-2.0106266540509261</v>
      </c>
      <c r="DZ13">
        <v>4723</v>
      </c>
      <c r="EA13">
        <v>-2.0008047974790037</v>
      </c>
      <c r="EB13">
        <v>2</v>
      </c>
      <c r="EC13">
        <v>5.5580759386595187E-2</v>
      </c>
      <c r="ED13">
        <v>0.46811328770666349</v>
      </c>
      <c r="EE13" s="12">
        <v>4.0800999999999998</v>
      </c>
      <c r="EF13">
        <v>4.0612000000000004</v>
      </c>
      <c r="EG13">
        <v>43.118733564814818</v>
      </c>
      <c r="EH13" t="s">
        <v>648</v>
      </c>
      <c r="EI13">
        <v>0</v>
      </c>
      <c r="EJ13">
        <v>0</v>
      </c>
      <c r="EK13" s="8">
        <v>45470</v>
      </c>
      <c r="EL13" s="13">
        <v>0.94</v>
      </c>
      <c r="EM13" s="13">
        <v>-4.2</v>
      </c>
      <c r="EN13">
        <v>0.24</v>
      </c>
      <c r="EO13">
        <v>2.91</v>
      </c>
      <c r="EP13">
        <v>-1.89</v>
      </c>
    </row>
    <row r="14" spans="1:146" x14ac:dyDescent="0.25">
      <c r="A14" s="6"/>
      <c r="B14" s="6"/>
      <c r="C14" s="6"/>
    </row>
  </sheetData>
  <phoneticPr fontId="1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'Basic_Fundamental_Tabel_Update_Buttom &quot;贵金属&quot;,&quot;&quot;'" altText="更新基本面按钮_x000a_">
                <anchor moveWithCells="1" sizeWithCells="1">
                  <from>
                    <xdr:col>147</xdr:col>
                    <xdr:colOff>400050</xdr:colOff>
                    <xdr:row>0</xdr:row>
                    <xdr:rowOff>101600</xdr:rowOff>
                  </from>
                  <to>
                    <xdr:col>147</xdr:col>
                    <xdr:colOff>1574800</xdr:colOff>
                    <xdr:row>0</xdr:row>
                    <xdr:rowOff>412750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D6"/>
  <sheetViews>
    <sheetView workbookViewId="0"/>
  </sheetViews>
  <sheetFormatPr defaultRowHeight="14" x14ac:dyDescent="0.25"/>
  <sheetData>
    <row r="1" spans="1:30" x14ac:dyDescent="0.25">
      <c r="A1">
        <v>1</v>
      </c>
      <c r="B1">
        <f>A1+A1*$A$2</f>
        <v>1.1499999999999999</v>
      </c>
      <c r="C1">
        <f t="shared" ref="C1:AD1" si="0">B1+B1*$A$2</f>
        <v>1.3224999999999998</v>
      </c>
      <c r="D1">
        <f t="shared" si="0"/>
        <v>1.5208749999999998</v>
      </c>
      <c r="E1">
        <f t="shared" si="0"/>
        <v>1.7490062499999997</v>
      </c>
      <c r="F1">
        <f t="shared" si="0"/>
        <v>2.0113571874999998</v>
      </c>
      <c r="G1">
        <f t="shared" si="0"/>
        <v>2.313060765625</v>
      </c>
      <c r="H1">
        <f t="shared" si="0"/>
        <v>2.66001988046875</v>
      </c>
      <c r="I1">
        <f t="shared" si="0"/>
        <v>3.0590228625390625</v>
      </c>
      <c r="J1">
        <f t="shared" si="0"/>
        <v>3.5178762919199218</v>
      </c>
      <c r="K1">
        <f t="shared" si="0"/>
        <v>4.0455577357079102</v>
      </c>
      <c r="L1">
        <f t="shared" si="0"/>
        <v>4.6523913960640968</v>
      </c>
      <c r="M1">
        <f t="shared" si="0"/>
        <v>5.3502501054737115</v>
      </c>
      <c r="N1">
        <f t="shared" si="0"/>
        <v>6.1527876212947685</v>
      </c>
      <c r="O1">
        <f t="shared" si="0"/>
        <v>7.0757057644889834</v>
      </c>
      <c r="P1">
        <f t="shared" si="0"/>
        <v>8.1370616291623303</v>
      </c>
      <c r="Q1">
        <f t="shared" si="0"/>
        <v>9.3576208735366802</v>
      </c>
      <c r="R1">
        <f t="shared" si="0"/>
        <v>10.761264004567183</v>
      </c>
      <c r="S1">
        <f t="shared" si="0"/>
        <v>12.375453605252261</v>
      </c>
      <c r="T1">
        <f t="shared" si="0"/>
        <v>14.2317716460401</v>
      </c>
      <c r="U1">
        <f t="shared" si="0"/>
        <v>16.366537392946114</v>
      </c>
      <c r="V1">
        <f t="shared" si="0"/>
        <v>18.82151800188803</v>
      </c>
      <c r="W1">
        <f t="shared" si="0"/>
        <v>21.644745702171235</v>
      </c>
      <c r="X1">
        <f t="shared" si="0"/>
        <v>24.891457557496921</v>
      </c>
      <c r="Y1">
        <f t="shared" si="0"/>
        <v>28.625176191121458</v>
      </c>
      <c r="Z1">
        <f t="shared" si="0"/>
        <v>32.918952619789678</v>
      </c>
      <c r="AA1">
        <f t="shared" si="0"/>
        <v>37.856795512758133</v>
      </c>
      <c r="AB1">
        <f t="shared" si="0"/>
        <v>43.535314839671855</v>
      </c>
      <c r="AC1">
        <f t="shared" si="0"/>
        <v>50.065612065622631</v>
      </c>
      <c r="AD1">
        <f t="shared" si="0"/>
        <v>57.575453875466025</v>
      </c>
    </row>
    <row r="2" spans="1:30" x14ac:dyDescent="0.25">
      <c r="A2">
        <v>0.15</v>
      </c>
      <c r="B2" t="s">
        <v>2</v>
      </c>
    </row>
    <row r="3" spans="1:30" s="2" customFormat="1" x14ac:dyDescent="0.25">
      <c r="A3" s="2">
        <v>1</v>
      </c>
      <c r="B3" s="2">
        <v>2</v>
      </c>
      <c r="C3" s="2">
        <v>3</v>
      </c>
      <c r="D3" s="2">
        <v>4</v>
      </c>
      <c r="E3" s="2">
        <v>5</v>
      </c>
      <c r="F3" s="2">
        <v>6</v>
      </c>
      <c r="G3" s="2">
        <v>7</v>
      </c>
      <c r="H3" s="2">
        <v>8</v>
      </c>
      <c r="I3" s="2">
        <v>9</v>
      </c>
      <c r="J3" s="2">
        <v>10</v>
      </c>
      <c r="K3" s="2">
        <v>11</v>
      </c>
      <c r="L3" s="2">
        <v>12</v>
      </c>
      <c r="M3" s="2">
        <v>13</v>
      </c>
      <c r="N3" s="2">
        <v>14</v>
      </c>
      <c r="O3" s="2">
        <v>15</v>
      </c>
      <c r="P3" s="2">
        <v>16</v>
      </c>
      <c r="Q3" s="2">
        <v>17</v>
      </c>
      <c r="R3" s="2">
        <v>18</v>
      </c>
      <c r="S3" s="2">
        <v>19</v>
      </c>
      <c r="T3" s="2">
        <v>20</v>
      </c>
      <c r="U3" s="2">
        <v>21</v>
      </c>
      <c r="V3" s="2">
        <v>22</v>
      </c>
      <c r="W3" s="2">
        <v>23</v>
      </c>
      <c r="X3" s="2">
        <v>24</v>
      </c>
      <c r="Y3" s="2">
        <v>25</v>
      </c>
      <c r="Z3" s="2">
        <v>26</v>
      </c>
      <c r="AA3" s="2">
        <v>27</v>
      </c>
      <c r="AB3" s="2">
        <v>28</v>
      </c>
      <c r="AC3" s="2">
        <v>29</v>
      </c>
      <c r="AD3" s="2">
        <v>30</v>
      </c>
    </row>
    <row r="4" spans="1:30" x14ac:dyDescent="0.25">
      <c r="A4">
        <v>0.5</v>
      </c>
      <c r="B4" t="s">
        <v>0</v>
      </c>
    </row>
    <row r="5" spans="1:30" x14ac:dyDescent="0.25">
      <c r="A5" s="1">
        <v>1</v>
      </c>
      <c r="B5" s="1">
        <f>A5*$A$4+A5</f>
        <v>1.5</v>
      </c>
      <c r="C5" s="1">
        <f t="shared" ref="C5:AD5" si="1">B5*$A$4+B5</f>
        <v>2.25</v>
      </c>
      <c r="D5" s="1">
        <f t="shared" si="1"/>
        <v>3.375</v>
      </c>
      <c r="E5" s="1">
        <f t="shared" si="1"/>
        <v>5.0625</v>
      </c>
      <c r="F5" s="1">
        <f t="shared" si="1"/>
        <v>7.59375</v>
      </c>
      <c r="G5" s="1">
        <f t="shared" si="1"/>
        <v>11.390625</v>
      </c>
      <c r="H5" s="1">
        <f t="shared" si="1"/>
        <v>17.0859375</v>
      </c>
      <c r="I5" s="1">
        <f t="shared" si="1"/>
        <v>25.62890625</v>
      </c>
      <c r="J5" s="1">
        <f t="shared" si="1"/>
        <v>38.443359375</v>
      </c>
      <c r="K5" s="1">
        <f t="shared" si="1"/>
        <v>57.6650390625</v>
      </c>
      <c r="L5" s="1">
        <f t="shared" si="1"/>
        <v>86.49755859375</v>
      </c>
      <c r="M5" s="1">
        <f t="shared" si="1"/>
        <v>129.746337890625</v>
      </c>
      <c r="N5" s="1">
        <f t="shared" si="1"/>
        <v>194.6195068359375</v>
      </c>
      <c r="O5" s="1">
        <f t="shared" si="1"/>
        <v>291.92926025390625</v>
      </c>
      <c r="P5">
        <f t="shared" si="1"/>
        <v>437.89389038085937</v>
      </c>
      <c r="Q5">
        <f t="shared" si="1"/>
        <v>656.84083557128906</v>
      </c>
      <c r="R5">
        <f t="shared" si="1"/>
        <v>985.26125335693359</v>
      </c>
      <c r="S5" s="1">
        <f t="shared" si="1"/>
        <v>1477.8918800354004</v>
      </c>
      <c r="T5">
        <f t="shared" si="1"/>
        <v>2216.8378200531006</v>
      </c>
      <c r="U5">
        <f t="shared" si="1"/>
        <v>3325.2567300796509</v>
      </c>
      <c r="V5">
        <f t="shared" si="1"/>
        <v>4987.8850951194763</v>
      </c>
      <c r="W5">
        <f t="shared" si="1"/>
        <v>7481.8276426792145</v>
      </c>
      <c r="X5">
        <f t="shared" si="1"/>
        <v>11222.741464018822</v>
      </c>
      <c r="Y5">
        <f t="shared" si="1"/>
        <v>16834.112196028233</v>
      </c>
      <c r="Z5">
        <f t="shared" si="1"/>
        <v>25251.168294042349</v>
      </c>
      <c r="AA5">
        <f t="shared" si="1"/>
        <v>37876.752441063523</v>
      </c>
      <c r="AB5">
        <f t="shared" si="1"/>
        <v>56815.128661595285</v>
      </c>
      <c r="AC5">
        <f t="shared" si="1"/>
        <v>85222.692992392927</v>
      </c>
      <c r="AD5">
        <f t="shared" si="1"/>
        <v>127834.03948858939</v>
      </c>
    </row>
    <row r="6" spans="1:30" x14ac:dyDescent="0.25">
      <c r="A6">
        <v>15</v>
      </c>
      <c r="B6" t="s">
        <v>1</v>
      </c>
    </row>
  </sheetData>
  <phoneticPr fontId="1" type="noConversion"/>
  <pageMargins left="0.7" right="0.7" top="0.75" bottom="0.75" header="0.3" footer="0.3"/>
  <pageSetup paperSize="9" orientation="portrait" horizontalDpi="300" verticalDpi="3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2</vt:i4>
      </vt:variant>
    </vt:vector>
  </HeadingPairs>
  <TitlesOfParts>
    <vt:vector size="2" baseType="lpstr">
      <vt:lpstr>贵金属</vt:lpstr>
      <vt:lpstr>估值-增速与年化收益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keywords>CTPClassification=CTP_NT</cp:keywords>
  <cp:lastModifiedBy>Admin</cp:lastModifiedBy>
  <dcterms:created xsi:type="dcterms:W3CDTF">2018-08-09T11:49:58Z</dcterms:created>
  <dcterms:modified xsi:type="dcterms:W3CDTF">2024-07-10T15:33:42Z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TitusGUID">
    <vt:lpwstr>88baec69-fb1e-4d63-9f3d-bd3ecbe7e71b</vt:lpwstr>
  </property>
  <property fmtid="{D5CDD505-2E9C-101B-9397-08002B2CF9AE}" pid="3" name="CTP_TimeStamp">
    <vt:lpwstr>2019-01-09 01:33:49Z</vt:lpwstr>
  </property>
  <property fmtid="{D5CDD505-2E9C-101B-9397-08002B2CF9AE}" pid="4" name="CTP_BU">
    <vt:lpwstr>NA</vt:lpwstr>
  </property>
  <property fmtid="{D5CDD505-2E9C-101B-9397-08002B2CF9AE}" pid="5" name="CTP_IDSID">
    <vt:lpwstr>NA</vt:lpwstr>
  </property>
  <property fmtid="{D5CDD505-2E9C-101B-9397-08002B2CF9AE}" pid="6" name="CTP_WWID">
    <vt:lpwstr>NA</vt:lpwstr>
  </property>
  <property fmtid="{D5CDD505-2E9C-101B-9397-08002B2CF9AE}" pid="7" name="CTPClassification">
    <vt:lpwstr>CTP_NT</vt:lpwstr>
  </property>
</Properties>
</file>